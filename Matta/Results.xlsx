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filterPrivacy="1" defaultThemeVersion="124226"/>
  <xr:revisionPtr revIDLastSave="0" documentId="13_ncr:1_{90CB5CA5-310D-46DD-ACD7-713CA59B7D2D}" xr6:coauthVersionLast="43" xr6:coauthVersionMax="43" xr10:uidLastSave="{00000000-0000-0000-0000-000000000000}"/>
  <bookViews>
    <workbookView xWindow="-108" yWindow="-108" windowWidth="23256" windowHeight="12576" activeTab="4" xr2:uid="{00000000-000D-0000-FFFF-FFFF00000000}"/>
  </bookViews>
  <sheets>
    <sheet name="Detailed results" sheetId="1" r:id="rId1"/>
    <sheet name="Table2" sheetId="2" r:id="rId2"/>
    <sheet name="Table3" sheetId="4" r:id="rId3"/>
    <sheet name="Table4" sheetId="5" r:id="rId4"/>
    <sheet name="Table5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3" l="1"/>
  <c r="J4" i="3"/>
  <c r="J3" i="3"/>
  <c r="BT28" i="1"/>
  <c r="BS28" i="1"/>
  <c r="AC113" i="1"/>
  <c r="B3" i="3" s="1"/>
  <c r="G4" i="3"/>
  <c r="H4" i="3"/>
  <c r="I4" i="3"/>
  <c r="G5" i="3"/>
  <c r="H5" i="3"/>
  <c r="I5" i="3"/>
  <c r="H3" i="3"/>
  <c r="I3" i="3"/>
  <c r="G3" i="3"/>
  <c r="B4" i="3"/>
  <c r="C4" i="3"/>
  <c r="D4" i="3"/>
  <c r="E4" i="3"/>
  <c r="B5" i="3"/>
  <c r="C5" i="3"/>
  <c r="D5" i="3"/>
  <c r="E5" i="3"/>
  <c r="C3" i="3"/>
  <c r="D3" i="3"/>
  <c r="E3" i="3"/>
  <c r="A4" i="5" l="1"/>
  <c r="B4" i="5"/>
  <c r="D4" i="5"/>
  <c r="E4" i="5"/>
  <c r="F4" i="5"/>
  <c r="G4" i="5"/>
  <c r="I4" i="5"/>
  <c r="J4" i="5"/>
  <c r="K4" i="5"/>
  <c r="L4" i="5"/>
  <c r="A5" i="5"/>
  <c r="B5" i="5"/>
  <c r="D5" i="5"/>
  <c r="E5" i="5"/>
  <c r="F5" i="5"/>
  <c r="G5" i="5"/>
  <c r="I5" i="5"/>
  <c r="J5" i="5"/>
  <c r="K5" i="5"/>
  <c r="L5" i="5"/>
  <c r="A6" i="5"/>
  <c r="B6" i="5"/>
  <c r="D6" i="5"/>
  <c r="E6" i="5"/>
  <c r="F6" i="5"/>
  <c r="G6" i="5"/>
  <c r="I6" i="5"/>
  <c r="J6" i="5"/>
  <c r="K6" i="5"/>
  <c r="L6" i="5"/>
  <c r="A7" i="5"/>
  <c r="B7" i="5"/>
  <c r="D7" i="5"/>
  <c r="E7" i="5"/>
  <c r="F7" i="5"/>
  <c r="G7" i="5"/>
  <c r="I7" i="5"/>
  <c r="J7" i="5"/>
  <c r="K7" i="5"/>
  <c r="L7" i="5"/>
  <c r="A8" i="5"/>
  <c r="B8" i="5"/>
  <c r="D8" i="5"/>
  <c r="E8" i="5"/>
  <c r="F8" i="5"/>
  <c r="G8" i="5"/>
  <c r="I8" i="5"/>
  <c r="J8" i="5"/>
  <c r="K8" i="5"/>
  <c r="L8" i="5"/>
  <c r="A9" i="5"/>
  <c r="B9" i="5"/>
  <c r="D9" i="5"/>
  <c r="E9" i="5"/>
  <c r="F9" i="5"/>
  <c r="G9" i="5"/>
  <c r="I9" i="5"/>
  <c r="J9" i="5"/>
  <c r="K9" i="5"/>
  <c r="L9" i="5"/>
  <c r="A10" i="5"/>
  <c r="B10" i="5"/>
  <c r="D10" i="5"/>
  <c r="E10" i="5"/>
  <c r="F10" i="5"/>
  <c r="G10" i="5"/>
  <c r="I10" i="5"/>
  <c r="J10" i="5"/>
  <c r="K10" i="5"/>
  <c r="L10" i="5"/>
  <c r="A11" i="5"/>
  <c r="B11" i="5"/>
  <c r="D11" i="5"/>
  <c r="E11" i="5"/>
  <c r="F11" i="5"/>
  <c r="G11" i="5"/>
  <c r="I11" i="5"/>
  <c r="J11" i="5"/>
  <c r="K11" i="5"/>
  <c r="L11" i="5"/>
  <c r="A12" i="5"/>
  <c r="B12" i="5"/>
  <c r="D12" i="5"/>
  <c r="E12" i="5"/>
  <c r="F12" i="5"/>
  <c r="G12" i="5"/>
  <c r="I12" i="5"/>
  <c r="J12" i="5"/>
  <c r="K12" i="5"/>
  <c r="L12" i="5"/>
  <c r="A13" i="5"/>
  <c r="B13" i="5"/>
  <c r="D13" i="5"/>
  <c r="E13" i="5"/>
  <c r="F13" i="5"/>
  <c r="G13" i="5"/>
  <c r="I13" i="5"/>
  <c r="J13" i="5"/>
  <c r="K13" i="5"/>
  <c r="L13" i="5"/>
  <c r="A14" i="5"/>
  <c r="B14" i="5"/>
  <c r="D14" i="5"/>
  <c r="E14" i="5"/>
  <c r="F14" i="5"/>
  <c r="G14" i="5"/>
  <c r="I14" i="5"/>
  <c r="J14" i="5"/>
  <c r="K14" i="5"/>
  <c r="L14" i="5"/>
  <c r="A15" i="5"/>
  <c r="B15" i="5"/>
  <c r="D15" i="5"/>
  <c r="E15" i="5"/>
  <c r="F15" i="5"/>
  <c r="G15" i="5"/>
  <c r="I15" i="5"/>
  <c r="J15" i="5"/>
  <c r="K15" i="5"/>
  <c r="L15" i="5"/>
  <c r="A16" i="5"/>
  <c r="B16" i="5"/>
  <c r="D16" i="5"/>
  <c r="E16" i="5"/>
  <c r="F16" i="5"/>
  <c r="G16" i="5"/>
  <c r="I16" i="5"/>
  <c r="J16" i="5"/>
  <c r="K16" i="5"/>
  <c r="L16" i="5"/>
  <c r="A17" i="5"/>
  <c r="B17" i="5"/>
  <c r="D17" i="5"/>
  <c r="E17" i="5"/>
  <c r="F17" i="5"/>
  <c r="G17" i="5"/>
  <c r="I17" i="5"/>
  <c r="J17" i="5"/>
  <c r="K17" i="5"/>
  <c r="L17" i="5"/>
  <c r="A18" i="5"/>
  <c r="B18" i="5"/>
  <c r="D18" i="5"/>
  <c r="E18" i="5"/>
  <c r="F18" i="5"/>
  <c r="G18" i="5"/>
  <c r="I18" i="5"/>
  <c r="J18" i="5"/>
  <c r="K18" i="5"/>
  <c r="L18" i="5"/>
  <c r="A19" i="5"/>
  <c r="B19" i="5"/>
  <c r="D19" i="5"/>
  <c r="E19" i="5"/>
  <c r="F19" i="5"/>
  <c r="G19" i="5"/>
  <c r="I19" i="5"/>
  <c r="J19" i="5"/>
  <c r="K19" i="5"/>
  <c r="L19" i="5"/>
  <c r="A20" i="5"/>
  <c r="B20" i="5"/>
  <c r="D20" i="5"/>
  <c r="E20" i="5"/>
  <c r="F20" i="5"/>
  <c r="G20" i="5"/>
  <c r="I20" i="5"/>
  <c r="J20" i="5"/>
  <c r="K20" i="5"/>
  <c r="L20" i="5"/>
  <c r="A21" i="5"/>
  <c r="B21" i="5"/>
  <c r="D21" i="5"/>
  <c r="E21" i="5"/>
  <c r="F21" i="5"/>
  <c r="G21" i="5"/>
  <c r="I21" i="5"/>
  <c r="J21" i="5"/>
  <c r="K21" i="5"/>
  <c r="L21" i="5"/>
  <c r="A22" i="5"/>
  <c r="B22" i="5"/>
  <c r="D22" i="5"/>
  <c r="E22" i="5"/>
  <c r="F22" i="5"/>
  <c r="G22" i="5"/>
  <c r="I22" i="5"/>
  <c r="J22" i="5"/>
  <c r="K22" i="5"/>
  <c r="L22" i="5"/>
  <c r="A23" i="5"/>
  <c r="B23" i="5"/>
  <c r="D23" i="5"/>
  <c r="E23" i="5"/>
  <c r="F23" i="5"/>
  <c r="G23" i="5"/>
  <c r="I23" i="5"/>
  <c r="J23" i="5"/>
  <c r="K23" i="5"/>
  <c r="L23" i="5"/>
  <c r="A24" i="5"/>
  <c r="B24" i="5"/>
  <c r="D24" i="5"/>
  <c r="E24" i="5"/>
  <c r="F24" i="5"/>
  <c r="G24" i="5"/>
  <c r="I24" i="5"/>
  <c r="J24" i="5"/>
  <c r="K24" i="5"/>
  <c r="L24" i="5"/>
  <c r="A25" i="5"/>
  <c r="B25" i="5"/>
  <c r="D25" i="5"/>
  <c r="E25" i="5"/>
  <c r="F25" i="5"/>
  <c r="G25" i="5"/>
  <c r="I25" i="5"/>
  <c r="J25" i="5"/>
  <c r="K25" i="5"/>
  <c r="L25" i="5"/>
  <c r="A26" i="5"/>
  <c r="B26" i="5"/>
  <c r="D26" i="5"/>
  <c r="E26" i="5"/>
  <c r="F26" i="5"/>
  <c r="G26" i="5"/>
  <c r="I26" i="5"/>
  <c r="J26" i="5"/>
  <c r="K26" i="5"/>
  <c r="L26" i="5"/>
  <c r="A27" i="5"/>
  <c r="B27" i="5"/>
  <c r="D27" i="5"/>
  <c r="E27" i="5"/>
  <c r="F27" i="5"/>
  <c r="G27" i="5"/>
  <c r="I27" i="5"/>
  <c r="J27" i="5"/>
  <c r="K27" i="5"/>
  <c r="L27" i="5"/>
  <c r="L3" i="5"/>
  <c r="K3" i="5"/>
  <c r="J3" i="5"/>
  <c r="I3" i="5"/>
  <c r="G3" i="5"/>
  <c r="F3" i="5"/>
  <c r="E3" i="5"/>
  <c r="D3" i="5"/>
  <c r="B3" i="5"/>
  <c r="A3" i="5"/>
  <c r="A4" i="4"/>
  <c r="B4" i="4"/>
  <c r="D4" i="4"/>
  <c r="E4" i="4"/>
  <c r="F4" i="4"/>
  <c r="G4" i="4"/>
  <c r="I4" i="4"/>
  <c r="J4" i="4"/>
  <c r="K4" i="4"/>
  <c r="L4" i="4"/>
  <c r="A5" i="4"/>
  <c r="B5" i="4"/>
  <c r="D5" i="4"/>
  <c r="E5" i="4"/>
  <c r="F5" i="4"/>
  <c r="G5" i="4"/>
  <c r="I5" i="4"/>
  <c r="J5" i="4"/>
  <c r="K5" i="4"/>
  <c r="L5" i="4"/>
  <c r="A6" i="4"/>
  <c r="B6" i="4"/>
  <c r="D6" i="4"/>
  <c r="E6" i="4"/>
  <c r="F6" i="4"/>
  <c r="G6" i="4"/>
  <c r="I6" i="4"/>
  <c r="J6" i="4"/>
  <c r="K6" i="4"/>
  <c r="L6" i="4"/>
  <c r="A7" i="4"/>
  <c r="B7" i="4"/>
  <c r="D7" i="4"/>
  <c r="E7" i="4"/>
  <c r="F7" i="4"/>
  <c r="G7" i="4"/>
  <c r="I7" i="4"/>
  <c r="J7" i="4"/>
  <c r="K7" i="4"/>
  <c r="L7" i="4"/>
  <c r="A8" i="4"/>
  <c r="B8" i="4"/>
  <c r="D8" i="4"/>
  <c r="E8" i="4"/>
  <c r="F8" i="4"/>
  <c r="G8" i="4"/>
  <c r="I8" i="4"/>
  <c r="J8" i="4"/>
  <c r="K8" i="4"/>
  <c r="L8" i="4"/>
  <c r="A9" i="4"/>
  <c r="B9" i="4"/>
  <c r="D9" i="4"/>
  <c r="E9" i="4"/>
  <c r="F9" i="4"/>
  <c r="G9" i="4"/>
  <c r="I9" i="4"/>
  <c r="J9" i="4"/>
  <c r="K9" i="4"/>
  <c r="L9" i="4"/>
  <c r="A10" i="4"/>
  <c r="B10" i="4"/>
  <c r="D10" i="4"/>
  <c r="E10" i="4"/>
  <c r="F10" i="4"/>
  <c r="G10" i="4"/>
  <c r="I10" i="4"/>
  <c r="J10" i="4"/>
  <c r="K10" i="4"/>
  <c r="L10" i="4"/>
  <c r="A11" i="4"/>
  <c r="B11" i="4"/>
  <c r="D11" i="4"/>
  <c r="E11" i="4"/>
  <c r="F11" i="4"/>
  <c r="G11" i="4"/>
  <c r="I11" i="4"/>
  <c r="J11" i="4"/>
  <c r="K11" i="4"/>
  <c r="L11" i="4"/>
  <c r="A12" i="4"/>
  <c r="B12" i="4"/>
  <c r="D12" i="4"/>
  <c r="E12" i="4"/>
  <c r="F12" i="4"/>
  <c r="G12" i="4"/>
  <c r="I12" i="4"/>
  <c r="J12" i="4"/>
  <c r="K12" i="4"/>
  <c r="L12" i="4"/>
  <c r="A13" i="4"/>
  <c r="B13" i="4"/>
  <c r="D13" i="4"/>
  <c r="E13" i="4"/>
  <c r="F13" i="4"/>
  <c r="G13" i="4"/>
  <c r="I13" i="4"/>
  <c r="J13" i="4"/>
  <c r="K13" i="4"/>
  <c r="L13" i="4"/>
  <c r="A14" i="4"/>
  <c r="B14" i="4"/>
  <c r="D14" i="4"/>
  <c r="E14" i="4"/>
  <c r="F14" i="4"/>
  <c r="G14" i="4"/>
  <c r="I14" i="4"/>
  <c r="J14" i="4"/>
  <c r="K14" i="4"/>
  <c r="L14" i="4"/>
  <c r="A15" i="4"/>
  <c r="B15" i="4"/>
  <c r="D15" i="4"/>
  <c r="E15" i="4"/>
  <c r="F15" i="4"/>
  <c r="G15" i="4"/>
  <c r="I15" i="4"/>
  <c r="J15" i="4"/>
  <c r="K15" i="4"/>
  <c r="L15" i="4"/>
  <c r="A16" i="4"/>
  <c r="B16" i="4"/>
  <c r="D16" i="4"/>
  <c r="E16" i="4"/>
  <c r="F16" i="4"/>
  <c r="G16" i="4"/>
  <c r="I16" i="4"/>
  <c r="J16" i="4"/>
  <c r="K16" i="4"/>
  <c r="L16" i="4"/>
  <c r="A17" i="4"/>
  <c r="B17" i="4"/>
  <c r="D17" i="4"/>
  <c r="E17" i="4"/>
  <c r="F17" i="4"/>
  <c r="G17" i="4"/>
  <c r="I17" i="4"/>
  <c r="J17" i="4"/>
  <c r="K17" i="4"/>
  <c r="L17" i="4"/>
  <c r="A18" i="4"/>
  <c r="B18" i="4"/>
  <c r="D18" i="4"/>
  <c r="E18" i="4"/>
  <c r="F18" i="4"/>
  <c r="G18" i="4"/>
  <c r="I18" i="4"/>
  <c r="J18" i="4"/>
  <c r="K18" i="4"/>
  <c r="L18" i="4"/>
  <c r="A19" i="4"/>
  <c r="B19" i="4"/>
  <c r="D19" i="4"/>
  <c r="E19" i="4"/>
  <c r="F19" i="4"/>
  <c r="G19" i="4"/>
  <c r="I19" i="4"/>
  <c r="J19" i="4"/>
  <c r="K19" i="4"/>
  <c r="L19" i="4"/>
  <c r="A20" i="4"/>
  <c r="B20" i="4"/>
  <c r="D20" i="4"/>
  <c r="E20" i="4"/>
  <c r="F20" i="4"/>
  <c r="G20" i="4"/>
  <c r="I20" i="4"/>
  <c r="J20" i="4"/>
  <c r="K20" i="4"/>
  <c r="L20" i="4"/>
  <c r="A21" i="4"/>
  <c r="B21" i="4"/>
  <c r="D21" i="4"/>
  <c r="E21" i="4"/>
  <c r="F21" i="4"/>
  <c r="G21" i="4"/>
  <c r="I21" i="4"/>
  <c r="J21" i="4"/>
  <c r="K21" i="4"/>
  <c r="L21" i="4"/>
  <c r="A22" i="4"/>
  <c r="B22" i="4"/>
  <c r="D22" i="4"/>
  <c r="E22" i="4"/>
  <c r="F22" i="4"/>
  <c r="G22" i="4"/>
  <c r="I22" i="4"/>
  <c r="J22" i="4"/>
  <c r="K22" i="4"/>
  <c r="L22" i="4"/>
  <c r="A23" i="4"/>
  <c r="B23" i="4"/>
  <c r="D23" i="4"/>
  <c r="E23" i="4"/>
  <c r="F23" i="4"/>
  <c r="G23" i="4"/>
  <c r="I23" i="4"/>
  <c r="J23" i="4"/>
  <c r="K23" i="4"/>
  <c r="L23" i="4"/>
  <c r="A24" i="4"/>
  <c r="B24" i="4"/>
  <c r="D24" i="4"/>
  <c r="E24" i="4"/>
  <c r="F24" i="4"/>
  <c r="G24" i="4"/>
  <c r="I24" i="4"/>
  <c r="J24" i="4"/>
  <c r="K24" i="4"/>
  <c r="L24" i="4"/>
  <c r="A25" i="4"/>
  <c r="B25" i="4"/>
  <c r="D25" i="4"/>
  <c r="E25" i="4"/>
  <c r="F25" i="4"/>
  <c r="G25" i="4"/>
  <c r="I25" i="4"/>
  <c r="J25" i="4"/>
  <c r="K25" i="4"/>
  <c r="L25" i="4"/>
  <c r="A26" i="4"/>
  <c r="B26" i="4"/>
  <c r="D26" i="4"/>
  <c r="E26" i="4"/>
  <c r="F26" i="4"/>
  <c r="G26" i="4"/>
  <c r="I26" i="4"/>
  <c r="J26" i="4"/>
  <c r="K26" i="4"/>
  <c r="L26" i="4"/>
  <c r="A27" i="4"/>
  <c r="B27" i="4"/>
  <c r="D27" i="4"/>
  <c r="E27" i="4"/>
  <c r="F27" i="4"/>
  <c r="G27" i="4"/>
  <c r="I27" i="4"/>
  <c r="J27" i="4"/>
  <c r="K27" i="4"/>
  <c r="L27" i="4"/>
  <c r="L3" i="4"/>
  <c r="K3" i="4"/>
  <c r="J3" i="4"/>
  <c r="I3" i="4"/>
  <c r="G3" i="4"/>
  <c r="F3" i="4"/>
  <c r="E3" i="4"/>
  <c r="D3" i="4"/>
  <c r="B3" i="4"/>
  <c r="A3" i="4"/>
  <c r="A4" i="2"/>
  <c r="B4" i="2"/>
  <c r="D4" i="2"/>
  <c r="E4" i="2"/>
  <c r="F4" i="2"/>
  <c r="G4" i="2"/>
  <c r="I4" i="2"/>
  <c r="J4" i="2"/>
  <c r="K4" i="2"/>
  <c r="L4" i="2"/>
  <c r="A5" i="2"/>
  <c r="B5" i="2"/>
  <c r="D5" i="2"/>
  <c r="E5" i="2"/>
  <c r="F5" i="2"/>
  <c r="G5" i="2"/>
  <c r="I5" i="2"/>
  <c r="J5" i="2"/>
  <c r="K5" i="2"/>
  <c r="L5" i="2"/>
  <c r="A6" i="2"/>
  <c r="B6" i="2"/>
  <c r="D6" i="2"/>
  <c r="E6" i="2"/>
  <c r="F6" i="2"/>
  <c r="G6" i="2"/>
  <c r="I6" i="2"/>
  <c r="J6" i="2"/>
  <c r="K6" i="2"/>
  <c r="L6" i="2"/>
  <c r="A7" i="2"/>
  <c r="B7" i="2"/>
  <c r="D7" i="2"/>
  <c r="E7" i="2"/>
  <c r="F7" i="2"/>
  <c r="G7" i="2"/>
  <c r="I7" i="2"/>
  <c r="J7" i="2"/>
  <c r="K7" i="2"/>
  <c r="L7" i="2"/>
  <c r="A8" i="2"/>
  <c r="B8" i="2"/>
  <c r="D8" i="2"/>
  <c r="E8" i="2"/>
  <c r="F8" i="2"/>
  <c r="G8" i="2"/>
  <c r="I8" i="2"/>
  <c r="J8" i="2"/>
  <c r="K8" i="2"/>
  <c r="L8" i="2"/>
  <c r="A9" i="2"/>
  <c r="B9" i="2"/>
  <c r="D9" i="2"/>
  <c r="E9" i="2"/>
  <c r="F9" i="2"/>
  <c r="G9" i="2"/>
  <c r="I9" i="2"/>
  <c r="J9" i="2"/>
  <c r="K9" i="2"/>
  <c r="L9" i="2"/>
  <c r="A10" i="2"/>
  <c r="B10" i="2"/>
  <c r="D10" i="2"/>
  <c r="E10" i="2"/>
  <c r="F10" i="2"/>
  <c r="G10" i="2"/>
  <c r="I10" i="2"/>
  <c r="J10" i="2"/>
  <c r="K10" i="2"/>
  <c r="L10" i="2"/>
  <c r="A11" i="2"/>
  <c r="B11" i="2"/>
  <c r="D11" i="2"/>
  <c r="E11" i="2"/>
  <c r="F11" i="2"/>
  <c r="G11" i="2"/>
  <c r="I11" i="2"/>
  <c r="J11" i="2"/>
  <c r="K11" i="2"/>
  <c r="L11" i="2"/>
  <c r="A12" i="2"/>
  <c r="B12" i="2"/>
  <c r="D12" i="2"/>
  <c r="E12" i="2"/>
  <c r="F12" i="2"/>
  <c r="G12" i="2"/>
  <c r="I12" i="2"/>
  <c r="J12" i="2"/>
  <c r="K12" i="2"/>
  <c r="L12" i="2"/>
  <c r="A13" i="2"/>
  <c r="B13" i="2"/>
  <c r="D13" i="2"/>
  <c r="E13" i="2"/>
  <c r="F13" i="2"/>
  <c r="G13" i="2"/>
  <c r="I13" i="2"/>
  <c r="J13" i="2"/>
  <c r="K13" i="2"/>
  <c r="L13" i="2"/>
  <c r="A14" i="2"/>
  <c r="B14" i="2"/>
  <c r="D14" i="2"/>
  <c r="E14" i="2"/>
  <c r="F14" i="2"/>
  <c r="G14" i="2"/>
  <c r="I14" i="2"/>
  <c r="J14" i="2"/>
  <c r="K14" i="2"/>
  <c r="L14" i="2"/>
  <c r="A15" i="2"/>
  <c r="B15" i="2"/>
  <c r="D15" i="2"/>
  <c r="E15" i="2"/>
  <c r="F15" i="2"/>
  <c r="G15" i="2"/>
  <c r="I15" i="2"/>
  <c r="J15" i="2"/>
  <c r="K15" i="2"/>
  <c r="L15" i="2"/>
  <c r="A16" i="2"/>
  <c r="B16" i="2"/>
  <c r="D16" i="2"/>
  <c r="E16" i="2"/>
  <c r="F16" i="2"/>
  <c r="G16" i="2"/>
  <c r="I16" i="2"/>
  <c r="J16" i="2"/>
  <c r="K16" i="2"/>
  <c r="L16" i="2"/>
  <c r="A17" i="2"/>
  <c r="B17" i="2"/>
  <c r="D17" i="2"/>
  <c r="E17" i="2"/>
  <c r="F17" i="2"/>
  <c r="I17" i="2"/>
  <c r="J17" i="2"/>
  <c r="K17" i="2"/>
  <c r="A18" i="2"/>
  <c r="B18" i="2"/>
  <c r="D18" i="2"/>
  <c r="E18" i="2"/>
  <c r="F18" i="2"/>
  <c r="G18" i="2"/>
  <c r="I18" i="2"/>
  <c r="J18" i="2"/>
  <c r="K18" i="2"/>
  <c r="L18" i="2"/>
  <c r="A19" i="2"/>
  <c r="B19" i="2"/>
  <c r="D19" i="2"/>
  <c r="E19" i="2"/>
  <c r="F19" i="2"/>
  <c r="G19" i="2"/>
  <c r="I19" i="2"/>
  <c r="J19" i="2"/>
  <c r="K19" i="2"/>
  <c r="L19" i="2"/>
  <c r="A20" i="2"/>
  <c r="B20" i="2"/>
  <c r="D20" i="2"/>
  <c r="E20" i="2"/>
  <c r="F20" i="2"/>
  <c r="G20" i="2"/>
  <c r="I20" i="2"/>
  <c r="J20" i="2"/>
  <c r="K20" i="2"/>
  <c r="L20" i="2"/>
  <c r="A21" i="2"/>
  <c r="B21" i="2"/>
  <c r="D21" i="2"/>
  <c r="E21" i="2"/>
  <c r="F21" i="2"/>
  <c r="G21" i="2"/>
  <c r="I21" i="2"/>
  <c r="J21" i="2"/>
  <c r="K21" i="2"/>
  <c r="L21" i="2"/>
  <c r="A22" i="2"/>
  <c r="B22" i="2"/>
  <c r="D22" i="2"/>
  <c r="E22" i="2"/>
  <c r="F22" i="2"/>
  <c r="G22" i="2"/>
  <c r="I22" i="2"/>
  <c r="J22" i="2"/>
  <c r="K22" i="2"/>
  <c r="L22" i="2"/>
  <c r="A23" i="2"/>
  <c r="B23" i="2"/>
  <c r="D23" i="2"/>
  <c r="E23" i="2"/>
  <c r="F23" i="2"/>
  <c r="G23" i="2"/>
  <c r="I23" i="2"/>
  <c r="J23" i="2"/>
  <c r="K23" i="2"/>
  <c r="L23" i="2"/>
  <c r="A24" i="2"/>
  <c r="B24" i="2"/>
  <c r="D24" i="2"/>
  <c r="E24" i="2"/>
  <c r="F24" i="2"/>
  <c r="G24" i="2"/>
  <c r="I24" i="2"/>
  <c r="J24" i="2"/>
  <c r="K24" i="2"/>
  <c r="L24" i="2"/>
  <c r="A25" i="2"/>
  <c r="B25" i="2"/>
  <c r="D25" i="2"/>
  <c r="E25" i="2"/>
  <c r="F25" i="2"/>
  <c r="G25" i="2"/>
  <c r="I25" i="2"/>
  <c r="J25" i="2"/>
  <c r="K25" i="2"/>
  <c r="L25" i="2"/>
  <c r="A26" i="2"/>
  <c r="B26" i="2"/>
  <c r="D26" i="2"/>
  <c r="E26" i="2"/>
  <c r="F26" i="2"/>
  <c r="G26" i="2"/>
  <c r="I26" i="2"/>
  <c r="J26" i="2"/>
  <c r="K26" i="2"/>
  <c r="L26" i="2"/>
  <c r="A27" i="2"/>
  <c r="B27" i="2"/>
  <c r="D27" i="2"/>
  <c r="E27" i="2"/>
  <c r="F27" i="2"/>
  <c r="G27" i="2"/>
  <c r="I27" i="2"/>
  <c r="J27" i="2"/>
  <c r="K27" i="2"/>
  <c r="L27" i="2"/>
  <c r="L3" i="2"/>
  <c r="K3" i="2"/>
  <c r="J3" i="2"/>
  <c r="I3" i="2"/>
  <c r="G3" i="2"/>
  <c r="F3" i="2"/>
  <c r="E3" i="2"/>
  <c r="D3" i="2"/>
  <c r="B3" i="2"/>
  <c r="A3" i="2"/>
  <c r="AL29" i="1"/>
  <c r="AN29" i="1" s="1"/>
  <c r="AM29" i="1"/>
  <c r="AO29" i="1"/>
  <c r="AL30" i="1"/>
  <c r="AN30" i="1" s="1"/>
  <c r="AM30" i="1"/>
  <c r="AO30" i="1"/>
  <c r="AL31" i="1"/>
  <c r="AN31" i="1" s="1"/>
  <c r="AM31" i="1"/>
  <c r="AO31" i="1"/>
  <c r="AL32" i="1"/>
  <c r="AN32" i="1" s="1"/>
  <c r="AM32" i="1"/>
  <c r="AO32" i="1"/>
  <c r="AL33" i="1"/>
  <c r="AN33" i="1" s="1"/>
  <c r="AM33" i="1"/>
  <c r="AO33" i="1"/>
  <c r="AL34" i="1"/>
  <c r="AN34" i="1" s="1"/>
  <c r="AM34" i="1"/>
  <c r="AO34" i="1"/>
  <c r="AL35" i="1"/>
  <c r="AN35" i="1" s="1"/>
  <c r="AM35" i="1"/>
  <c r="AO35" i="1"/>
  <c r="AL36" i="1"/>
  <c r="AN36" i="1" s="1"/>
  <c r="AM36" i="1"/>
  <c r="AO36" i="1"/>
  <c r="AL37" i="1"/>
  <c r="AN37" i="1" s="1"/>
  <c r="AM37" i="1"/>
  <c r="AO37" i="1"/>
  <c r="AL38" i="1"/>
  <c r="AN38" i="1" s="1"/>
  <c r="AM38" i="1"/>
  <c r="AO38" i="1"/>
  <c r="AL39" i="1"/>
  <c r="AN39" i="1" s="1"/>
  <c r="AM39" i="1"/>
  <c r="AO39" i="1"/>
  <c r="AL40" i="1"/>
  <c r="AN40" i="1" s="1"/>
  <c r="AM40" i="1"/>
  <c r="AO40" i="1"/>
  <c r="AL41" i="1"/>
  <c r="AN41" i="1" s="1"/>
  <c r="AM41" i="1"/>
  <c r="AO41" i="1"/>
  <c r="AL42" i="1"/>
  <c r="AN42" i="1" s="1"/>
  <c r="AM42" i="1"/>
  <c r="L17" i="2" s="1"/>
  <c r="AO42" i="1"/>
  <c r="AL43" i="1"/>
  <c r="AN43" i="1" s="1"/>
  <c r="AM43" i="1"/>
  <c r="AO43" i="1"/>
  <c r="AL44" i="1"/>
  <c r="AN44" i="1" s="1"/>
  <c r="AM44" i="1"/>
  <c r="AO44" i="1"/>
  <c r="AL45" i="1"/>
  <c r="AN45" i="1" s="1"/>
  <c r="AM45" i="1"/>
  <c r="AO45" i="1"/>
  <c r="AL46" i="1"/>
  <c r="AN46" i="1" s="1"/>
  <c r="AM46" i="1"/>
  <c r="AO46" i="1"/>
  <c r="AL47" i="1"/>
  <c r="AN47" i="1" s="1"/>
  <c r="AM47" i="1"/>
  <c r="AO47" i="1"/>
  <c r="AL48" i="1"/>
  <c r="AN48" i="1" s="1"/>
  <c r="AM48" i="1"/>
  <c r="AO48" i="1"/>
  <c r="AL49" i="1"/>
  <c r="AN49" i="1" s="1"/>
  <c r="AM49" i="1"/>
  <c r="AO49" i="1"/>
  <c r="AL50" i="1"/>
  <c r="AN50" i="1" s="1"/>
  <c r="AM50" i="1"/>
  <c r="AO50" i="1"/>
  <c r="AL51" i="1"/>
  <c r="AN51" i="1" s="1"/>
  <c r="AM51" i="1"/>
  <c r="AO51" i="1"/>
  <c r="AL52" i="1"/>
  <c r="AN52" i="1" s="1"/>
  <c r="AM52" i="1"/>
  <c r="AO52" i="1"/>
  <c r="AL53" i="1"/>
  <c r="AN53" i="1" s="1"/>
  <c r="AM53" i="1"/>
  <c r="AO53" i="1"/>
  <c r="AL54" i="1"/>
  <c r="AN54" i="1" s="1"/>
  <c r="AM54" i="1"/>
  <c r="AO54" i="1"/>
  <c r="AL55" i="1"/>
  <c r="AN55" i="1" s="1"/>
  <c r="AM55" i="1"/>
  <c r="AO55" i="1"/>
  <c r="AL56" i="1"/>
  <c r="AN56" i="1" s="1"/>
  <c r="AM56" i="1"/>
  <c r="AO56" i="1"/>
  <c r="AL57" i="1"/>
  <c r="AN57" i="1" s="1"/>
  <c r="AM57" i="1"/>
  <c r="AO57" i="1"/>
  <c r="AL58" i="1"/>
  <c r="AN58" i="1" s="1"/>
  <c r="AM58" i="1"/>
  <c r="AO58" i="1"/>
  <c r="AL59" i="1"/>
  <c r="AN59" i="1" s="1"/>
  <c r="AM59" i="1"/>
  <c r="AO59" i="1"/>
  <c r="AL60" i="1"/>
  <c r="AN60" i="1" s="1"/>
  <c r="AM60" i="1"/>
  <c r="AO60" i="1"/>
  <c r="AL61" i="1"/>
  <c r="AN61" i="1" s="1"/>
  <c r="AM61" i="1"/>
  <c r="AO61" i="1"/>
  <c r="AL62" i="1"/>
  <c r="AN62" i="1" s="1"/>
  <c r="AM62" i="1"/>
  <c r="AO62" i="1"/>
  <c r="AL63" i="1"/>
  <c r="AN63" i="1" s="1"/>
  <c r="AM63" i="1"/>
  <c r="AO63" i="1"/>
  <c r="AL64" i="1"/>
  <c r="AN64" i="1" s="1"/>
  <c r="AM64" i="1"/>
  <c r="AO64" i="1"/>
  <c r="AL65" i="1"/>
  <c r="AN65" i="1" s="1"/>
  <c r="AM65" i="1"/>
  <c r="AO65" i="1"/>
  <c r="AL66" i="1"/>
  <c r="AN66" i="1" s="1"/>
  <c r="AM66" i="1"/>
  <c r="AO66" i="1"/>
  <c r="AL67" i="1"/>
  <c r="AN67" i="1" s="1"/>
  <c r="AM67" i="1"/>
  <c r="AO67" i="1"/>
  <c r="AL68" i="1"/>
  <c r="AN68" i="1" s="1"/>
  <c r="AM68" i="1"/>
  <c r="AO68" i="1"/>
  <c r="AL69" i="1"/>
  <c r="AN69" i="1" s="1"/>
  <c r="AM69" i="1"/>
  <c r="AO69" i="1"/>
  <c r="AL70" i="1"/>
  <c r="AN70" i="1" s="1"/>
  <c r="AM70" i="1"/>
  <c r="AO70" i="1"/>
  <c r="AL71" i="1"/>
  <c r="AN71" i="1" s="1"/>
  <c r="AM71" i="1"/>
  <c r="AO71" i="1"/>
  <c r="AL72" i="1"/>
  <c r="AN72" i="1" s="1"/>
  <c r="AM72" i="1"/>
  <c r="AO72" i="1"/>
  <c r="AL73" i="1"/>
  <c r="AN73" i="1" s="1"/>
  <c r="AM73" i="1"/>
  <c r="AO73" i="1"/>
  <c r="AL74" i="1"/>
  <c r="AN74" i="1" s="1"/>
  <c r="AM74" i="1"/>
  <c r="AO74" i="1"/>
  <c r="AL75" i="1"/>
  <c r="AN75" i="1" s="1"/>
  <c r="AM75" i="1"/>
  <c r="AO75" i="1"/>
  <c r="AL76" i="1"/>
  <c r="AN76" i="1" s="1"/>
  <c r="AM76" i="1"/>
  <c r="AO76" i="1"/>
  <c r="AL77" i="1"/>
  <c r="AN77" i="1" s="1"/>
  <c r="AM77" i="1"/>
  <c r="AO77" i="1"/>
  <c r="AL78" i="1"/>
  <c r="AN78" i="1" s="1"/>
  <c r="AM78" i="1"/>
  <c r="AO78" i="1"/>
  <c r="AL79" i="1"/>
  <c r="AN79" i="1" s="1"/>
  <c r="AM79" i="1"/>
  <c r="AO79" i="1"/>
  <c r="AL80" i="1"/>
  <c r="AN80" i="1" s="1"/>
  <c r="AM80" i="1"/>
  <c r="AO80" i="1"/>
  <c r="AL81" i="1"/>
  <c r="AN81" i="1" s="1"/>
  <c r="AM81" i="1"/>
  <c r="AO81" i="1"/>
  <c r="AL82" i="1"/>
  <c r="AN82" i="1" s="1"/>
  <c r="AM82" i="1"/>
  <c r="AO82" i="1"/>
  <c r="AL83" i="1"/>
  <c r="AN83" i="1" s="1"/>
  <c r="AM83" i="1"/>
  <c r="AO83" i="1"/>
  <c r="AL84" i="1"/>
  <c r="AN84" i="1" s="1"/>
  <c r="AM84" i="1"/>
  <c r="AO84" i="1"/>
  <c r="AL85" i="1"/>
  <c r="AN85" i="1" s="1"/>
  <c r="AM85" i="1"/>
  <c r="AO85" i="1"/>
  <c r="AL86" i="1"/>
  <c r="AN86" i="1" s="1"/>
  <c r="AM86" i="1"/>
  <c r="AO86" i="1"/>
  <c r="AL87" i="1"/>
  <c r="AN87" i="1" s="1"/>
  <c r="AM87" i="1"/>
  <c r="AO87" i="1"/>
  <c r="AL88" i="1"/>
  <c r="AN88" i="1" s="1"/>
  <c r="AM88" i="1"/>
  <c r="AO88" i="1"/>
  <c r="AL89" i="1"/>
  <c r="AN89" i="1" s="1"/>
  <c r="AM89" i="1"/>
  <c r="AO89" i="1"/>
  <c r="AL90" i="1"/>
  <c r="AN90" i="1" s="1"/>
  <c r="AM90" i="1"/>
  <c r="AO90" i="1"/>
  <c r="AL91" i="1"/>
  <c r="AN91" i="1" s="1"/>
  <c r="AM91" i="1"/>
  <c r="AO91" i="1"/>
  <c r="AL92" i="1"/>
  <c r="AN92" i="1" s="1"/>
  <c r="AM92" i="1"/>
  <c r="AO92" i="1"/>
  <c r="AL93" i="1"/>
  <c r="AN93" i="1" s="1"/>
  <c r="AM93" i="1"/>
  <c r="AO93" i="1"/>
  <c r="AL94" i="1"/>
  <c r="AN94" i="1" s="1"/>
  <c r="AM94" i="1"/>
  <c r="AO94" i="1"/>
  <c r="AL95" i="1"/>
  <c r="AN95" i="1" s="1"/>
  <c r="AM95" i="1"/>
  <c r="AO95" i="1"/>
  <c r="AL96" i="1"/>
  <c r="AN96" i="1" s="1"/>
  <c r="AM96" i="1"/>
  <c r="AO96" i="1"/>
  <c r="AL97" i="1"/>
  <c r="AN97" i="1" s="1"/>
  <c r="AM97" i="1"/>
  <c r="AO97" i="1"/>
  <c r="AL98" i="1"/>
  <c r="AN98" i="1" s="1"/>
  <c r="AM98" i="1"/>
  <c r="AO98" i="1"/>
  <c r="AL99" i="1"/>
  <c r="AN99" i="1" s="1"/>
  <c r="AM99" i="1"/>
  <c r="AO99" i="1"/>
  <c r="AL100" i="1"/>
  <c r="AN100" i="1" s="1"/>
  <c r="AM100" i="1"/>
  <c r="AO100" i="1"/>
  <c r="AL101" i="1"/>
  <c r="AN101" i="1" s="1"/>
  <c r="AM101" i="1"/>
  <c r="AO101" i="1"/>
  <c r="AL102" i="1"/>
  <c r="AN102" i="1" s="1"/>
  <c r="AM102" i="1"/>
  <c r="AO102" i="1"/>
  <c r="AO28" i="1"/>
  <c r="AM28" i="1"/>
  <c r="AL28" i="1"/>
  <c r="AN28" i="1" s="1"/>
  <c r="G17" i="2" l="1"/>
  <c r="AF124" i="1"/>
  <c r="AF115" i="1"/>
  <c r="AF123" i="1"/>
  <c r="AF114" i="1"/>
  <c r="AF122" i="1"/>
  <c r="AF113" i="1"/>
  <c r="AD124" i="1"/>
  <c r="AD115" i="1"/>
  <c r="AC124" i="1"/>
  <c r="AC115" i="1"/>
  <c r="AD123" i="1"/>
  <c r="AC123" i="1"/>
  <c r="AD122" i="1"/>
  <c r="AD113" i="1"/>
  <c r="AC122" i="1"/>
  <c r="AD121" i="1"/>
  <c r="AC121" i="1"/>
  <c r="AD114" i="1" l="1"/>
  <c r="AC114" i="1"/>
  <c r="AD112" i="1"/>
  <c r="AC112" i="1"/>
  <c r="AK102" i="1"/>
  <c r="AI102" i="1"/>
  <c r="AH102" i="1"/>
  <c r="AJ102" i="1" s="1"/>
  <c r="AK101" i="1"/>
  <c r="AI101" i="1"/>
  <c r="AH101" i="1"/>
  <c r="AJ101" i="1" s="1"/>
  <c r="AK100" i="1"/>
  <c r="AI100" i="1"/>
  <c r="AH100" i="1"/>
  <c r="AJ100" i="1" s="1"/>
  <c r="AK99" i="1"/>
  <c r="AI99" i="1"/>
  <c r="AH99" i="1"/>
  <c r="AJ99" i="1" s="1"/>
  <c r="AK98" i="1"/>
  <c r="AI98" i="1"/>
  <c r="AH98" i="1"/>
  <c r="AJ98" i="1" s="1"/>
  <c r="AK97" i="1"/>
  <c r="AI97" i="1"/>
  <c r="AH97" i="1"/>
  <c r="AJ97" i="1" s="1"/>
  <c r="AK96" i="1"/>
  <c r="AI96" i="1"/>
  <c r="AH96" i="1"/>
  <c r="AJ96" i="1" s="1"/>
  <c r="AK95" i="1"/>
  <c r="AI95" i="1"/>
  <c r="AH95" i="1"/>
  <c r="AJ95" i="1" s="1"/>
  <c r="AK94" i="1"/>
  <c r="AI94" i="1"/>
  <c r="AH94" i="1"/>
  <c r="AJ94" i="1" s="1"/>
  <c r="AK93" i="1"/>
  <c r="AI93" i="1"/>
  <c r="AH93" i="1"/>
  <c r="AJ93" i="1" s="1"/>
  <c r="AK92" i="1"/>
  <c r="AI92" i="1"/>
  <c r="AH92" i="1"/>
  <c r="AJ92" i="1" s="1"/>
  <c r="AK91" i="1"/>
  <c r="AI91" i="1"/>
  <c r="AH91" i="1"/>
  <c r="AJ91" i="1" s="1"/>
  <c r="AK90" i="1"/>
  <c r="AI90" i="1"/>
  <c r="AH90" i="1"/>
  <c r="AJ90" i="1" s="1"/>
  <c r="AK89" i="1"/>
  <c r="AI89" i="1"/>
  <c r="AH89" i="1"/>
  <c r="AJ89" i="1" s="1"/>
  <c r="AK88" i="1"/>
  <c r="AI88" i="1"/>
  <c r="AH88" i="1"/>
  <c r="AJ88" i="1" s="1"/>
  <c r="AK87" i="1"/>
  <c r="AI87" i="1"/>
  <c r="AH87" i="1"/>
  <c r="AJ87" i="1" s="1"/>
  <c r="AK86" i="1"/>
  <c r="AI86" i="1"/>
  <c r="AH86" i="1"/>
  <c r="AJ86" i="1" s="1"/>
  <c r="AK85" i="1"/>
  <c r="AI85" i="1"/>
  <c r="AH85" i="1"/>
  <c r="AJ85" i="1" s="1"/>
  <c r="AK84" i="1"/>
  <c r="AI84" i="1"/>
  <c r="AH84" i="1"/>
  <c r="AJ84" i="1" s="1"/>
  <c r="AK83" i="1"/>
  <c r="AI83" i="1"/>
  <c r="AH83" i="1"/>
  <c r="AJ83" i="1" s="1"/>
  <c r="AK82" i="1"/>
  <c r="AI82" i="1"/>
  <c r="AH82" i="1"/>
  <c r="AJ82" i="1" s="1"/>
  <c r="AK81" i="1"/>
  <c r="AI81" i="1"/>
  <c r="AH81" i="1"/>
  <c r="AJ81" i="1" s="1"/>
  <c r="AK80" i="1"/>
  <c r="AI80" i="1"/>
  <c r="AH80" i="1"/>
  <c r="AJ80" i="1" s="1"/>
  <c r="AK79" i="1"/>
  <c r="AI79" i="1"/>
  <c r="AH79" i="1"/>
  <c r="AJ79" i="1" s="1"/>
  <c r="AK78" i="1"/>
  <c r="AI78" i="1"/>
  <c r="AH78" i="1"/>
  <c r="AJ78" i="1" s="1"/>
  <c r="AK77" i="1"/>
  <c r="AI77" i="1"/>
  <c r="AH77" i="1"/>
  <c r="AJ77" i="1" s="1"/>
  <c r="AK76" i="1"/>
  <c r="AI76" i="1"/>
  <c r="AH76" i="1"/>
  <c r="AJ76" i="1" s="1"/>
  <c r="AK75" i="1"/>
  <c r="AI75" i="1"/>
  <c r="AH75" i="1"/>
  <c r="AJ75" i="1" s="1"/>
  <c r="AK74" i="1"/>
  <c r="AI74" i="1"/>
  <c r="AH74" i="1"/>
  <c r="AJ74" i="1" s="1"/>
  <c r="AK73" i="1"/>
  <c r="AI73" i="1"/>
  <c r="AH73" i="1"/>
  <c r="AJ73" i="1" s="1"/>
  <c r="AK72" i="1"/>
  <c r="AI72" i="1"/>
  <c r="AH72" i="1"/>
  <c r="AJ72" i="1" s="1"/>
  <c r="AK71" i="1"/>
  <c r="AI71" i="1"/>
  <c r="AH71" i="1"/>
  <c r="AJ71" i="1" s="1"/>
  <c r="AK70" i="1"/>
  <c r="AI70" i="1"/>
  <c r="AH70" i="1"/>
  <c r="AJ70" i="1" s="1"/>
  <c r="AK69" i="1"/>
  <c r="AI69" i="1"/>
  <c r="AH69" i="1"/>
  <c r="AJ69" i="1" s="1"/>
  <c r="AK68" i="1"/>
  <c r="AI68" i="1"/>
  <c r="AH68" i="1"/>
  <c r="AJ68" i="1" s="1"/>
  <c r="AK67" i="1"/>
  <c r="AI67" i="1"/>
  <c r="AH67" i="1"/>
  <c r="AJ67" i="1" s="1"/>
  <c r="AK66" i="1"/>
  <c r="AI66" i="1"/>
  <c r="AH66" i="1"/>
  <c r="AJ66" i="1" s="1"/>
  <c r="AK65" i="1"/>
  <c r="AI65" i="1"/>
  <c r="AH65" i="1"/>
  <c r="AJ65" i="1" s="1"/>
  <c r="AK64" i="1"/>
  <c r="AI64" i="1"/>
  <c r="AH64" i="1"/>
  <c r="AJ64" i="1" s="1"/>
  <c r="AK63" i="1"/>
  <c r="AI63" i="1"/>
  <c r="AH63" i="1"/>
  <c r="AJ63" i="1" s="1"/>
  <c r="AK62" i="1"/>
  <c r="AI62" i="1"/>
  <c r="AH62" i="1"/>
  <c r="AJ62" i="1" s="1"/>
  <c r="AK61" i="1"/>
  <c r="AI61" i="1"/>
  <c r="AH61" i="1"/>
  <c r="AJ61" i="1" s="1"/>
  <c r="AK60" i="1"/>
  <c r="AI60" i="1"/>
  <c r="AH60" i="1"/>
  <c r="AJ60" i="1" s="1"/>
  <c r="AK59" i="1"/>
  <c r="AI59" i="1"/>
  <c r="AH59" i="1"/>
  <c r="AJ59" i="1" s="1"/>
  <c r="AK58" i="1"/>
  <c r="AI58" i="1"/>
  <c r="AH58" i="1"/>
  <c r="AJ58" i="1" s="1"/>
  <c r="AK57" i="1"/>
  <c r="AI57" i="1"/>
  <c r="AH57" i="1"/>
  <c r="AJ57" i="1" s="1"/>
  <c r="AK56" i="1"/>
  <c r="AI56" i="1"/>
  <c r="AH56" i="1"/>
  <c r="AJ56" i="1" s="1"/>
  <c r="AK55" i="1"/>
  <c r="AI55" i="1"/>
  <c r="AH55" i="1"/>
  <c r="AJ55" i="1" s="1"/>
  <c r="AK54" i="1"/>
  <c r="AI54" i="1"/>
  <c r="AH54" i="1"/>
  <c r="AJ54" i="1" s="1"/>
  <c r="AK53" i="1"/>
  <c r="AI53" i="1"/>
  <c r="AH53" i="1"/>
  <c r="AJ53" i="1" s="1"/>
  <c r="AK52" i="1"/>
  <c r="AI52" i="1"/>
  <c r="AH52" i="1"/>
  <c r="AJ52" i="1" s="1"/>
  <c r="AK51" i="1"/>
  <c r="AI51" i="1"/>
  <c r="AH51" i="1"/>
  <c r="AJ51" i="1" s="1"/>
  <c r="AK50" i="1"/>
  <c r="AI50" i="1"/>
  <c r="AH50" i="1"/>
  <c r="AJ50" i="1" s="1"/>
  <c r="AK49" i="1"/>
  <c r="AI49" i="1"/>
  <c r="AH49" i="1"/>
  <c r="AJ49" i="1" s="1"/>
  <c r="AK48" i="1"/>
  <c r="AI48" i="1"/>
  <c r="AH48" i="1"/>
  <c r="AJ48" i="1" s="1"/>
  <c r="AK47" i="1"/>
  <c r="AI47" i="1"/>
  <c r="AH47" i="1"/>
  <c r="AJ47" i="1" s="1"/>
  <c r="AK46" i="1"/>
  <c r="AI46" i="1"/>
  <c r="AH46" i="1"/>
  <c r="AJ46" i="1" s="1"/>
  <c r="AK45" i="1"/>
  <c r="AI45" i="1"/>
  <c r="AH45" i="1"/>
  <c r="AJ45" i="1" s="1"/>
  <c r="AK44" i="1"/>
  <c r="AI44" i="1"/>
  <c r="AH44" i="1"/>
  <c r="AJ44" i="1" s="1"/>
  <c r="AK43" i="1"/>
  <c r="AI43" i="1"/>
  <c r="AH43" i="1"/>
  <c r="AJ43" i="1" s="1"/>
  <c r="AK42" i="1"/>
  <c r="AI42" i="1"/>
  <c r="AH42" i="1"/>
  <c r="AJ42" i="1" s="1"/>
  <c r="AK41" i="1"/>
  <c r="AI41" i="1"/>
  <c r="AH41" i="1"/>
  <c r="AJ41" i="1" s="1"/>
  <c r="AK40" i="1"/>
  <c r="AI40" i="1"/>
  <c r="AH40" i="1"/>
  <c r="AJ40" i="1" s="1"/>
  <c r="AK39" i="1"/>
  <c r="AI39" i="1"/>
  <c r="AH39" i="1"/>
  <c r="AJ39" i="1" s="1"/>
  <c r="AK38" i="1"/>
  <c r="AI38" i="1"/>
  <c r="AH38" i="1"/>
  <c r="AJ38" i="1" s="1"/>
  <c r="AK37" i="1"/>
  <c r="AI37" i="1"/>
  <c r="AH37" i="1"/>
  <c r="AJ37" i="1" s="1"/>
  <c r="AK36" i="1"/>
  <c r="AI36" i="1"/>
  <c r="AH36" i="1"/>
  <c r="AJ36" i="1" s="1"/>
  <c r="AK35" i="1"/>
  <c r="AI35" i="1"/>
  <c r="AH35" i="1"/>
  <c r="AJ35" i="1" s="1"/>
  <c r="AK34" i="1"/>
  <c r="AI34" i="1"/>
  <c r="AH34" i="1"/>
  <c r="AJ34" i="1" s="1"/>
  <c r="AK33" i="1"/>
  <c r="AI33" i="1"/>
  <c r="AH33" i="1"/>
  <c r="AJ33" i="1" s="1"/>
  <c r="AK32" i="1"/>
  <c r="AI32" i="1"/>
  <c r="AH32" i="1"/>
  <c r="AJ32" i="1" s="1"/>
  <c r="AK31" i="1"/>
  <c r="AI31" i="1"/>
  <c r="AH31" i="1"/>
  <c r="AJ31" i="1" s="1"/>
  <c r="AK30" i="1"/>
  <c r="AI30" i="1"/>
  <c r="AH30" i="1"/>
  <c r="AJ30" i="1" s="1"/>
  <c r="AK29" i="1"/>
  <c r="AI29" i="1"/>
  <c r="AH29" i="1"/>
  <c r="AJ29" i="1" s="1"/>
  <c r="AK28" i="1"/>
  <c r="AE122" i="1" s="1"/>
  <c r="AI28" i="1"/>
  <c r="AH28" i="1"/>
  <c r="AJ28" i="1" s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E114" i="1" l="1"/>
  <c r="AE113" i="1"/>
  <c r="AE121" i="1"/>
  <c r="AE123" i="1"/>
  <c r="AE124" i="1"/>
  <c r="AE115" i="1"/>
  <c r="AH4" i="1"/>
  <c r="AJ4" i="1" s="1"/>
  <c r="AI4" i="1"/>
  <c r="AH5" i="1"/>
  <c r="AI5" i="1"/>
  <c r="AJ5" i="1"/>
  <c r="AH6" i="1"/>
  <c r="AJ6" i="1" s="1"/>
  <c r="AI6" i="1"/>
  <c r="AH7" i="1"/>
  <c r="AJ7" i="1" s="1"/>
  <c r="AI7" i="1"/>
  <c r="AH8" i="1"/>
  <c r="AJ8" i="1" s="1"/>
  <c r="AI8" i="1"/>
  <c r="AH9" i="1"/>
  <c r="AJ9" i="1" s="1"/>
  <c r="AI9" i="1"/>
  <c r="AH10" i="1"/>
  <c r="AJ10" i="1" s="1"/>
  <c r="AI10" i="1"/>
  <c r="AH11" i="1"/>
  <c r="AJ11" i="1" s="1"/>
  <c r="AI11" i="1"/>
  <c r="AH12" i="1"/>
  <c r="AJ12" i="1" s="1"/>
  <c r="AI12" i="1"/>
  <c r="AH13" i="1"/>
  <c r="AJ13" i="1" s="1"/>
  <c r="AI13" i="1"/>
  <c r="AH14" i="1"/>
  <c r="AJ14" i="1" s="1"/>
  <c r="AI14" i="1"/>
  <c r="AH15" i="1"/>
  <c r="AJ15" i="1" s="1"/>
  <c r="AI15" i="1"/>
  <c r="AH16" i="1"/>
  <c r="AJ16" i="1" s="1"/>
  <c r="AI16" i="1"/>
  <c r="AH17" i="1"/>
  <c r="AJ17" i="1" s="1"/>
  <c r="AI17" i="1"/>
  <c r="AH18" i="1"/>
  <c r="AJ18" i="1" s="1"/>
  <c r="AI18" i="1"/>
  <c r="AH19" i="1"/>
  <c r="AJ19" i="1" s="1"/>
  <c r="AI19" i="1"/>
  <c r="AH20" i="1"/>
  <c r="AJ20" i="1" s="1"/>
  <c r="AI20" i="1"/>
  <c r="AH21" i="1"/>
  <c r="AJ21" i="1" s="1"/>
  <c r="AI21" i="1"/>
  <c r="AH22" i="1"/>
  <c r="AJ22" i="1" s="1"/>
  <c r="AI22" i="1"/>
  <c r="AH23" i="1"/>
  <c r="AJ23" i="1" s="1"/>
  <c r="AI23" i="1"/>
  <c r="AH24" i="1"/>
  <c r="AJ24" i="1" s="1"/>
  <c r="AI24" i="1"/>
  <c r="AH25" i="1"/>
  <c r="AJ25" i="1" s="1"/>
  <c r="AI25" i="1"/>
  <c r="AH26" i="1"/>
  <c r="AJ26" i="1" s="1"/>
  <c r="AI26" i="1"/>
  <c r="AH27" i="1"/>
  <c r="AJ27" i="1" s="1"/>
  <c r="AI27" i="1"/>
  <c r="AH3" i="1"/>
  <c r="AJ3" i="1" s="1"/>
  <c r="AI3" i="1"/>
  <c r="AE112" i="1" l="1"/>
</calcChain>
</file>

<file path=xl/sharedStrings.xml><?xml version="1.0" encoding="utf-8"?>
<sst xmlns="http://schemas.openxmlformats.org/spreadsheetml/2006/main" count="236" uniqueCount="161">
  <si>
    <t>Problem</t>
  </si>
  <si>
    <t>LB</t>
  </si>
  <si>
    <t>No. of Jobs</t>
  </si>
  <si>
    <t>No. of Stages</t>
  </si>
  <si>
    <t>S2-P1</t>
  </si>
  <si>
    <t>S2-P2</t>
  </si>
  <si>
    <t>S2-P3</t>
  </si>
  <si>
    <t>S2-P4</t>
  </si>
  <si>
    <t>S2-P5</t>
  </si>
  <si>
    <t>S2-P6</t>
  </si>
  <si>
    <t>S2-P7</t>
  </si>
  <si>
    <t>S2-P8</t>
  </si>
  <si>
    <t>S2-P9</t>
  </si>
  <si>
    <t>S2-P10</t>
  </si>
  <si>
    <t>S2-P11</t>
  </si>
  <si>
    <t>S2-P12</t>
  </si>
  <si>
    <t>S2-P13</t>
  </si>
  <si>
    <t>S2-P14</t>
  </si>
  <si>
    <t>S2-P15</t>
  </si>
  <si>
    <t>S2-P16</t>
  </si>
  <si>
    <t>S2-P17</t>
  </si>
  <si>
    <t>S2-P18</t>
  </si>
  <si>
    <t>S2-P19</t>
  </si>
  <si>
    <t>S2-P20</t>
  </si>
  <si>
    <t>S2-P21</t>
  </si>
  <si>
    <t>S2-P22</t>
  </si>
  <si>
    <t>S2-P23</t>
  </si>
  <si>
    <t>S2-P24</t>
  </si>
  <si>
    <t>S2-P25</t>
  </si>
  <si>
    <t>Matta's GA results</t>
  </si>
  <si>
    <t>Best Cmax</t>
  </si>
  <si>
    <t>Avg. Cmax</t>
  </si>
  <si>
    <t>Avg. Time</t>
  </si>
  <si>
    <t>TS results</t>
  </si>
  <si>
    <t>S4-P1</t>
  </si>
  <si>
    <t>S4-P2</t>
  </si>
  <si>
    <t>S4-P3</t>
  </si>
  <si>
    <t>S4-P4</t>
  </si>
  <si>
    <t>S4-P5</t>
  </si>
  <si>
    <t>S4-P6</t>
  </si>
  <si>
    <t>S4-P7</t>
  </si>
  <si>
    <t>S4-P8</t>
  </si>
  <si>
    <t>S4-P9</t>
  </si>
  <si>
    <t>S4-P10</t>
  </si>
  <si>
    <t>S4-P11</t>
  </si>
  <si>
    <t>S4-P12</t>
  </si>
  <si>
    <t>S4-P13</t>
  </si>
  <si>
    <t>S4-P14</t>
  </si>
  <si>
    <t>S4-P15</t>
  </si>
  <si>
    <t>S4-P16</t>
  </si>
  <si>
    <t>S4-P17</t>
  </si>
  <si>
    <t>S4-P18</t>
  </si>
  <si>
    <t>S4-P19</t>
  </si>
  <si>
    <t>S4-P20</t>
  </si>
  <si>
    <t>S4-P21</t>
  </si>
  <si>
    <t>S4-P22</t>
  </si>
  <si>
    <t>S4-P23</t>
  </si>
  <si>
    <t>S4-P24</t>
  </si>
  <si>
    <t>S4-P25</t>
  </si>
  <si>
    <t>S8-P1</t>
  </si>
  <si>
    <t>S8-P2</t>
  </si>
  <si>
    <t>S8-P3</t>
  </si>
  <si>
    <t>S8-P4</t>
  </si>
  <si>
    <t>S8-P5</t>
  </si>
  <si>
    <t>S8-P6</t>
  </si>
  <si>
    <t>S8-P7</t>
  </si>
  <si>
    <t>S8-P8</t>
  </si>
  <si>
    <t>S8-P9</t>
  </si>
  <si>
    <t>S8-P10</t>
  </si>
  <si>
    <t>S8-P11</t>
  </si>
  <si>
    <t>S8-P12</t>
  </si>
  <si>
    <t>S8-P13</t>
  </si>
  <si>
    <t>S8-P14</t>
  </si>
  <si>
    <t>S8-P15</t>
  </si>
  <si>
    <t>S8-P16</t>
  </si>
  <si>
    <t>S8-P17</t>
  </si>
  <si>
    <t>S8-P18</t>
  </si>
  <si>
    <t>S8-P19</t>
  </si>
  <si>
    <t>S8-P20</t>
  </si>
  <si>
    <t>S8-P21</t>
  </si>
  <si>
    <t>S8-P22</t>
  </si>
  <si>
    <t>S8-P23</t>
  </si>
  <si>
    <t>S8-P24</t>
  </si>
  <si>
    <t>S8-P25</t>
  </si>
  <si>
    <t>S16-P1</t>
  </si>
  <si>
    <t>S16-P2</t>
  </si>
  <si>
    <t>S16-P3</t>
  </si>
  <si>
    <t>S16-P4</t>
  </si>
  <si>
    <t>S16-P5</t>
  </si>
  <si>
    <t>S16-P6</t>
  </si>
  <si>
    <t>S16-P7</t>
  </si>
  <si>
    <t>S16-P8</t>
  </si>
  <si>
    <t>S16-P9</t>
  </si>
  <si>
    <t>S16-P10</t>
  </si>
  <si>
    <t>S16-P11</t>
  </si>
  <si>
    <t>S16-P12</t>
  </si>
  <si>
    <t>S16-P13</t>
  </si>
  <si>
    <t>S16-P14</t>
  </si>
  <si>
    <t>S16-P15</t>
  </si>
  <si>
    <t>S16-P16</t>
  </si>
  <si>
    <t>S16-P17</t>
  </si>
  <si>
    <t>S16-P18</t>
  </si>
  <si>
    <t>S16-P19</t>
  </si>
  <si>
    <t>S16-P20</t>
  </si>
  <si>
    <t>S16-P21</t>
  </si>
  <si>
    <t>S16-P22</t>
  </si>
  <si>
    <t>S16-P23</t>
  </si>
  <si>
    <t>S16-P24</t>
  </si>
  <si>
    <t>S16-P25</t>
  </si>
  <si>
    <t>Mean dev.</t>
  </si>
  <si>
    <t>hPSOTS results</t>
  </si>
  <si>
    <t>hPSOTS runs</t>
  </si>
  <si>
    <t>Cmax1</t>
  </si>
  <si>
    <t>Time1</t>
  </si>
  <si>
    <t>Cmax2</t>
  </si>
  <si>
    <t>Time2</t>
  </si>
  <si>
    <t>Cmax3</t>
  </si>
  <si>
    <t>Time3</t>
  </si>
  <si>
    <t>Cmax4</t>
  </si>
  <si>
    <t>Time4</t>
  </si>
  <si>
    <t>Cmax5</t>
  </si>
  <si>
    <t>Time5</t>
  </si>
  <si>
    <t>Cmax6</t>
  </si>
  <si>
    <t>Time6</t>
  </si>
  <si>
    <t>Cmax7</t>
  </si>
  <si>
    <t>Time7</t>
  </si>
  <si>
    <t>Cmax8</t>
  </si>
  <si>
    <t>Time8</t>
  </si>
  <si>
    <t>Cmax9</t>
  </si>
  <si>
    <t>Time9</t>
  </si>
  <si>
    <t>Cmax10</t>
  </si>
  <si>
    <t>Time10</t>
  </si>
  <si>
    <t>Average performance results</t>
  </si>
  <si>
    <t>K</t>
  </si>
  <si>
    <t>GA</t>
  </si>
  <si>
    <t>TS</t>
  </si>
  <si>
    <t>hPSOTS</t>
  </si>
  <si>
    <t>Average time results</t>
  </si>
  <si>
    <t>Cmax</t>
  </si>
  <si>
    <t>SS-TS</t>
  </si>
  <si>
    <t>Time (ms)</t>
  </si>
  <si>
    <t>SSPR-Run #1</t>
  </si>
  <si>
    <t>SSPR-Run #2</t>
  </si>
  <si>
    <t>SSPR-Run #3</t>
  </si>
  <si>
    <t>SSPR-Run #4</t>
  </si>
  <si>
    <t>SSPR-Run #5</t>
  </si>
  <si>
    <t>SSPR-Run #6</t>
  </si>
  <si>
    <t>SSPR-Run #7</t>
  </si>
  <si>
    <t>SSPR-Run #8</t>
  </si>
  <si>
    <t>SSPR-Run #9</t>
  </si>
  <si>
    <t>SSPR-Run #10</t>
  </si>
  <si>
    <t>SSPR results</t>
  </si>
  <si>
    <t>SSPR</t>
  </si>
  <si>
    <t>Instance</t>
  </si>
  <si>
    <t>Average makespan of the ten runs</t>
  </si>
  <si>
    <t>Best makespan among the ten runs</t>
  </si>
  <si>
    <t>hPSTS</t>
  </si>
  <si>
    <t>SS/PR</t>
  </si>
  <si>
    <t>|W|</t>
  </si>
  <si>
    <t>Average percentage deviation from LB</t>
  </si>
  <si>
    <t>Average computational 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</si>
</sst>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9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5" xfId="0" applyFont="1" applyFill="1" applyBorder="1"/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12" xfId="0" applyFont="1" applyFill="1" applyBorder="1" applyAlignment="1">
      <alignment horizontal="center"/>
    </xf>
    <xf numFmtId="10" fontId="0" fillId="4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2" fontId="0" fillId="4" borderId="28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4" borderId="31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0" fontId="0" fillId="0" borderId="35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0" fillId="0" borderId="37" xfId="0" applyBorder="1" applyAlignment="1"/>
    <xf numFmtId="0" fontId="0" fillId="0" borderId="3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7" xfId="0" applyBorder="1"/>
    <xf numFmtId="0" fontId="1" fillId="0" borderId="37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39" xfId="0" applyBorder="1" applyAlignment="1"/>
    <xf numFmtId="0" fontId="0" fillId="0" borderId="3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24"/>
  <sheetViews>
    <sheetView workbookViewId="0">
      <pane xSplit="1" ySplit="2" topLeftCell="X107" activePane="bottomRight" state="frozen"/>
      <selection pane="topRight" activeCell="B1" sqref="B1"/>
      <selection pane="bottomLeft" activeCell="A3" sqref="A3"/>
      <selection pane="bottomRight" activeCell="BT29" sqref="BT29"/>
    </sheetView>
  </sheetViews>
  <sheetFormatPr defaultRowHeight="14.4" x14ac:dyDescent="0.3"/>
  <cols>
    <col min="2" max="2" width="13" style="1" customWidth="1"/>
    <col min="3" max="3" width="14.33203125" style="1" customWidth="1"/>
    <col min="4" max="4" width="6.6640625" style="1" customWidth="1"/>
    <col min="5" max="5" width="7.6640625" style="73" customWidth="1"/>
    <col min="6" max="6" width="12.77734375" style="73" customWidth="1"/>
    <col min="7" max="7" width="7.6640625" style="73" customWidth="1"/>
    <col min="8" max="8" width="12.77734375" style="73" customWidth="1"/>
    <col min="9" max="9" width="7.6640625" style="73" customWidth="1"/>
    <col min="10" max="10" width="12.77734375" style="73" customWidth="1"/>
    <col min="11" max="11" width="7.6640625" style="73" customWidth="1"/>
    <col min="12" max="12" width="12.77734375" style="73" customWidth="1"/>
    <col min="13" max="13" width="7.6640625" style="73" customWidth="1"/>
    <col min="14" max="14" width="12.77734375" style="73" customWidth="1"/>
    <col min="15" max="15" width="7.6640625" style="73" customWidth="1"/>
    <col min="16" max="16" width="12.77734375" style="73" customWidth="1"/>
    <col min="17" max="17" width="7.6640625" style="73" customWidth="1"/>
    <col min="18" max="18" width="12.77734375" style="73" customWidth="1"/>
    <col min="19" max="19" width="7.6640625" style="73" customWidth="1"/>
    <col min="20" max="20" width="12.77734375" style="73" customWidth="1"/>
    <col min="21" max="21" width="7.6640625" style="73" customWidth="1"/>
    <col min="22" max="22" width="12.77734375" style="73" customWidth="1"/>
    <col min="23" max="23" width="7.6640625" style="73" customWidth="1"/>
    <col min="24" max="24" width="12.77734375" style="73" customWidth="1"/>
    <col min="25" max="25" width="10.109375" style="41" customWidth="1"/>
    <col min="26" max="37" width="11.44140625" style="1" customWidth="1"/>
    <col min="38" max="41" width="11.44140625" style="94" customWidth="1"/>
    <col min="42" max="61" width="9.109375" style="1"/>
  </cols>
  <sheetData>
    <row r="1" spans="1:61" ht="15" thickBot="1" x14ac:dyDescent="0.35">
      <c r="E1" s="97" t="s">
        <v>141</v>
      </c>
      <c r="F1" s="99"/>
      <c r="G1" s="97" t="s">
        <v>142</v>
      </c>
      <c r="H1" s="99"/>
      <c r="I1" s="97" t="s">
        <v>143</v>
      </c>
      <c r="J1" s="99"/>
      <c r="K1" s="97" t="s">
        <v>144</v>
      </c>
      <c r="L1" s="99"/>
      <c r="M1" s="97" t="s">
        <v>145</v>
      </c>
      <c r="N1" s="99"/>
      <c r="O1" s="97" t="s">
        <v>146</v>
      </c>
      <c r="P1" s="99"/>
      <c r="Q1" s="97" t="s">
        <v>147</v>
      </c>
      <c r="R1" s="99"/>
      <c r="S1" s="97" t="s">
        <v>148</v>
      </c>
      <c r="T1" s="99"/>
      <c r="U1" s="97" t="s">
        <v>149</v>
      </c>
      <c r="V1" s="99"/>
      <c r="W1" s="97" t="s">
        <v>150</v>
      </c>
      <c r="X1" s="99"/>
      <c r="Y1" s="72" t="s">
        <v>139</v>
      </c>
      <c r="Z1" s="97" t="s">
        <v>29</v>
      </c>
      <c r="AA1" s="98"/>
      <c r="AB1" s="98"/>
      <c r="AC1" s="99"/>
      <c r="AD1" s="97" t="s">
        <v>33</v>
      </c>
      <c r="AE1" s="98"/>
      <c r="AF1" s="98"/>
      <c r="AG1" s="99"/>
      <c r="AH1" s="97" t="s">
        <v>110</v>
      </c>
      <c r="AI1" s="98"/>
      <c r="AJ1" s="98"/>
      <c r="AK1" s="99"/>
      <c r="AL1" s="97" t="s">
        <v>151</v>
      </c>
      <c r="AM1" s="98"/>
      <c r="AN1" s="98"/>
      <c r="AO1" s="99"/>
      <c r="AP1" s="95" t="s">
        <v>111</v>
      </c>
      <c r="AQ1" s="95"/>
      <c r="AR1" s="95"/>
      <c r="AS1" s="95"/>
      <c r="AT1" s="95"/>
      <c r="AU1" s="95"/>
      <c r="AV1" s="95"/>
      <c r="AW1" s="95"/>
      <c r="AX1" s="95"/>
      <c r="AY1" s="95"/>
      <c r="AZ1" s="96"/>
      <c r="BA1" s="96"/>
      <c r="BB1" s="96"/>
      <c r="BC1" s="96"/>
      <c r="BD1" s="96"/>
      <c r="BE1" s="96"/>
      <c r="BF1" s="96"/>
      <c r="BG1" s="96"/>
      <c r="BH1" s="96"/>
      <c r="BI1" s="96"/>
    </row>
    <row r="2" spans="1:61" ht="15" thickBot="1" x14ac:dyDescent="0.35">
      <c r="A2" s="2" t="s">
        <v>0</v>
      </c>
      <c r="B2" s="3" t="s">
        <v>2</v>
      </c>
      <c r="C2" s="3" t="s">
        <v>3</v>
      </c>
      <c r="D2" s="3" t="s">
        <v>1</v>
      </c>
      <c r="E2" s="79" t="s">
        <v>138</v>
      </c>
      <c r="F2" s="83" t="s">
        <v>140</v>
      </c>
      <c r="G2" s="79" t="s">
        <v>138</v>
      </c>
      <c r="H2" s="80" t="s">
        <v>140</v>
      </c>
      <c r="I2" s="79" t="s">
        <v>138</v>
      </c>
      <c r="J2" s="80" t="s">
        <v>140</v>
      </c>
      <c r="K2" s="79" t="s">
        <v>138</v>
      </c>
      <c r="L2" s="80" t="s">
        <v>140</v>
      </c>
      <c r="M2" s="79" t="s">
        <v>138</v>
      </c>
      <c r="N2" s="80" t="s">
        <v>140</v>
      </c>
      <c r="O2" s="79" t="s">
        <v>138</v>
      </c>
      <c r="P2" s="83" t="s">
        <v>140</v>
      </c>
      <c r="Q2" s="79" t="s">
        <v>138</v>
      </c>
      <c r="R2" s="80" t="s">
        <v>140</v>
      </c>
      <c r="S2" s="79" t="s">
        <v>138</v>
      </c>
      <c r="T2" s="80" t="s">
        <v>140</v>
      </c>
      <c r="U2" s="79" t="s">
        <v>138</v>
      </c>
      <c r="V2" s="80" t="s">
        <v>140</v>
      </c>
      <c r="W2" s="79" t="s">
        <v>138</v>
      </c>
      <c r="X2" s="80" t="s">
        <v>140</v>
      </c>
      <c r="Y2" s="50" t="s">
        <v>138</v>
      </c>
      <c r="Z2" s="49" t="s">
        <v>31</v>
      </c>
      <c r="AA2" s="3" t="s">
        <v>30</v>
      </c>
      <c r="AB2" s="3" t="s">
        <v>109</v>
      </c>
      <c r="AC2" s="50" t="s">
        <v>32</v>
      </c>
      <c r="AD2" s="49" t="s">
        <v>31</v>
      </c>
      <c r="AE2" s="3" t="s">
        <v>30</v>
      </c>
      <c r="AF2" s="3" t="s">
        <v>109</v>
      </c>
      <c r="AG2" s="50" t="s">
        <v>32</v>
      </c>
      <c r="AH2" s="49" t="s">
        <v>31</v>
      </c>
      <c r="AI2" s="3" t="s">
        <v>30</v>
      </c>
      <c r="AJ2" s="3" t="s">
        <v>109</v>
      </c>
      <c r="AK2" s="50" t="s">
        <v>32</v>
      </c>
      <c r="AL2" s="49" t="s">
        <v>31</v>
      </c>
      <c r="AM2" s="3" t="s">
        <v>30</v>
      </c>
      <c r="AN2" s="3" t="s">
        <v>109</v>
      </c>
      <c r="AO2" s="50" t="s">
        <v>32</v>
      </c>
      <c r="AP2" s="3" t="s">
        <v>112</v>
      </c>
      <c r="AQ2" s="3" t="s">
        <v>113</v>
      </c>
      <c r="AR2" s="3" t="s">
        <v>114</v>
      </c>
      <c r="AS2" s="3" t="s">
        <v>115</v>
      </c>
      <c r="AT2" s="3" t="s">
        <v>116</v>
      </c>
      <c r="AU2" s="3" t="s">
        <v>117</v>
      </c>
      <c r="AV2" s="3" t="s">
        <v>118</v>
      </c>
      <c r="AW2" s="3" t="s">
        <v>119</v>
      </c>
      <c r="AX2" s="3" t="s">
        <v>120</v>
      </c>
      <c r="AY2" s="3" t="s">
        <v>121</v>
      </c>
      <c r="AZ2" s="3" t="s">
        <v>122</v>
      </c>
      <c r="BA2" s="3" t="s">
        <v>123</v>
      </c>
      <c r="BB2" s="3" t="s">
        <v>124</v>
      </c>
      <c r="BC2" s="3" t="s">
        <v>125</v>
      </c>
      <c r="BD2" s="3" t="s">
        <v>126</v>
      </c>
      <c r="BE2" s="3" t="s">
        <v>127</v>
      </c>
      <c r="BF2" s="3" t="s">
        <v>128</v>
      </c>
      <c r="BG2" s="3" t="s">
        <v>129</v>
      </c>
      <c r="BH2" s="3" t="s">
        <v>130</v>
      </c>
      <c r="BI2" s="3" t="s">
        <v>131</v>
      </c>
    </row>
    <row r="3" spans="1:61" x14ac:dyDescent="0.3">
      <c r="A3" s="24" t="s">
        <v>4</v>
      </c>
      <c r="B3" s="25">
        <v>22</v>
      </c>
      <c r="C3" s="25">
        <v>2</v>
      </c>
      <c r="D3" s="67">
        <v>30</v>
      </c>
      <c r="E3" s="81"/>
      <c r="F3" s="68"/>
      <c r="G3" s="81"/>
      <c r="H3" s="82"/>
      <c r="I3" s="81"/>
      <c r="J3" s="82"/>
      <c r="K3" s="81"/>
      <c r="L3" s="82"/>
      <c r="M3" s="81"/>
      <c r="N3" s="82"/>
      <c r="O3" s="81"/>
      <c r="P3" s="68"/>
      <c r="Q3" s="81"/>
      <c r="R3" s="82"/>
      <c r="S3" s="81"/>
      <c r="T3" s="82"/>
      <c r="U3" s="81"/>
      <c r="V3" s="82"/>
      <c r="W3" s="81"/>
      <c r="X3" s="82"/>
      <c r="Y3" s="74">
        <v>30</v>
      </c>
      <c r="Z3" s="61">
        <v>30</v>
      </c>
      <c r="AA3" s="26">
        <v>30</v>
      </c>
      <c r="AB3" s="26">
        <v>0</v>
      </c>
      <c r="AC3" s="62">
        <v>3.19</v>
      </c>
      <c r="AD3" s="61">
        <v>30</v>
      </c>
      <c r="AE3" s="26">
        <v>30</v>
      </c>
      <c r="AF3" s="26">
        <v>0</v>
      </c>
      <c r="AG3" s="62">
        <v>0.02</v>
      </c>
      <c r="AH3" s="51">
        <f>AVERAGE(AP3,AR3,AT3,AV3,AX3,AZ3,BB3,BD3,BF3,BH3)</f>
        <v>30</v>
      </c>
      <c r="AI3" s="29">
        <f>MIN(AP3,AR3,AT3,AV3,AX3,AZ3,BB3,BD3,BF3,BH3)</f>
        <v>30</v>
      </c>
      <c r="AJ3" s="30">
        <f>(AH3-D3)/D3</f>
        <v>0</v>
      </c>
      <c r="AK3" s="52">
        <f t="shared" ref="AK3:AK34" si="0">AVERAGE(AQ3,AS3,AU3,AW3,AY3,BA3,BC3,BE3,BG3,BI3)/1000</f>
        <v>7.7000000000000002E-3</v>
      </c>
      <c r="AL3" s="61"/>
      <c r="AM3" s="26"/>
      <c r="AN3" s="26"/>
      <c r="AO3" s="62"/>
      <c r="AP3" s="1">
        <v>30</v>
      </c>
      <c r="AQ3" s="1">
        <v>8</v>
      </c>
      <c r="AR3" s="1">
        <v>30</v>
      </c>
      <c r="AS3" s="1">
        <v>12</v>
      </c>
      <c r="AT3" s="1">
        <v>30</v>
      </c>
      <c r="AU3" s="1">
        <v>9</v>
      </c>
      <c r="AV3" s="1">
        <v>30</v>
      </c>
      <c r="AW3" s="1">
        <v>8</v>
      </c>
      <c r="AX3" s="1">
        <v>30</v>
      </c>
      <c r="AY3" s="1">
        <v>5</v>
      </c>
      <c r="AZ3" s="1">
        <v>30</v>
      </c>
      <c r="BA3" s="1">
        <v>6</v>
      </c>
      <c r="BB3" s="1">
        <v>30</v>
      </c>
      <c r="BC3" s="1">
        <v>7</v>
      </c>
      <c r="BD3" s="1">
        <v>30</v>
      </c>
      <c r="BE3" s="1">
        <v>9</v>
      </c>
      <c r="BF3" s="1">
        <v>30</v>
      </c>
      <c r="BG3" s="1">
        <v>8</v>
      </c>
      <c r="BH3" s="1">
        <v>30</v>
      </c>
      <c r="BI3" s="1">
        <v>5</v>
      </c>
    </row>
    <row r="4" spans="1:61" x14ac:dyDescent="0.3">
      <c r="A4" s="27" t="s">
        <v>5</v>
      </c>
      <c r="B4" s="28">
        <v>32</v>
      </c>
      <c r="C4" s="28">
        <v>2</v>
      </c>
      <c r="D4" s="68">
        <v>10</v>
      </c>
      <c r="E4" s="81"/>
      <c r="F4" s="68"/>
      <c r="G4" s="81"/>
      <c r="H4" s="82"/>
      <c r="I4" s="81"/>
      <c r="J4" s="82"/>
      <c r="K4" s="81"/>
      <c r="L4" s="82"/>
      <c r="M4" s="81"/>
      <c r="N4" s="82"/>
      <c r="O4" s="81"/>
      <c r="P4" s="68"/>
      <c r="Q4" s="81"/>
      <c r="R4" s="82"/>
      <c r="S4" s="81"/>
      <c r="T4" s="82"/>
      <c r="U4" s="81"/>
      <c r="V4" s="82"/>
      <c r="W4" s="81"/>
      <c r="X4" s="82"/>
      <c r="Y4" s="75">
        <v>11</v>
      </c>
      <c r="Z4" s="51">
        <v>11</v>
      </c>
      <c r="AA4" s="29">
        <v>11</v>
      </c>
      <c r="AB4" s="29">
        <v>10</v>
      </c>
      <c r="AC4" s="63">
        <v>2.2999999999999998</v>
      </c>
      <c r="AD4" s="51">
        <v>11</v>
      </c>
      <c r="AE4" s="29">
        <v>11</v>
      </c>
      <c r="AF4" s="29">
        <v>10</v>
      </c>
      <c r="AG4" s="63">
        <v>0.05</v>
      </c>
      <c r="AH4" s="51">
        <f t="shared" ref="AH4:AH27" si="1">AVERAGE(AP4,AR4,AT4,AV4,AX4,AZ4,BB4,BD4,BF4,BH4)</f>
        <v>11</v>
      </c>
      <c r="AI4" s="29">
        <f t="shared" ref="AI4:AI27" si="2">MIN(AP4,AR4,AT4,AV4,AX4,AZ4,BB4,BD4,BF4,BH4)</f>
        <v>11</v>
      </c>
      <c r="AJ4" s="30">
        <f t="shared" ref="AJ4:AJ27" si="3">(AH4-D4)/D4</f>
        <v>0.1</v>
      </c>
      <c r="AK4" s="52">
        <f t="shared" si="0"/>
        <v>0.46989999999999998</v>
      </c>
      <c r="AL4" s="51"/>
      <c r="AM4" s="29"/>
      <c r="AN4" s="29"/>
      <c r="AO4" s="63"/>
      <c r="AP4" s="1">
        <v>11</v>
      </c>
      <c r="AQ4" s="1">
        <v>523</v>
      </c>
      <c r="AR4" s="1">
        <v>11</v>
      </c>
      <c r="AS4" s="1">
        <v>390</v>
      </c>
      <c r="AT4" s="1">
        <v>11</v>
      </c>
      <c r="AU4" s="1">
        <v>388</v>
      </c>
      <c r="AV4" s="1">
        <v>11</v>
      </c>
      <c r="AW4" s="1">
        <v>638</v>
      </c>
      <c r="AX4" s="1">
        <v>11</v>
      </c>
      <c r="AY4" s="1">
        <v>456</v>
      </c>
      <c r="AZ4" s="1">
        <v>11</v>
      </c>
      <c r="BA4" s="1">
        <v>365</v>
      </c>
      <c r="BB4" s="1">
        <v>11</v>
      </c>
      <c r="BC4" s="1">
        <v>473</v>
      </c>
      <c r="BD4" s="1">
        <v>11</v>
      </c>
      <c r="BE4" s="1">
        <v>632</v>
      </c>
      <c r="BF4" s="1">
        <v>11</v>
      </c>
      <c r="BG4" s="1">
        <v>420</v>
      </c>
      <c r="BH4" s="1">
        <v>11</v>
      </c>
      <c r="BI4" s="1">
        <v>414</v>
      </c>
    </row>
    <row r="5" spans="1:61" x14ac:dyDescent="0.3">
      <c r="A5" s="27" t="s">
        <v>6</v>
      </c>
      <c r="B5" s="28">
        <v>24</v>
      </c>
      <c r="C5" s="28">
        <v>2</v>
      </c>
      <c r="D5" s="68">
        <v>18</v>
      </c>
      <c r="E5" s="81"/>
      <c r="F5" s="68"/>
      <c r="G5" s="81"/>
      <c r="H5" s="82"/>
      <c r="I5" s="81"/>
      <c r="J5" s="82"/>
      <c r="K5" s="81"/>
      <c r="L5" s="82"/>
      <c r="M5" s="81"/>
      <c r="N5" s="82"/>
      <c r="O5" s="81"/>
      <c r="P5" s="68"/>
      <c r="Q5" s="81"/>
      <c r="R5" s="82"/>
      <c r="S5" s="81"/>
      <c r="T5" s="82"/>
      <c r="U5" s="81"/>
      <c r="V5" s="82"/>
      <c r="W5" s="81"/>
      <c r="X5" s="82"/>
      <c r="Y5" s="75">
        <v>18</v>
      </c>
      <c r="Z5" s="51">
        <v>18</v>
      </c>
      <c r="AA5" s="29">
        <v>18</v>
      </c>
      <c r="AB5" s="29">
        <v>0</v>
      </c>
      <c r="AC5" s="63">
        <v>2.27</v>
      </c>
      <c r="AD5" s="51">
        <v>18</v>
      </c>
      <c r="AE5" s="29">
        <v>18</v>
      </c>
      <c r="AF5" s="29">
        <v>0</v>
      </c>
      <c r="AG5" s="63">
        <v>0</v>
      </c>
      <c r="AH5" s="51">
        <f t="shared" si="1"/>
        <v>18</v>
      </c>
      <c r="AI5" s="29">
        <f t="shared" si="2"/>
        <v>18</v>
      </c>
      <c r="AJ5" s="30">
        <f t="shared" si="3"/>
        <v>0</v>
      </c>
      <c r="AK5" s="52">
        <f t="shared" si="0"/>
        <v>1.0699999999999999E-2</v>
      </c>
      <c r="AL5" s="51"/>
      <c r="AM5" s="29"/>
      <c r="AN5" s="29"/>
      <c r="AO5" s="63"/>
      <c r="AP5" s="1">
        <v>18</v>
      </c>
      <c r="AQ5" s="1">
        <v>6</v>
      </c>
      <c r="AR5" s="1">
        <v>18</v>
      </c>
      <c r="AS5" s="1">
        <v>9</v>
      </c>
      <c r="AT5" s="1">
        <v>18</v>
      </c>
      <c r="AU5" s="1">
        <v>50</v>
      </c>
      <c r="AV5" s="1">
        <v>18</v>
      </c>
      <c r="AW5" s="1">
        <v>7</v>
      </c>
      <c r="AX5" s="1">
        <v>18</v>
      </c>
      <c r="AY5" s="1">
        <v>6</v>
      </c>
      <c r="AZ5" s="1">
        <v>18</v>
      </c>
      <c r="BA5" s="1">
        <v>6</v>
      </c>
      <c r="BB5" s="1">
        <v>18</v>
      </c>
      <c r="BC5" s="1">
        <v>5</v>
      </c>
      <c r="BD5" s="1">
        <v>18</v>
      </c>
      <c r="BE5" s="1">
        <v>8</v>
      </c>
      <c r="BF5" s="1">
        <v>18</v>
      </c>
      <c r="BG5" s="1">
        <v>5</v>
      </c>
      <c r="BH5" s="1">
        <v>18</v>
      </c>
      <c r="BI5" s="1">
        <v>5</v>
      </c>
    </row>
    <row r="6" spans="1:61" x14ac:dyDescent="0.3">
      <c r="A6" s="27" t="s">
        <v>7</v>
      </c>
      <c r="B6" s="28">
        <v>20</v>
      </c>
      <c r="C6" s="28">
        <v>2</v>
      </c>
      <c r="D6" s="68">
        <v>16</v>
      </c>
      <c r="E6" s="81"/>
      <c r="F6" s="68"/>
      <c r="G6" s="81"/>
      <c r="H6" s="82"/>
      <c r="I6" s="81"/>
      <c r="J6" s="82"/>
      <c r="K6" s="81"/>
      <c r="L6" s="82"/>
      <c r="M6" s="81"/>
      <c r="N6" s="82"/>
      <c r="O6" s="81"/>
      <c r="P6" s="68"/>
      <c r="Q6" s="81"/>
      <c r="R6" s="82"/>
      <c r="S6" s="81"/>
      <c r="T6" s="82"/>
      <c r="U6" s="81"/>
      <c r="V6" s="82"/>
      <c r="W6" s="81"/>
      <c r="X6" s="82"/>
      <c r="Y6" s="75">
        <v>18</v>
      </c>
      <c r="Z6" s="51">
        <v>18</v>
      </c>
      <c r="AA6" s="29">
        <v>18</v>
      </c>
      <c r="AB6" s="29">
        <v>12.5</v>
      </c>
      <c r="AC6" s="63">
        <v>1.58</v>
      </c>
      <c r="AD6" s="51">
        <v>18</v>
      </c>
      <c r="AE6" s="29">
        <v>18</v>
      </c>
      <c r="AF6" s="29">
        <v>12.5</v>
      </c>
      <c r="AG6" s="63">
        <v>0.02</v>
      </c>
      <c r="AH6" s="51">
        <f t="shared" si="1"/>
        <v>18</v>
      </c>
      <c r="AI6" s="29">
        <f t="shared" si="2"/>
        <v>18</v>
      </c>
      <c r="AJ6" s="30">
        <f t="shared" si="3"/>
        <v>0.125</v>
      </c>
      <c r="AK6" s="52">
        <f t="shared" si="0"/>
        <v>0.37669999999999998</v>
      </c>
      <c r="AL6" s="51"/>
      <c r="AM6" s="29"/>
      <c r="AN6" s="29"/>
      <c r="AO6" s="63"/>
      <c r="AP6" s="1">
        <v>18</v>
      </c>
      <c r="AQ6" s="1">
        <v>325</v>
      </c>
      <c r="AR6" s="1">
        <v>18</v>
      </c>
      <c r="AS6" s="1">
        <v>451</v>
      </c>
      <c r="AT6" s="1">
        <v>18</v>
      </c>
      <c r="AU6" s="1">
        <v>406</v>
      </c>
      <c r="AV6" s="1">
        <v>18</v>
      </c>
      <c r="AW6" s="1">
        <v>345</v>
      </c>
      <c r="AX6" s="1">
        <v>18</v>
      </c>
      <c r="AY6" s="1">
        <v>404</v>
      </c>
      <c r="AZ6" s="1">
        <v>18</v>
      </c>
      <c r="BA6" s="1">
        <v>335</v>
      </c>
      <c r="BB6" s="1">
        <v>18</v>
      </c>
      <c r="BC6" s="1">
        <v>329</v>
      </c>
      <c r="BD6" s="1">
        <v>18</v>
      </c>
      <c r="BE6" s="1">
        <v>436</v>
      </c>
      <c r="BF6" s="1">
        <v>18</v>
      </c>
      <c r="BG6" s="1">
        <v>372</v>
      </c>
      <c r="BH6" s="1">
        <v>18</v>
      </c>
      <c r="BI6" s="1">
        <v>364</v>
      </c>
    </row>
    <row r="7" spans="1:61" x14ac:dyDescent="0.3">
      <c r="A7" s="27" t="s">
        <v>8</v>
      </c>
      <c r="B7" s="28">
        <v>29</v>
      </c>
      <c r="C7" s="28">
        <v>2</v>
      </c>
      <c r="D7" s="68">
        <v>27</v>
      </c>
      <c r="E7" s="81"/>
      <c r="F7" s="68"/>
      <c r="G7" s="81"/>
      <c r="H7" s="82"/>
      <c r="I7" s="81"/>
      <c r="J7" s="82"/>
      <c r="K7" s="81"/>
      <c r="L7" s="82"/>
      <c r="M7" s="81"/>
      <c r="N7" s="82"/>
      <c r="O7" s="81"/>
      <c r="P7" s="68"/>
      <c r="Q7" s="81"/>
      <c r="R7" s="82"/>
      <c r="S7" s="81"/>
      <c r="T7" s="82"/>
      <c r="U7" s="81"/>
      <c r="V7" s="82"/>
      <c r="W7" s="81"/>
      <c r="X7" s="82"/>
      <c r="Y7" s="75">
        <v>31</v>
      </c>
      <c r="Z7" s="51">
        <v>31</v>
      </c>
      <c r="AA7" s="29">
        <v>31</v>
      </c>
      <c r="AB7" s="29">
        <v>14.8</v>
      </c>
      <c r="AC7" s="63">
        <v>4.7699999999999996</v>
      </c>
      <c r="AD7" s="51">
        <v>31</v>
      </c>
      <c r="AE7" s="29">
        <v>31</v>
      </c>
      <c r="AF7" s="29">
        <v>14.8</v>
      </c>
      <c r="AG7" s="63">
        <v>0.04</v>
      </c>
      <c r="AH7" s="51">
        <f t="shared" si="1"/>
        <v>31</v>
      </c>
      <c r="AI7" s="29">
        <f t="shared" si="2"/>
        <v>31</v>
      </c>
      <c r="AJ7" s="30">
        <f t="shared" si="3"/>
        <v>0.14814814814814814</v>
      </c>
      <c r="AK7" s="52">
        <f t="shared" si="0"/>
        <v>0.43589999999999995</v>
      </c>
      <c r="AL7" s="51"/>
      <c r="AM7" s="29"/>
      <c r="AN7" s="29"/>
      <c r="AO7" s="63"/>
      <c r="AP7" s="1">
        <v>31</v>
      </c>
      <c r="AQ7" s="1">
        <v>422</v>
      </c>
      <c r="AR7" s="1">
        <v>31</v>
      </c>
      <c r="AS7" s="1">
        <v>552</v>
      </c>
      <c r="AT7" s="1">
        <v>31</v>
      </c>
      <c r="AU7" s="1">
        <v>399</v>
      </c>
      <c r="AV7" s="1">
        <v>31</v>
      </c>
      <c r="AW7" s="1">
        <v>425</v>
      </c>
      <c r="AX7" s="1">
        <v>31</v>
      </c>
      <c r="AY7" s="1">
        <v>506</v>
      </c>
      <c r="AZ7" s="1">
        <v>31</v>
      </c>
      <c r="BA7" s="1">
        <v>474</v>
      </c>
      <c r="BB7" s="1">
        <v>31</v>
      </c>
      <c r="BC7" s="1">
        <v>420</v>
      </c>
      <c r="BD7" s="1">
        <v>31</v>
      </c>
      <c r="BE7" s="1">
        <v>402</v>
      </c>
      <c r="BF7" s="1">
        <v>31</v>
      </c>
      <c r="BG7" s="1">
        <v>400</v>
      </c>
      <c r="BH7" s="1">
        <v>31</v>
      </c>
      <c r="BI7" s="1">
        <v>359</v>
      </c>
    </row>
    <row r="8" spans="1:61" x14ac:dyDescent="0.3">
      <c r="A8" s="27" t="s">
        <v>9</v>
      </c>
      <c r="B8" s="28">
        <v>30</v>
      </c>
      <c r="C8" s="28">
        <v>2</v>
      </c>
      <c r="D8" s="68">
        <v>12</v>
      </c>
      <c r="E8" s="81"/>
      <c r="F8" s="68"/>
      <c r="G8" s="81"/>
      <c r="H8" s="82"/>
      <c r="I8" s="81"/>
      <c r="J8" s="82"/>
      <c r="K8" s="81"/>
      <c r="L8" s="82"/>
      <c r="M8" s="81"/>
      <c r="N8" s="82"/>
      <c r="O8" s="81"/>
      <c r="P8" s="68"/>
      <c r="Q8" s="81"/>
      <c r="R8" s="82"/>
      <c r="S8" s="81"/>
      <c r="T8" s="82"/>
      <c r="U8" s="81"/>
      <c r="V8" s="82"/>
      <c r="W8" s="81"/>
      <c r="X8" s="82"/>
      <c r="Y8" s="75">
        <v>12</v>
      </c>
      <c r="Z8" s="51">
        <v>12</v>
      </c>
      <c r="AA8" s="29">
        <v>12</v>
      </c>
      <c r="AB8" s="29">
        <v>0</v>
      </c>
      <c r="AC8" s="63">
        <v>2.37</v>
      </c>
      <c r="AD8" s="51">
        <v>12</v>
      </c>
      <c r="AE8" s="29">
        <v>12</v>
      </c>
      <c r="AF8" s="29">
        <v>0</v>
      </c>
      <c r="AG8" s="63">
        <v>0</v>
      </c>
      <c r="AH8" s="51">
        <f t="shared" si="1"/>
        <v>12</v>
      </c>
      <c r="AI8" s="29">
        <f t="shared" si="2"/>
        <v>12</v>
      </c>
      <c r="AJ8" s="30">
        <f t="shared" si="3"/>
        <v>0</v>
      </c>
      <c r="AK8" s="52">
        <f t="shared" si="0"/>
        <v>5.4999999999999997E-3</v>
      </c>
      <c r="AL8" s="51"/>
      <c r="AM8" s="29"/>
      <c r="AN8" s="29"/>
      <c r="AO8" s="63"/>
      <c r="AP8" s="1">
        <v>12</v>
      </c>
      <c r="AQ8" s="1">
        <v>8</v>
      </c>
      <c r="AR8" s="1">
        <v>12</v>
      </c>
      <c r="AS8" s="1">
        <v>7</v>
      </c>
      <c r="AT8" s="1">
        <v>12</v>
      </c>
      <c r="AU8" s="1">
        <v>7</v>
      </c>
      <c r="AV8" s="1">
        <v>12</v>
      </c>
      <c r="AW8" s="1">
        <v>5</v>
      </c>
      <c r="AX8" s="1">
        <v>12</v>
      </c>
      <c r="AY8" s="1">
        <v>5</v>
      </c>
      <c r="AZ8" s="1">
        <v>12</v>
      </c>
      <c r="BA8" s="1">
        <v>4</v>
      </c>
      <c r="BB8" s="1">
        <v>12</v>
      </c>
      <c r="BC8" s="1">
        <v>5</v>
      </c>
      <c r="BD8" s="1">
        <v>12</v>
      </c>
      <c r="BE8" s="1">
        <v>5</v>
      </c>
      <c r="BF8" s="1">
        <v>12</v>
      </c>
      <c r="BG8" s="1">
        <v>4</v>
      </c>
      <c r="BH8" s="1">
        <v>12</v>
      </c>
      <c r="BI8" s="1">
        <v>5</v>
      </c>
    </row>
    <row r="9" spans="1:61" ht="15" customHeight="1" x14ac:dyDescent="0.3">
      <c r="A9" s="27" t="s">
        <v>10</v>
      </c>
      <c r="B9" s="28">
        <v>28</v>
      </c>
      <c r="C9" s="28">
        <v>2</v>
      </c>
      <c r="D9" s="68">
        <v>27</v>
      </c>
      <c r="E9" s="81"/>
      <c r="F9" s="68"/>
      <c r="G9" s="81"/>
      <c r="H9" s="82"/>
      <c r="I9" s="81"/>
      <c r="J9" s="82"/>
      <c r="K9" s="81"/>
      <c r="L9" s="82"/>
      <c r="M9" s="81"/>
      <c r="N9" s="82"/>
      <c r="O9" s="81"/>
      <c r="P9" s="68"/>
      <c r="Q9" s="81"/>
      <c r="R9" s="82"/>
      <c r="S9" s="81"/>
      <c r="T9" s="82"/>
      <c r="U9" s="81"/>
      <c r="V9" s="82"/>
      <c r="W9" s="81"/>
      <c r="X9" s="82"/>
      <c r="Y9" s="75">
        <v>30</v>
      </c>
      <c r="Z9" s="51">
        <v>30</v>
      </c>
      <c r="AA9" s="29">
        <v>30</v>
      </c>
      <c r="AB9" s="29">
        <v>11.1</v>
      </c>
      <c r="AC9" s="63">
        <v>4.1900000000000004</v>
      </c>
      <c r="AD9" s="51">
        <v>30</v>
      </c>
      <c r="AE9" s="29">
        <v>30</v>
      </c>
      <c r="AF9" s="29">
        <v>11.1</v>
      </c>
      <c r="AG9" s="63">
        <v>0.02</v>
      </c>
      <c r="AH9" s="51">
        <f t="shared" si="1"/>
        <v>30</v>
      </c>
      <c r="AI9" s="29">
        <f t="shared" si="2"/>
        <v>30</v>
      </c>
      <c r="AJ9" s="30">
        <f t="shared" si="3"/>
        <v>0.1111111111111111</v>
      </c>
      <c r="AK9" s="52">
        <f t="shared" si="0"/>
        <v>0.43719999999999998</v>
      </c>
      <c r="AL9" s="51"/>
      <c r="AM9" s="29"/>
      <c r="AN9" s="29"/>
      <c r="AO9" s="63"/>
      <c r="AP9" s="1">
        <v>30</v>
      </c>
      <c r="AQ9" s="1">
        <v>398</v>
      </c>
      <c r="AR9" s="1">
        <v>30</v>
      </c>
      <c r="AS9" s="1">
        <v>390</v>
      </c>
      <c r="AT9" s="1">
        <v>30</v>
      </c>
      <c r="AU9" s="1">
        <v>453</v>
      </c>
      <c r="AV9" s="1">
        <v>30</v>
      </c>
      <c r="AW9" s="1">
        <v>451</v>
      </c>
      <c r="AX9" s="1">
        <v>30</v>
      </c>
      <c r="AY9" s="1">
        <v>408</v>
      </c>
      <c r="AZ9" s="1">
        <v>30</v>
      </c>
      <c r="BA9" s="1">
        <v>391</v>
      </c>
      <c r="BB9" s="1">
        <v>30</v>
      </c>
      <c r="BC9" s="1">
        <v>393</v>
      </c>
      <c r="BD9" s="1">
        <v>30</v>
      </c>
      <c r="BE9" s="1">
        <v>411</v>
      </c>
      <c r="BF9" s="1">
        <v>30</v>
      </c>
      <c r="BG9" s="1">
        <v>454</v>
      </c>
      <c r="BH9" s="1">
        <v>30</v>
      </c>
      <c r="BI9" s="1">
        <v>623</v>
      </c>
    </row>
    <row r="10" spans="1:61" x14ac:dyDescent="0.3">
      <c r="A10" s="27" t="s">
        <v>11</v>
      </c>
      <c r="B10" s="28">
        <v>10</v>
      </c>
      <c r="C10" s="28">
        <v>2</v>
      </c>
      <c r="D10" s="68">
        <v>16</v>
      </c>
      <c r="E10" s="81"/>
      <c r="F10" s="68"/>
      <c r="G10" s="81"/>
      <c r="H10" s="82"/>
      <c r="I10" s="81"/>
      <c r="J10" s="82"/>
      <c r="K10" s="81"/>
      <c r="L10" s="82"/>
      <c r="M10" s="81"/>
      <c r="N10" s="82"/>
      <c r="O10" s="81"/>
      <c r="P10" s="68"/>
      <c r="Q10" s="81"/>
      <c r="R10" s="82"/>
      <c r="S10" s="81"/>
      <c r="T10" s="82"/>
      <c r="U10" s="81"/>
      <c r="V10" s="82"/>
      <c r="W10" s="81"/>
      <c r="X10" s="82"/>
      <c r="Y10" s="75">
        <v>16</v>
      </c>
      <c r="Z10" s="51">
        <v>16</v>
      </c>
      <c r="AA10" s="29">
        <v>16</v>
      </c>
      <c r="AB10" s="29">
        <v>0</v>
      </c>
      <c r="AC10" s="63">
        <v>0.53</v>
      </c>
      <c r="AD10" s="51">
        <v>16</v>
      </c>
      <c r="AE10" s="29">
        <v>16</v>
      </c>
      <c r="AF10" s="29">
        <v>0</v>
      </c>
      <c r="AG10" s="63">
        <v>0</v>
      </c>
      <c r="AH10" s="51">
        <f t="shared" si="1"/>
        <v>16</v>
      </c>
      <c r="AI10" s="29">
        <f t="shared" si="2"/>
        <v>16</v>
      </c>
      <c r="AJ10" s="30">
        <f t="shared" si="3"/>
        <v>0</v>
      </c>
      <c r="AK10" s="52">
        <f t="shared" si="0"/>
        <v>2.3999999999999998E-3</v>
      </c>
      <c r="AL10" s="51"/>
      <c r="AM10" s="29"/>
      <c r="AN10" s="29"/>
      <c r="AO10" s="63"/>
      <c r="AP10" s="1">
        <v>16</v>
      </c>
      <c r="AQ10" s="1">
        <v>3</v>
      </c>
      <c r="AR10" s="1">
        <v>16</v>
      </c>
      <c r="AS10" s="1">
        <v>2</v>
      </c>
      <c r="AT10" s="1">
        <v>16</v>
      </c>
      <c r="AU10" s="1">
        <v>2</v>
      </c>
      <c r="AV10" s="1">
        <v>16</v>
      </c>
      <c r="AW10" s="1">
        <v>3</v>
      </c>
      <c r="AX10" s="1">
        <v>16</v>
      </c>
      <c r="AY10" s="1">
        <v>2</v>
      </c>
      <c r="AZ10" s="1">
        <v>16</v>
      </c>
      <c r="BA10" s="1">
        <v>2</v>
      </c>
      <c r="BB10" s="1">
        <v>16</v>
      </c>
      <c r="BC10" s="1">
        <v>3</v>
      </c>
      <c r="BD10" s="1">
        <v>16</v>
      </c>
      <c r="BE10" s="1">
        <v>3</v>
      </c>
      <c r="BF10" s="1">
        <v>16</v>
      </c>
      <c r="BG10" s="1">
        <v>2</v>
      </c>
      <c r="BH10" s="1">
        <v>16</v>
      </c>
      <c r="BI10" s="1">
        <v>2</v>
      </c>
    </row>
    <row r="11" spans="1:61" x14ac:dyDescent="0.3">
      <c r="A11" s="27" t="s">
        <v>12</v>
      </c>
      <c r="B11" s="28">
        <v>30</v>
      </c>
      <c r="C11" s="28">
        <v>2</v>
      </c>
      <c r="D11" s="68">
        <v>22</v>
      </c>
      <c r="E11" s="81"/>
      <c r="F11" s="68"/>
      <c r="G11" s="81"/>
      <c r="H11" s="82"/>
      <c r="I11" s="81"/>
      <c r="J11" s="82"/>
      <c r="K11" s="81"/>
      <c r="L11" s="82"/>
      <c r="M11" s="81"/>
      <c r="N11" s="82"/>
      <c r="O11" s="81"/>
      <c r="P11" s="68"/>
      <c r="Q11" s="81"/>
      <c r="R11" s="82"/>
      <c r="S11" s="81"/>
      <c r="T11" s="82"/>
      <c r="U11" s="81"/>
      <c r="V11" s="82"/>
      <c r="W11" s="81"/>
      <c r="X11" s="82"/>
      <c r="Y11" s="75">
        <v>22</v>
      </c>
      <c r="Z11" s="51">
        <v>22</v>
      </c>
      <c r="AA11" s="29">
        <v>22</v>
      </c>
      <c r="AB11" s="29">
        <v>0</v>
      </c>
      <c r="AC11" s="63">
        <v>4.37</v>
      </c>
      <c r="AD11" s="51">
        <v>22</v>
      </c>
      <c r="AE11" s="29">
        <v>22</v>
      </c>
      <c r="AF11" s="29">
        <v>0</v>
      </c>
      <c r="AG11" s="63">
        <v>0</v>
      </c>
      <c r="AH11" s="51">
        <f t="shared" si="1"/>
        <v>22</v>
      </c>
      <c r="AI11" s="29">
        <f t="shared" si="2"/>
        <v>22</v>
      </c>
      <c r="AJ11" s="30">
        <f t="shared" si="3"/>
        <v>0</v>
      </c>
      <c r="AK11" s="52">
        <f t="shared" si="0"/>
        <v>5.1999999999999998E-3</v>
      </c>
      <c r="AL11" s="51"/>
      <c r="AM11" s="29"/>
      <c r="AN11" s="29"/>
      <c r="AO11" s="63"/>
      <c r="AP11" s="1">
        <v>22</v>
      </c>
      <c r="AQ11" s="1">
        <v>6</v>
      </c>
      <c r="AR11" s="1">
        <v>22</v>
      </c>
      <c r="AS11" s="1">
        <v>6</v>
      </c>
      <c r="AT11" s="1">
        <v>22</v>
      </c>
      <c r="AU11" s="1">
        <v>5</v>
      </c>
      <c r="AV11" s="1">
        <v>22</v>
      </c>
      <c r="AW11" s="1">
        <v>5</v>
      </c>
      <c r="AX11" s="1">
        <v>22</v>
      </c>
      <c r="AY11" s="1">
        <v>5</v>
      </c>
      <c r="AZ11" s="1">
        <v>22</v>
      </c>
      <c r="BA11" s="1">
        <v>7</v>
      </c>
      <c r="BB11" s="1">
        <v>22</v>
      </c>
      <c r="BC11" s="1">
        <v>4</v>
      </c>
      <c r="BD11" s="1">
        <v>22</v>
      </c>
      <c r="BE11" s="1">
        <v>5</v>
      </c>
      <c r="BF11" s="1">
        <v>22</v>
      </c>
      <c r="BG11" s="1">
        <v>4</v>
      </c>
      <c r="BH11" s="1">
        <v>22</v>
      </c>
      <c r="BI11" s="1">
        <v>5</v>
      </c>
    </row>
    <row r="12" spans="1:61" x14ac:dyDescent="0.3">
      <c r="A12" s="27" t="s">
        <v>13</v>
      </c>
      <c r="B12" s="28">
        <v>16</v>
      </c>
      <c r="C12" s="28">
        <v>2</v>
      </c>
      <c r="D12" s="68">
        <v>28</v>
      </c>
      <c r="E12" s="81"/>
      <c r="F12" s="68"/>
      <c r="G12" s="81"/>
      <c r="H12" s="82"/>
      <c r="I12" s="81"/>
      <c r="J12" s="82"/>
      <c r="K12" s="81"/>
      <c r="L12" s="82"/>
      <c r="M12" s="81"/>
      <c r="N12" s="82"/>
      <c r="O12" s="81"/>
      <c r="P12" s="68"/>
      <c r="Q12" s="81"/>
      <c r="R12" s="82"/>
      <c r="S12" s="81"/>
      <c r="T12" s="82"/>
      <c r="U12" s="81"/>
      <c r="V12" s="82"/>
      <c r="W12" s="81"/>
      <c r="X12" s="82"/>
      <c r="Y12" s="75">
        <v>28</v>
      </c>
      <c r="Z12" s="51">
        <v>28</v>
      </c>
      <c r="AA12" s="29">
        <v>28</v>
      </c>
      <c r="AB12" s="29">
        <v>0</v>
      </c>
      <c r="AC12" s="63">
        <v>1.61</v>
      </c>
      <c r="AD12" s="51">
        <v>28</v>
      </c>
      <c r="AE12" s="29">
        <v>28</v>
      </c>
      <c r="AF12" s="29">
        <v>0</v>
      </c>
      <c r="AG12" s="63">
        <v>0.02</v>
      </c>
      <c r="AH12" s="51">
        <f t="shared" si="1"/>
        <v>28</v>
      </c>
      <c r="AI12" s="29">
        <f t="shared" si="2"/>
        <v>28</v>
      </c>
      <c r="AJ12" s="30">
        <f t="shared" si="3"/>
        <v>0</v>
      </c>
      <c r="AK12" s="52">
        <f t="shared" si="0"/>
        <v>5.0000000000000001E-3</v>
      </c>
      <c r="AL12" s="51"/>
      <c r="AM12" s="29"/>
      <c r="AN12" s="29"/>
      <c r="AO12" s="63"/>
      <c r="AP12" s="1">
        <v>28</v>
      </c>
      <c r="AQ12" s="1">
        <v>6</v>
      </c>
      <c r="AR12" s="1">
        <v>28</v>
      </c>
      <c r="AS12" s="1">
        <v>9</v>
      </c>
      <c r="AT12" s="1">
        <v>28</v>
      </c>
      <c r="AU12" s="1">
        <v>5</v>
      </c>
      <c r="AV12" s="1">
        <v>28</v>
      </c>
      <c r="AW12" s="1">
        <v>3</v>
      </c>
      <c r="AX12" s="1">
        <v>28</v>
      </c>
      <c r="AY12" s="1">
        <v>5</v>
      </c>
      <c r="AZ12" s="1">
        <v>28</v>
      </c>
      <c r="BA12" s="1">
        <v>7</v>
      </c>
      <c r="BB12" s="1">
        <v>28</v>
      </c>
      <c r="BC12" s="1">
        <v>3</v>
      </c>
      <c r="BD12" s="1">
        <v>28</v>
      </c>
      <c r="BE12" s="1">
        <v>5</v>
      </c>
      <c r="BF12" s="1">
        <v>28</v>
      </c>
      <c r="BG12" s="1">
        <v>4</v>
      </c>
      <c r="BH12" s="1">
        <v>28</v>
      </c>
      <c r="BI12" s="1">
        <v>3</v>
      </c>
    </row>
    <row r="13" spans="1:61" x14ac:dyDescent="0.3">
      <c r="A13" s="27" t="s">
        <v>14</v>
      </c>
      <c r="B13" s="28">
        <v>40</v>
      </c>
      <c r="C13" s="28">
        <v>2</v>
      </c>
      <c r="D13" s="68">
        <v>14</v>
      </c>
      <c r="E13" s="81"/>
      <c r="F13" s="68"/>
      <c r="G13" s="81"/>
      <c r="H13" s="82"/>
      <c r="I13" s="81"/>
      <c r="J13" s="82"/>
      <c r="K13" s="81"/>
      <c r="L13" s="82"/>
      <c r="M13" s="81"/>
      <c r="N13" s="82"/>
      <c r="O13" s="81"/>
      <c r="P13" s="68"/>
      <c r="Q13" s="81"/>
      <c r="R13" s="82"/>
      <c r="S13" s="81"/>
      <c r="T13" s="82"/>
      <c r="U13" s="81"/>
      <c r="V13" s="82"/>
      <c r="W13" s="81"/>
      <c r="X13" s="82"/>
      <c r="Y13" s="75">
        <v>14</v>
      </c>
      <c r="Z13" s="51">
        <v>14</v>
      </c>
      <c r="AA13" s="29">
        <v>14</v>
      </c>
      <c r="AB13" s="29">
        <v>0</v>
      </c>
      <c r="AC13" s="63">
        <v>4.8</v>
      </c>
      <c r="AD13" s="51">
        <v>14</v>
      </c>
      <c r="AE13" s="29">
        <v>14</v>
      </c>
      <c r="AF13" s="29">
        <v>0</v>
      </c>
      <c r="AG13" s="63">
        <v>0</v>
      </c>
      <c r="AH13" s="51">
        <f t="shared" si="1"/>
        <v>14</v>
      </c>
      <c r="AI13" s="29">
        <f t="shared" si="2"/>
        <v>14</v>
      </c>
      <c r="AJ13" s="30">
        <f t="shared" si="3"/>
        <v>0</v>
      </c>
      <c r="AK13" s="52">
        <f t="shared" si="0"/>
        <v>8.199999999999999E-3</v>
      </c>
      <c r="AL13" s="51"/>
      <c r="AM13" s="29"/>
      <c r="AN13" s="29"/>
      <c r="AO13" s="63"/>
      <c r="AP13" s="1">
        <v>14</v>
      </c>
      <c r="AQ13" s="1">
        <v>12</v>
      </c>
      <c r="AR13" s="1">
        <v>14</v>
      </c>
      <c r="AS13" s="1">
        <v>11</v>
      </c>
      <c r="AT13" s="1">
        <v>14</v>
      </c>
      <c r="AU13" s="1">
        <v>11</v>
      </c>
      <c r="AV13" s="1">
        <v>14</v>
      </c>
      <c r="AW13" s="1">
        <v>9</v>
      </c>
      <c r="AX13" s="1">
        <v>14</v>
      </c>
      <c r="AY13" s="1">
        <v>6</v>
      </c>
      <c r="AZ13" s="1">
        <v>14</v>
      </c>
      <c r="BA13" s="1">
        <v>6</v>
      </c>
      <c r="BB13" s="1">
        <v>14</v>
      </c>
      <c r="BC13" s="1">
        <v>7</v>
      </c>
      <c r="BD13" s="1">
        <v>14</v>
      </c>
      <c r="BE13" s="1">
        <v>7</v>
      </c>
      <c r="BF13" s="1">
        <v>14</v>
      </c>
      <c r="BG13" s="1">
        <v>6</v>
      </c>
      <c r="BH13" s="1">
        <v>14</v>
      </c>
      <c r="BI13" s="1">
        <v>7</v>
      </c>
    </row>
    <row r="14" spans="1:61" x14ac:dyDescent="0.3">
      <c r="A14" s="27" t="s">
        <v>15</v>
      </c>
      <c r="B14" s="28">
        <v>34</v>
      </c>
      <c r="C14" s="28">
        <v>2</v>
      </c>
      <c r="D14" s="68">
        <v>36</v>
      </c>
      <c r="E14" s="81"/>
      <c r="F14" s="68"/>
      <c r="G14" s="81"/>
      <c r="H14" s="82"/>
      <c r="I14" s="81"/>
      <c r="J14" s="82"/>
      <c r="K14" s="81"/>
      <c r="L14" s="82"/>
      <c r="M14" s="81"/>
      <c r="N14" s="82"/>
      <c r="O14" s="81"/>
      <c r="P14" s="68"/>
      <c r="Q14" s="81"/>
      <c r="R14" s="82"/>
      <c r="S14" s="81"/>
      <c r="T14" s="82"/>
      <c r="U14" s="81"/>
      <c r="V14" s="82"/>
      <c r="W14" s="81"/>
      <c r="X14" s="82"/>
      <c r="Y14" s="75">
        <v>39</v>
      </c>
      <c r="Z14" s="51">
        <v>39</v>
      </c>
      <c r="AA14" s="29">
        <v>39</v>
      </c>
      <c r="AB14" s="29">
        <v>8.3000000000000007</v>
      </c>
      <c r="AC14" s="63">
        <v>7.44</v>
      </c>
      <c r="AD14" s="51">
        <v>39</v>
      </c>
      <c r="AE14" s="29">
        <v>39</v>
      </c>
      <c r="AF14" s="29">
        <v>8.3000000000000007</v>
      </c>
      <c r="AG14" s="63">
        <v>0.04</v>
      </c>
      <c r="AH14" s="51">
        <f t="shared" si="1"/>
        <v>39</v>
      </c>
      <c r="AI14" s="29">
        <f t="shared" si="2"/>
        <v>39</v>
      </c>
      <c r="AJ14" s="30">
        <f t="shared" si="3"/>
        <v>8.3333333333333329E-2</v>
      </c>
      <c r="AK14" s="52">
        <f t="shared" si="0"/>
        <v>0.4829</v>
      </c>
      <c r="AL14" s="51"/>
      <c r="AM14" s="29"/>
      <c r="AN14" s="29"/>
      <c r="AO14" s="63"/>
      <c r="AP14" s="1">
        <v>39</v>
      </c>
      <c r="AQ14" s="1">
        <v>450</v>
      </c>
      <c r="AR14" s="1">
        <v>39</v>
      </c>
      <c r="AS14" s="1">
        <v>497</v>
      </c>
      <c r="AT14" s="1">
        <v>39</v>
      </c>
      <c r="AU14" s="1">
        <v>449</v>
      </c>
      <c r="AV14" s="1">
        <v>39</v>
      </c>
      <c r="AW14" s="1">
        <v>508</v>
      </c>
      <c r="AX14" s="1">
        <v>39</v>
      </c>
      <c r="AY14" s="1">
        <v>500</v>
      </c>
      <c r="AZ14" s="1">
        <v>39</v>
      </c>
      <c r="BA14" s="1">
        <v>446</v>
      </c>
      <c r="BB14" s="1">
        <v>39</v>
      </c>
      <c r="BC14" s="1">
        <v>413</v>
      </c>
      <c r="BD14" s="1">
        <v>39</v>
      </c>
      <c r="BE14" s="1">
        <v>529</v>
      </c>
      <c r="BF14" s="1">
        <v>39</v>
      </c>
      <c r="BG14" s="1">
        <v>538</v>
      </c>
      <c r="BH14" s="1">
        <v>39</v>
      </c>
      <c r="BI14" s="1">
        <v>499</v>
      </c>
    </row>
    <row r="15" spans="1:61" x14ac:dyDescent="0.3">
      <c r="A15" s="27" t="s">
        <v>16</v>
      </c>
      <c r="B15" s="28">
        <v>12</v>
      </c>
      <c r="C15" s="28">
        <v>2</v>
      </c>
      <c r="D15" s="68">
        <v>26</v>
      </c>
      <c r="E15" s="81"/>
      <c r="F15" s="68"/>
      <c r="G15" s="81"/>
      <c r="H15" s="82"/>
      <c r="I15" s="81"/>
      <c r="J15" s="82"/>
      <c r="K15" s="81"/>
      <c r="L15" s="82"/>
      <c r="M15" s="81"/>
      <c r="N15" s="82"/>
      <c r="O15" s="81"/>
      <c r="P15" s="68"/>
      <c r="Q15" s="81"/>
      <c r="R15" s="82"/>
      <c r="S15" s="81"/>
      <c r="T15" s="82"/>
      <c r="U15" s="81"/>
      <c r="V15" s="82"/>
      <c r="W15" s="81"/>
      <c r="X15" s="82"/>
      <c r="Y15" s="75">
        <v>26</v>
      </c>
      <c r="Z15" s="51">
        <v>26</v>
      </c>
      <c r="AA15" s="29">
        <v>26</v>
      </c>
      <c r="AB15" s="29">
        <v>0</v>
      </c>
      <c r="AC15" s="63">
        <v>0.97</v>
      </c>
      <c r="AD15" s="51">
        <v>26</v>
      </c>
      <c r="AE15" s="29">
        <v>26</v>
      </c>
      <c r="AF15" s="29">
        <v>0</v>
      </c>
      <c r="AG15" s="63">
        <v>0</v>
      </c>
      <c r="AH15" s="51">
        <f t="shared" si="1"/>
        <v>26</v>
      </c>
      <c r="AI15" s="29">
        <f t="shared" si="2"/>
        <v>26</v>
      </c>
      <c r="AJ15" s="30">
        <f t="shared" si="3"/>
        <v>0</v>
      </c>
      <c r="AK15" s="52">
        <f t="shared" si="0"/>
        <v>3.0999999999999999E-3</v>
      </c>
      <c r="AL15" s="51"/>
      <c r="AM15" s="29"/>
      <c r="AN15" s="29"/>
      <c r="AO15" s="63"/>
      <c r="AP15" s="1">
        <v>26</v>
      </c>
      <c r="AQ15" s="1">
        <v>3</v>
      </c>
      <c r="AR15" s="1">
        <v>26</v>
      </c>
      <c r="AS15" s="1">
        <v>3</v>
      </c>
      <c r="AT15" s="1">
        <v>26</v>
      </c>
      <c r="AU15" s="1">
        <v>2</v>
      </c>
      <c r="AV15" s="1">
        <v>26</v>
      </c>
      <c r="AW15" s="1">
        <v>3</v>
      </c>
      <c r="AX15" s="1">
        <v>26</v>
      </c>
      <c r="AY15" s="1">
        <v>4</v>
      </c>
      <c r="AZ15" s="1">
        <v>26</v>
      </c>
      <c r="BA15" s="1">
        <v>2</v>
      </c>
      <c r="BB15" s="1">
        <v>26</v>
      </c>
      <c r="BC15" s="1">
        <v>3</v>
      </c>
      <c r="BD15" s="1">
        <v>26</v>
      </c>
      <c r="BE15" s="1">
        <v>3</v>
      </c>
      <c r="BF15" s="1">
        <v>26</v>
      </c>
      <c r="BG15" s="1">
        <v>3</v>
      </c>
      <c r="BH15" s="1">
        <v>26</v>
      </c>
      <c r="BI15" s="1">
        <v>5</v>
      </c>
    </row>
    <row r="16" spans="1:61" x14ac:dyDescent="0.3">
      <c r="A16" s="27" t="s">
        <v>17</v>
      </c>
      <c r="B16" s="28">
        <v>14</v>
      </c>
      <c r="C16" s="28">
        <v>2</v>
      </c>
      <c r="D16" s="68">
        <v>24</v>
      </c>
      <c r="E16" s="81"/>
      <c r="F16" s="68"/>
      <c r="G16" s="81"/>
      <c r="H16" s="82"/>
      <c r="I16" s="81"/>
      <c r="J16" s="82"/>
      <c r="K16" s="81"/>
      <c r="L16" s="82"/>
      <c r="M16" s="81"/>
      <c r="N16" s="82"/>
      <c r="O16" s="81"/>
      <c r="P16" s="68"/>
      <c r="Q16" s="81"/>
      <c r="R16" s="82"/>
      <c r="S16" s="81"/>
      <c r="T16" s="82"/>
      <c r="U16" s="81"/>
      <c r="V16" s="82"/>
      <c r="W16" s="81"/>
      <c r="X16" s="82"/>
      <c r="Y16" s="75">
        <v>24</v>
      </c>
      <c r="Z16" s="51">
        <v>24</v>
      </c>
      <c r="AA16" s="29">
        <v>24</v>
      </c>
      <c r="AB16" s="29">
        <v>0</v>
      </c>
      <c r="AC16" s="63">
        <v>1.1399999999999999</v>
      </c>
      <c r="AD16" s="51">
        <v>24</v>
      </c>
      <c r="AE16" s="29">
        <v>24</v>
      </c>
      <c r="AF16" s="29">
        <v>0</v>
      </c>
      <c r="AG16" s="63">
        <v>0</v>
      </c>
      <c r="AH16" s="51">
        <f t="shared" si="1"/>
        <v>24</v>
      </c>
      <c r="AI16" s="29">
        <f t="shared" si="2"/>
        <v>24</v>
      </c>
      <c r="AJ16" s="30">
        <f t="shared" si="3"/>
        <v>0</v>
      </c>
      <c r="AK16" s="52">
        <f t="shared" si="0"/>
        <v>3.2000000000000002E-3</v>
      </c>
      <c r="AL16" s="51"/>
      <c r="AM16" s="29"/>
      <c r="AN16" s="29"/>
      <c r="AO16" s="63"/>
      <c r="AP16" s="1">
        <v>24</v>
      </c>
      <c r="AQ16" s="1">
        <v>3</v>
      </c>
      <c r="AR16" s="1">
        <v>24</v>
      </c>
      <c r="AS16" s="1">
        <v>4</v>
      </c>
      <c r="AT16" s="1">
        <v>24</v>
      </c>
      <c r="AU16" s="1">
        <v>3</v>
      </c>
      <c r="AV16" s="1">
        <v>24</v>
      </c>
      <c r="AW16" s="1">
        <v>4</v>
      </c>
      <c r="AX16" s="1">
        <v>24</v>
      </c>
      <c r="AY16" s="1">
        <v>3</v>
      </c>
      <c r="AZ16" s="1">
        <v>24</v>
      </c>
      <c r="BA16" s="1">
        <v>3</v>
      </c>
      <c r="BB16" s="1">
        <v>24</v>
      </c>
      <c r="BC16" s="1">
        <v>4</v>
      </c>
      <c r="BD16" s="1">
        <v>24</v>
      </c>
      <c r="BE16" s="1">
        <v>2</v>
      </c>
      <c r="BF16" s="1">
        <v>24</v>
      </c>
      <c r="BG16" s="1">
        <v>3</v>
      </c>
      <c r="BH16" s="1">
        <v>24</v>
      </c>
      <c r="BI16" s="1">
        <v>3</v>
      </c>
    </row>
    <row r="17" spans="1:72" x14ac:dyDescent="0.3">
      <c r="A17" s="27" t="s">
        <v>18</v>
      </c>
      <c r="B17" s="28">
        <v>32</v>
      </c>
      <c r="C17" s="28">
        <v>2</v>
      </c>
      <c r="D17" s="68">
        <v>30</v>
      </c>
      <c r="E17" s="81"/>
      <c r="F17" s="68"/>
      <c r="G17" s="81"/>
      <c r="H17" s="82"/>
      <c r="I17" s="81"/>
      <c r="J17" s="82"/>
      <c r="K17" s="81"/>
      <c r="L17" s="82"/>
      <c r="M17" s="81"/>
      <c r="N17" s="82"/>
      <c r="O17" s="81"/>
      <c r="P17" s="68"/>
      <c r="Q17" s="81"/>
      <c r="R17" s="82"/>
      <c r="S17" s="81"/>
      <c r="T17" s="82"/>
      <c r="U17" s="81"/>
      <c r="V17" s="82"/>
      <c r="W17" s="81"/>
      <c r="X17" s="82"/>
      <c r="Y17" s="75">
        <v>33</v>
      </c>
      <c r="Z17" s="51">
        <v>33</v>
      </c>
      <c r="AA17" s="29">
        <v>33</v>
      </c>
      <c r="AB17" s="29">
        <v>10</v>
      </c>
      <c r="AC17" s="63">
        <v>6.53</v>
      </c>
      <c r="AD17" s="51">
        <v>33</v>
      </c>
      <c r="AE17" s="29">
        <v>33</v>
      </c>
      <c r="AF17" s="29">
        <v>10</v>
      </c>
      <c r="AG17" s="63">
        <v>0.05</v>
      </c>
      <c r="AH17" s="51">
        <f t="shared" si="1"/>
        <v>33</v>
      </c>
      <c r="AI17" s="29">
        <f t="shared" si="2"/>
        <v>33</v>
      </c>
      <c r="AJ17" s="30">
        <f t="shared" si="3"/>
        <v>0.1</v>
      </c>
      <c r="AK17" s="52">
        <f t="shared" si="0"/>
        <v>0.4617</v>
      </c>
      <c r="AL17" s="51"/>
      <c r="AM17" s="29"/>
      <c r="AN17" s="29"/>
      <c r="AO17" s="63"/>
      <c r="AP17" s="1">
        <v>33</v>
      </c>
      <c r="AQ17" s="1">
        <v>465</v>
      </c>
      <c r="AR17" s="1">
        <v>33</v>
      </c>
      <c r="AS17" s="1">
        <v>526</v>
      </c>
      <c r="AT17" s="1">
        <v>33</v>
      </c>
      <c r="AU17" s="1">
        <v>445</v>
      </c>
      <c r="AV17" s="1">
        <v>33</v>
      </c>
      <c r="AW17" s="1">
        <v>435</v>
      </c>
      <c r="AX17" s="1">
        <v>33</v>
      </c>
      <c r="AY17" s="1">
        <v>356</v>
      </c>
      <c r="AZ17" s="1">
        <v>33</v>
      </c>
      <c r="BA17" s="1">
        <v>429</v>
      </c>
      <c r="BB17" s="1">
        <v>33</v>
      </c>
      <c r="BC17" s="1">
        <v>549</v>
      </c>
      <c r="BD17" s="1">
        <v>33</v>
      </c>
      <c r="BE17" s="1">
        <v>427</v>
      </c>
      <c r="BF17" s="1">
        <v>33</v>
      </c>
      <c r="BG17" s="1">
        <v>505</v>
      </c>
      <c r="BH17" s="1">
        <v>33</v>
      </c>
      <c r="BI17" s="1">
        <v>480</v>
      </c>
    </row>
    <row r="18" spans="1:72" x14ac:dyDescent="0.3">
      <c r="A18" s="27" t="s">
        <v>19</v>
      </c>
      <c r="B18" s="28">
        <v>34</v>
      </c>
      <c r="C18" s="28">
        <v>2</v>
      </c>
      <c r="D18" s="68">
        <v>30</v>
      </c>
      <c r="E18" s="81"/>
      <c r="F18" s="68"/>
      <c r="G18" s="81"/>
      <c r="H18" s="82"/>
      <c r="I18" s="81"/>
      <c r="J18" s="82"/>
      <c r="K18" s="81"/>
      <c r="L18" s="82"/>
      <c r="M18" s="81"/>
      <c r="N18" s="82"/>
      <c r="O18" s="81"/>
      <c r="P18" s="68"/>
      <c r="Q18" s="81"/>
      <c r="R18" s="82"/>
      <c r="S18" s="81"/>
      <c r="T18" s="82"/>
      <c r="U18" s="81"/>
      <c r="V18" s="82"/>
      <c r="W18" s="81"/>
      <c r="X18" s="82"/>
      <c r="Y18" s="75">
        <v>33</v>
      </c>
      <c r="Z18" s="51">
        <v>33</v>
      </c>
      <c r="AA18" s="29">
        <v>33</v>
      </c>
      <c r="AB18" s="29">
        <v>10</v>
      </c>
      <c r="AC18" s="63">
        <v>6.41</v>
      </c>
      <c r="AD18" s="51">
        <v>33</v>
      </c>
      <c r="AE18" s="29">
        <v>33</v>
      </c>
      <c r="AF18" s="29">
        <v>10</v>
      </c>
      <c r="AG18" s="63">
        <v>0.04</v>
      </c>
      <c r="AH18" s="51">
        <f t="shared" si="1"/>
        <v>33</v>
      </c>
      <c r="AI18" s="29">
        <f t="shared" si="2"/>
        <v>33</v>
      </c>
      <c r="AJ18" s="30">
        <f t="shared" si="3"/>
        <v>0.1</v>
      </c>
      <c r="AK18" s="52">
        <f t="shared" si="0"/>
        <v>0.47270000000000001</v>
      </c>
      <c r="AL18" s="51"/>
      <c r="AM18" s="29"/>
      <c r="AN18" s="29"/>
      <c r="AO18" s="63"/>
      <c r="AP18" s="1">
        <v>33</v>
      </c>
      <c r="AQ18" s="1">
        <v>504</v>
      </c>
      <c r="AR18" s="1">
        <v>33</v>
      </c>
      <c r="AS18" s="1">
        <v>446</v>
      </c>
      <c r="AT18" s="1">
        <v>33</v>
      </c>
      <c r="AU18" s="1">
        <v>534</v>
      </c>
      <c r="AV18" s="1">
        <v>33</v>
      </c>
      <c r="AW18" s="1">
        <v>458</v>
      </c>
      <c r="AX18" s="1">
        <v>33</v>
      </c>
      <c r="AY18" s="1">
        <v>500</v>
      </c>
      <c r="AZ18" s="1">
        <v>33</v>
      </c>
      <c r="BA18" s="1">
        <v>450</v>
      </c>
      <c r="BB18" s="1">
        <v>33</v>
      </c>
      <c r="BC18" s="1">
        <v>458</v>
      </c>
      <c r="BD18" s="1">
        <v>33</v>
      </c>
      <c r="BE18" s="1">
        <v>423</v>
      </c>
      <c r="BF18" s="1">
        <v>33</v>
      </c>
      <c r="BG18" s="1">
        <v>453</v>
      </c>
      <c r="BH18" s="1">
        <v>33</v>
      </c>
      <c r="BI18" s="1">
        <v>501</v>
      </c>
    </row>
    <row r="19" spans="1:72" x14ac:dyDescent="0.3">
      <c r="A19" s="27" t="s">
        <v>20</v>
      </c>
      <c r="B19" s="28">
        <v>15</v>
      </c>
      <c r="C19" s="28">
        <v>2</v>
      </c>
      <c r="D19" s="68">
        <v>18</v>
      </c>
      <c r="E19" s="81"/>
      <c r="F19" s="68"/>
      <c r="G19" s="81"/>
      <c r="H19" s="82"/>
      <c r="I19" s="81"/>
      <c r="J19" s="82"/>
      <c r="K19" s="81"/>
      <c r="L19" s="82"/>
      <c r="M19" s="81"/>
      <c r="N19" s="82"/>
      <c r="O19" s="81"/>
      <c r="P19" s="68"/>
      <c r="Q19" s="81"/>
      <c r="R19" s="82"/>
      <c r="S19" s="81"/>
      <c r="T19" s="82"/>
      <c r="U19" s="81"/>
      <c r="V19" s="82"/>
      <c r="W19" s="81"/>
      <c r="X19" s="82"/>
      <c r="Y19" s="75">
        <v>18</v>
      </c>
      <c r="Z19" s="51">
        <v>18</v>
      </c>
      <c r="AA19" s="29">
        <v>18</v>
      </c>
      <c r="AB19" s="29">
        <v>0</v>
      </c>
      <c r="AC19" s="63">
        <v>0.98</v>
      </c>
      <c r="AD19" s="51">
        <v>18</v>
      </c>
      <c r="AE19" s="29">
        <v>18</v>
      </c>
      <c r="AF19" s="29">
        <v>0</v>
      </c>
      <c r="AG19" s="63">
        <v>0</v>
      </c>
      <c r="AH19" s="51">
        <f t="shared" si="1"/>
        <v>18</v>
      </c>
      <c r="AI19" s="29">
        <f t="shared" si="2"/>
        <v>18</v>
      </c>
      <c r="AJ19" s="30">
        <f t="shared" si="3"/>
        <v>0</v>
      </c>
      <c r="AK19" s="52">
        <f t="shared" si="0"/>
        <v>3.3999999999999998E-3</v>
      </c>
      <c r="AL19" s="51"/>
      <c r="AM19" s="29"/>
      <c r="AN19" s="29"/>
      <c r="AO19" s="63"/>
      <c r="AP19" s="1">
        <v>18</v>
      </c>
      <c r="AQ19" s="1">
        <v>4</v>
      </c>
      <c r="AR19" s="1">
        <v>18</v>
      </c>
      <c r="AS19" s="1">
        <v>4</v>
      </c>
      <c r="AT19" s="1">
        <v>18</v>
      </c>
      <c r="AU19" s="1">
        <v>3</v>
      </c>
      <c r="AV19" s="1">
        <v>18</v>
      </c>
      <c r="AW19" s="1">
        <v>3</v>
      </c>
      <c r="AX19" s="1">
        <v>18</v>
      </c>
      <c r="AY19" s="1">
        <v>3</v>
      </c>
      <c r="AZ19" s="1">
        <v>18</v>
      </c>
      <c r="BA19" s="1">
        <v>2</v>
      </c>
      <c r="BB19" s="1">
        <v>18</v>
      </c>
      <c r="BC19" s="1">
        <v>6</v>
      </c>
      <c r="BD19" s="1">
        <v>18</v>
      </c>
      <c r="BE19" s="1">
        <v>3</v>
      </c>
      <c r="BF19" s="1">
        <v>18</v>
      </c>
      <c r="BG19" s="1">
        <v>3</v>
      </c>
      <c r="BH19" s="1">
        <v>18</v>
      </c>
      <c r="BI19" s="1">
        <v>3</v>
      </c>
    </row>
    <row r="20" spans="1:72" x14ac:dyDescent="0.3">
      <c r="A20" s="27" t="s">
        <v>21</v>
      </c>
      <c r="B20" s="28">
        <v>13</v>
      </c>
      <c r="C20" s="28">
        <v>2</v>
      </c>
      <c r="D20" s="68">
        <v>22</v>
      </c>
      <c r="E20" s="81"/>
      <c r="F20" s="68"/>
      <c r="G20" s="81"/>
      <c r="H20" s="82"/>
      <c r="I20" s="81"/>
      <c r="J20" s="82"/>
      <c r="K20" s="81"/>
      <c r="L20" s="82"/>
      <c r="M20" s="81"/>
      <c r="N20" s="82"/>
      <c r="O20" s="81"/>
      <c r="P20" s="68"/>
      <c r="Q20" s="81"/>
      <c r="R20" s="82"/>
      <c r="S20" s="81"/>
      <c r="T20" s="82"/>
      <c r="U20" s="81"/>
      <c r="V20" s="82"/>
      <c r="W20" s="81"/>
      <c r="X20" s="82"/>
      <c r="Y20" s="75">
        <v>22</v>
      </c>
      <c r="Z20" s="51">
        <v>22</v>
      </c>
      <c r="AA20" s="29">
        <v>22</v>
      </c>
      <c r="AB20" s="29">
        <v>0</v>
      </c>
      <c r="AC20" s="63">
        <v>0.94</v>
      </c>
      <c r="AD20" s="51">
        <v>22</v>
      </c>
      <c r="AE20" s="29">
        <v>22</v>
      </c>
      <c r="AF20" s="29">
        <v>0</v>
      </c>
      <c r="AG20" s="63">
        <v>0.02</v>
      </c>
      <c r="AH20" s="51">
        <f t="shared" si="1"/>
        <v>22</v>
      </c>
      <c r="AI20" s="29">
        <f t="shared" si="2"/>
        <v>22</v>
      </c>
      <c r="AJ20" s="30">
        <f t="shared" si="3"/>
        <v>0</v>
      </c>
      <c r="AK20" s="52">
        <f t="shared" si="0"/>
        <v>3.5999999999999999E-3</v>
      </c>
      <c r="AL20" s="51"/>
      <c r="AM20" s="29"/>
      <c r="AN20" s="29"/>
      <c r="AO20" s="63"/>
      <c r="AP20" s="1">
        <v>22</v>
      </c>
      <c r="AQ20" s="1">
        <v>5</v>
      </c>
      <c r="AR20" s="1">
        <v>22</v>
      </c>
      <c r="AS20" s="1">
        <v>5</v>
      </c>
      <c r="AT20" s="1">
        <v>22</v>
      </c>
      <c r="AU20" s="1">
        <v>4</v>
      </c>
      <c r="AV20" s="1">
        <v>22</v>
      </c>
      <c r="AW20" s="1">
        <v>3</v>
      </c>
      <c r="AX20" s="1">
        <v>22</v>
      </c>
      <c r="AY20" s="1">
        <v>3</v>
      </c>
      <c r="AZ20" s="1">
        <v>22</v>
      </c>
      <c r="BA20" s="1">
        <v>4</v>
      </c>
      <c r="BB20" s="1">
        <v>22</v>
      </c>
      <c r="BC20" s="1">
        <v>3</v>
      </c>
      <c r="BD20" s="1">
        <v>22</v>
      </c>
      <c r="BE20" s="1">
        <v>3</v>
      </c>
      <c r="BF20" s="1">
        <v>22</v>
      </c>
      <c r="BG20" s="1">
        <v>3</v>
      </c>
      <c r="BH20" s="1">
        <v>22</v>
      </c>
      <c r="BI20" s="1">
        <v>3</v>
      </c>
    </row>
    <row r="21" spans="1:72" x14ac:dyDescent="0.3">
      <c r="A21" s="27" t="s">
        <v>22</v>
      </c>
      <c r="B21" s="28">
        <v>16</v>
      </c>
      <c r="C21" s="28">
        <v>2</v>
      </c>
      <c r="D21" s="68">
        <v>26</v>
      </c>
      <c r="E21" s="81"/>
      <c r="F21" s="68"/>
      <c r="G21" s="81"/>
      <c r="H21" s="82"/>
      <c r="I21" s="81"/>
      <c r="J21" s="82"/>
      <c r="K21" s="81"/>
      <c r="L21" s="82"/>
      <c r="M21" s="81"/>
      <c r="N21" s="82"/>
      <c r="O21" s="81"/>
      <c r="P21" s="68"/>
      <c r="Q21" s="81"/>
      <c r="R21" s="82"/>
      <c r="S21" s="81"/>
      <c r="T21" s="82"/>
      <c r="U21" s="81"/>
      <c r="V21" s="82"/>
      <c r="W21" s="81"/>
      <c r="X21" s="82"/>
      <c r="Y21" s="75">
        <v>26</v>
      </c>
      <c r="Z21" s="51">
        <v>26</v>
      </c>
      <c r="AA21" s="29">
        <v>26</v>
      </c>
      <c r="AB21" s="29">
        <v>0</v>
      </c>
      <c r="AC21" s="63">
        <v>1.54</v>
      </c>
      <c r="AD21" s="51">
        <v>26</v>
      </c>
      <c r="AE21" s="29">
        <v>26</v>
      </c>
      <c r="AF21" s="29">
        <v>0</v>
      </c>
      <c r="AG21" s="63">
        <v>0.02</v>
      </c>
      <c r="AH21" s="51">
        <f t="shared" si="1"/>
        <v>26</v>
      </c>
      <c r="AI21" s="29">
        <f t="shared" si="2"/>
        <v>26</v>
      </c>
      <c r="AJ21" s="30">
        <f t="shared" si="3"/>
        <v>0</v>
      </c>
      <c r="AK21" s="52">
        <f t="shared" si="0"/>
        <v>3.7000000000000002E-3</v>
      </c>
      <c r="AL21" s="51"/>
      <c r="AM21" s="29"/>
      <c r="AN21" s="29"/>
      <c r="AO21" s="63"/>
      <c r="AP21" s="1">
        <v>26</v>
      </c>
      <c r="AQ21" s="1">
        <v>5</v>
      </c>
      <c r="AR21" s="1">
        <v>26</v>
      </c>
      <c r="AS21" s="1">
        <v>5</v>
      </c>
      <c r="AT21" s="1">
        <v>26</v>
      </c>
      <c r="AU21" s="1">
        <v>3</v>
      </c>
      <c r="AV21" s="1">
        <v>26</v>
      </c>
      <c r="AW21" s="1">
        <v>3</v>
      </c>
      <c r="AX21" s="1">
        <v>26</v>
      </c>
      <c r="AY21" s="1">
        <v>3</v>
      </c>
      <c r="AZ21" s="1">
        <v>26</v>
      </c>
      <c r="BA21" s="1">
        <v>4</v>
      </c>
      <c r="BB21" s="1">
        <v>26</v>
      </c>
      <c r="BC21" s="1">
        <v>3</v>
      </c>
      <c r="BD21" s="1">
        <v>26</v>
      </c>
      <c r="BE21" s="1">
        <v>4</v>
      </c>
      <c r="BF21" s="1">
        <v>26</v>
      </c>
      <c r="BG21" s="1">
        <v>4</v>
      </c>
      <c r="BH21" s="1">
        <v>26</v>
      </c>
      <c r="BI21" s="1">
        <v>3</v>
      </c>
    </row>
    <row r="22" spans="1:72" x14ac:dyDescent="0.3">
      <c r="A22" s="27" t="s">
        <v>23</v>
      </c>
      <c r="B22" s="28">
        <v>12</v>
      </c>
      <c r="C22" s="28">
        <v>2</v>
      </c>
      <c r="D22" s="68">
        <v>12</v>
      </c>
      <c r="E22" s="81"/>
      <c r="F22" s="68"/>
      <c r="G22" s="81"/>
      <c r="H22" s="82"/>
      <c r="I22" s="81"/>
      <c r="J22" s="82"/>
      <c r="K22" s="81"/>
      <c r="L22" s="82"/>
      <c r="M22" s="81"/>
      <c r="N22" s="82"/>
      <c r="O22" s="81"/>
      <c r="P22" s="68"/>
      <c r="Q22" s="81"/>
      <c r="R22" s="82"/>
      <c r="S22" s="81"/>
      <c r="T22" s="82"/>
      <c r="U22" s="81"/>
      <c r="V22" s="82"/>
      <c r="W22" s="81"/>
      <c r="X22" s="82"/>
      <c r="Y22" s="75">
        <v>12</v>
      </c>
      <c r="Z22" s="51">
        <v>12</v>
      </c>
      <c r="AA22" s="29">
        <v>12</v>
      </c>
      <c r="AB22" s="29">
        <v>0</v>
      </c>
      <c r="AC22" s="63">
        <v>0.55000000000000004</v>
      </c>
      <c r="AD22" s="51">
        <v>12</v>
      </c>
      <c r="AE22" s="29">
        <v>12</v>
      </c>
      <c r="AF22" s="29">
        <v>0</v>
      </c>
      <c r="AG22" s="63">
        <v>0</v>
      </c>
      <c r="AH22" s="51">
        <f t="shared" si="1"/>
        <v>12</v>
      </c>
      <c r="AI22" s="29">
        <f t="shared" si="2"/>
        <v>12</v>
      </c>
      <c r="AJ22" s="30">
        <f t="shared" si="3"/>
        <v>0</v>
      </c>
      <c r="AK22" s="52">
        <f t="shared" si="0"/>
        <v>3.0000000000000001E-3</v>
      </c>
      <c r="AL22" s="51"/>
      <c r="AM22" s="29"/>
      <c r="AN22" s="29"/>
      <c r="AO22" s="63"/>
      <c r="AP22" s="1">
        <v>12</v>
      </c>
      <c r="AQ22" s="1">
        <v>4</v>
      </c>
      <c r="AR22" s="1">
        <v>12</v>
      </c>
      <c r="AS22" s="1">
        <v>4</v>
      </c>
      <c r="AT22" s="1">
        <v>12</v>
      </c>
      <c r="AU22" s="1">
        <v>3</v>
      </c>
      <c r="AV22" s="1">
        <v>12</v>
      </c>
      <c r="AW22" s="1">
        <v>4</v>
      </c>
      <c r="AX22" s="1">
        <v>12</v>
      </c>
      <c r="AY22" s="1">
        <v>2</v>
      </c>
      <c r="AZ22" s="1">
        <v>12</v>
      </c>
      <c r="BA22" s="1">
        <v>2</v>
      </c>
      <c r="BB22" s="1">
        <v>12</v>
      </c>
      <c r="BC22" s="1">
        <v>3</v>
      </c>
      <c r="BD22" s="1">
        <v>12</v>
      </c>
      <c r="BE22" s="1">
        <v>3</v>
      </c>
      <c r="BF22" s="1">
        <v>12</v>
      </c>
      <c r="BG22" s="1">
        <v>3</v>
      </c>
      <c r="BH22" s="1">
        <v>12</v>
      </c>
      <c r="BI22" s="1">
        <v>2</v>
      </c>
    </row>
    <row r="23" spans="1:72" x14ac:dyDescent="0.3">
      <c r="A23" s="27" t="s">
        <v>24</v>
      </c>
      <c r="B23" s="28">
        <v>22</v>
      </c>
      <c r="C23" s="28">
        <v>2</v>
      </c>
      <c r="D23" s="68">
        <v>28</v>
      </c>
      <c r="E23" s="81"/>
      <c r="F23" s="68"/>
      <c r="G23" s="81"/>
      <c r="H23" s="82"/>
      <c r="I23" s="81"/>
      <c r="J23" s="82"/>
      <c r="K23" s="81"/>
      <c r="L23" s="82"/>
      <c r="M23" s="81"/>
      <c r="N23" s="82"/>
      <c r="O23" s="81"/>
      <c r="P23" s="68"/>
      <c r="Q23" s="81"/>
      <c r="R23" s="82"/>
      <c r="S23" s="81"/>
      <c r="T23" s="82"/>
      <c r="U23" s="81"/>
      <c r="V23" s="82"/>
      <c r="W23" s="81"/>
      <c r="X23" s="82"/>
      <c r="Y23" s="75">
        <v>32</v>
      </c>
      <c r="Z23" s="51">
        <v>32</v>
      </c>
      <c r="AA23" s="29">
        <v>32</v>
      </c>
      <c r="AB23" s="29">
        <v>14.3</v>
      </c>
      <c r="AC23" s="63">
        <v>3.08</v>
      </c>
      <c r="AD23" s="51">
        <v>32</v>
      </c>
      <c r="AE23" s="29">
        <v>32</v>
      </c>
      <c r="AF23" s="29">
        <v>14.3</v>
      </c>
      <c r="AG23" s="63">
        <v>0.05</v>
      </c>
      <c r="AH23" s="51">
        <f t="shared" si="1"/>
        <v>32</v>
      </c>
      <c r="AI23" s="29">
        <f t="shared" si="2"/>
        <v>32</v>
      </c>
      <c r="AJ23" s="30">
        <f t="shared" si="3"/>
        <v>0.14285714285714285</v>
      </c>
      <c r="AK23" s="52">
        <f t="shared" si="0"/>
        <v>0.37689999999999996</v>
      </c>
      <c r="AL23" s="51"/>
      <c r="AM23" s="29"/>
      <c r="AN23" s="29"/>
      <c r="AO23" s="63"/>
      <c r="AP23" s="1">
        <v>32</v>
      </c>
      <c r="AQ23" s="1">
        <v>407</v>
      </c>
      <c r="AR23" s="1">
        <v>32</v>
      </c>
      <c r="AS23" s="1">
        <v>409</v>
      </c>
      <c r="AT23" s="1">
        <v>32</v>
      </c>
      <c r="AU23" s="1">
        <v>421</v>
      </c>
      <c r="AV23" s="1">
        <v>32</v>
      </c>
      <c r="AW23" s="1">
        <v>448</v>
      </c>
      <c r="AX23" s="1">
        <v>32</v>
      </c>
      <c r="AY23" s="1">
        <v>332</v>
      </c>
      <c r="AZ23" s="1">
        <v>32</v>
      </c>
      <c r="BA23" s="1">
        <v>341</v>
      </c>
      <c r="BB23" s="1">
        <v>32</v>
      </c>
      <c r="BC23" s="1">
        <v>407</v>
      </c>
      <c r="BD23" s="1">
        <v>32</v>
      </c>
      <c r="BE23" s="1">
        <v>296</v>
      </c>
      <c r="BF23" s="1">
        <v>32</v>
      </c>
      <c r="BG23" s="1">
        <v>360</v>
      </c>
      <c r="BH23" s="1">
        <v>32</v>
      </c>
      <c r="BI23" s="1">
        <v>348</v>
      </c>
    </row>
    <row r="24" spans="1:72" x14ac:dyDescent="0.3">
      <c r="A24" s="27" t="s">
        <v>25</v>
      </c>
      <c r="B24" s="28">
        <v>25</v>
      </c>
      <c r="C24" s="28">
        <v>2</v>
      </c>
      <c r="D24" s="68">
        <v>22</v>
      </c>
      <c r="E24" s="81"/>
      <c r="F24" s="68"/>
      <c r="G24" s="81"/>
      <c r="H24" s="82"/>
      <c r="I24" s="81"/>
      <c r="J24" s="82"/>
      <c r="K24" s="81"/>
      <c r="L24" s="82"/>
      <c r="M24" s="81"/>
      <c r="N24" s="82"/>
      <c r="O24" s="81"/>
      <c r="P24" s="68"/>
      <c r="Q24" s="81"/>
      <c r="R24" s="82"/>
      <c r="S24" s="81"/>
      <c r="T24" s="82"/>
      <c r="U24" s="81"/>
      <c r="V24" s="82"/>
      <c r="W24" s="81"/>
      <c r="X24" s="82"/>
      <c r="Y24" s="75">
        <v>22</v>
      </c>
      <c r="Z24" s="51">
        <v>22</v>
      </c>
      <c r="AA24" s="29">
        <v>22</v>
      </c>
      <c r="AB24" s="29">
        <v>0</v>
      </c>
      <c r="AC24" s="63">
        <v>2.92</v>
      </c>
      <c r="AD24" s="51">
        <v>22</v>
      </c>
      <c r="AE24" s="29">
        <v>22</v>
      </c>
      <c r="AF24" s="29">
        <v>0</v>
      </c>
      <c r="AG24" s="63">
        <v>0.03</v>
      </c>
      <c r="AH24" s="51">
        <f t="shared" si="1"/>
        <v>22</v>
      </c>
      <c r="AI24" s="29">
        <f t="shared" si="2"/>
        <v>22</v>
      </c>
      <c r="AJ24" s="30">
        <f t="shared" si="3"/>
        <v>0</v>
      </c>
      <c r="AK24" s="52">
        <f t="shared" si="0"/>
        <v>1.04E-2</v>
      </c>
      <c r="AL24" s="51"/>
      <c r="AM24" s="29"/>
      <c r="AN24" s="29"/>
      <c r="AO24" s="63"/>
      <c r="AP24" s="1">
        <v>22</v>
      </c>
      <c r="AQ24" s="1">
        <v>12</v>
      </c>
      <c r="AR24" s="1">
        <v>22</v>
      </c>
      <c r="AS24" s="1">
        <v>10</v>
      </c>
      <c r="AT24" s="1">
        <v>22</v>
      </c>
      <c r="AU24" s="1">
        <v>12</v>
      </c>
      <c r="AV24" s="1">
        <v>22</v>
      </c>
      <c r="AW24" s="1">
        <v>10</v>
      </c>
      <c r="AX24" s="1">
        <v>22</v>
      </c>
      <c r="AY24" s="1">
        <v>10</v>
      </c>
      <c r="AZ24" s="1">
        <v>22</v>
      </c>
      <c r="BA24" s="1">
        <v>7</v>
      </c>
      <c r="BB24" s="1">
        <v>22</v>
      </c>
      <c r="BC24" s="1">
        <v>11</v>
      </c>
      <c r="BD24" s="1">
        <v>22</v>
      </c>
      <c r="BE24" s="1">
        <v>11</v>
      </c>
      <c r="BF24" s="1">
        <v>22</v>
      </c>
      <c r="BG24" s="1">
        <v>8</v>
      </c>
      <c r="BH24" s="1">
        <v>22</v>
      </c>
      <c r="BI24" s="1">
        <v>13</v>
      </c>
    </row>
    <row r="25" spans="1:72" x14ac:dyDescent="0.3">
      <c r="A25" s="27" t="s">
        <v>26</v>
      </c>
      <c r="B25" s="28">
        <v>22</v>
      </c>
      <c r="C25" s="28">
        <v>2</v>
      </c>
      <c r="D25" s="68">
        <v>18</v>
      </c>
      <c r="E25" s="81"/>
      <c r="F25" s="68"/>
      <c r="G25" s="81"/>
      <c r="H25" s="82"/>
      <c r="I25" s="81"/>
      <c r="J25" s="82"/>
      <c r="K25" s="81"/>
      <c r="L25" s="82"/>
      <c r="M25" s="81"/>
      <c r="N25" s="82"/>
      <c r="O25" s="81"/>
      <c r="P25" s="68"/>
      <c r="Q25" s="81"/>
      <c r="R25" s="82"/>
      <c r="S25" s="81"/>
      <c r="T25" s="82"/>
      <c r="U25" s="81"/>
      <c r="V25" s="82"/>
      <c r="W25" s="81"/>
      <c r="X25" s="82"/>
      <c r="Y25" s="75">
        <v>21</v>
      </c>
      <c r="Z25" s="51">
        <v>21</v>
      </c>
      <c r="AA25" s="29">
        <v>21</v>
      </c>
      <c r="AB25" s="29">
        <v>16.7</v>
      </c>
      <c r="AC25" s="63">
        <v>2.08</v>
      </c>
      <c r="AD25" s="51">
        <v>21</v>
      </c>
      <c r="AE25" s="29">
        <v>21</v>
      </c>
      <c r="AF25" s="29">
        <v>16.7</v>
      </c>
      <c r="AG25" s="63">
        <v>0.04</v>
      </c>
      <c r="AH25" s="51">
        <f t="shared" si="1"/>
        <v>21</v>
      </c>
      <c r="AI25" s="29">
        <f t="shared" si="2"/>
        <v>21</v>
      </c>
      <c r="AJ25" s="30">
        <f t="shared" si="3"/>
        <v>0.16666666666666666</v>
      </c>
      <c r="AK25" s="52">
        <f t="shared" si="0"/>
        <v>0.37969999999999998</v>
      </c>
      <c r="AL25" s="51"/>
      <c r="AM25" s="29"/>
      <c r="AN25" s="29"/>
      <c r="AO25" s="63"/>
      <c r="AP25" s="1">
        <v>21</v>
      </c>
      <c r="AQ25" s="1">
        <v>307</v>
      </c>
      <c r="AR25" s="1">
        <v>21</v>
      </c>
      <c r="AS25" s="1">
        <v>353</v>
      </c>
      <c r="AT25" s="1">
        <v>21</v>
      </c>
      <c r="AU25" s="1">
        <v>517</v>
      </c>
      <c r="AV25" s="1">
        <v>21</v>
      </c>
      <c r="AW25" s="1">
        <v>374</v>
      </c>
      <c r="AX25" s="1">
        <v>21</v>
      </c>
      <c r="AY25" s="1">
        <v>376</v>
      </c>
      <c r="AZ25" s="1">
        <v>21</v>
      </c>
      <c r="BA25" s="1">
        <v>391</v>
      </c>
      <c r="BB25" s="1">
        <v>21</v>
      </c>
      <c r="BC25" s="1">
        <v>377</v>
      </c>
      <c r="BD25" s="1">
        <v>21</v>
      </c>
      <c r="BE25" s="1">
        <v>462</v>
      </c>
      <c r="BF25" s="1">
        <v>21</v>
      </c>
      <c r="BG25" s="1">
        <v>290</v>
      </c>
      <c r="BH25" s="1">
        <v>21</v>
      </c>
      <c r="BI25" s="1">
        <v>350</v>
      </c>
    </row>
    <row r="26" spans="1:72" x14ac:dyDescent="0.3">
      <c r="A26" s="27" t="s">
        <v>27</v>
      </c>
      <c r="B26" s="28">
        <v>12</v>
      </c>
      <c r="C26" s="28">
        <v>2</v>
      </c>
      <c r="D26" s="68">
        <v>18</v>
      </c>
      <c r="E26" s="81"/>
      <c r="F26" s="68"/>
      <c r="G26" s="81"/>
      <c r="H26" s="82"/>
      <c r="I26" s="81"/>
      <c r="J26" s="82"/>
      <c r="K26" s="81"/>
      <c r="L26" s="82"/>
      <c r="M26" s="81"/>
      <c r="N26" s="82"/>
      <c r="O26" s="81"/>
      <c r="P26" s="68"/>
      <c r="Q26" s="81"/>
      <c r="R26" s="82"/>
      <c r="S26" s="81"/>
      <c r="T26" s="82"/>
      <c r="U26" s="81"/>
      <c r="V26" s="82"/>
      <c r="W26" s="81"/>
      <c r="X26" s="82"/>
      <c r="Y26" s="75">
        <v>18</v>
      </c>
      <c r="Z26" s="51">
        <v>18</v>
      </c>
      <c r="AA26" s="29">
        <v>18</v>
      </c>
      <c r="AB26" s="29">
        <v>0</v>
      </c>
      <c r="AC26" s="63">
        <v>0.73</v>
      </c>
      <c r="AD26" s="51">
        <v>18</v>
      </c>
      <c r="AE26" s="29">
        <v>18</v>
      </c>
      <c r="AF26" s="29">
        <v>0</v>
      </c>
      <c r="AG26" s="63">
        <v>0</v>
      </c>
      <c r="AH26" s="51">
        <f t="shared" si="1"/>
        <v>18</v>
      </c>
      <c r="AI26" s="29">
        <f t="shared" si="2"/>
        <v>18</v>
      </c>
      <c r="AJ26" s="30">
        <f t="shared" si="3"/>
        <v>0</v>
      </c>
      <c r="AK26" s="52">
        <f t="shared" si="0"/>
        <v>3.0999999999999999E-3</v>
      </c>
      <c r="AL26" s="51"/>
      <c r="AM26" s="29"/>
      <c r="AN26" s="29"/>
      <c r="AO26" s="63"/>
      <c r="AP26" s="1">
        <v>18</v>
      </c>
      <c r="AQ26" s="1">
        <v>4</v>
      </c>
      <c r="AR26" s="1">
        <v>18</v>
      </c>
      <c r="AS26" s="1">
        <v>3</v>
      </c>
      <c r="AT26" s="1">
        <v>18</v>
      </c>
      <c r="AU26" s="1">
        <v>3</v>
      </c>
      <c r="AV26" s="1">
        <v>18</v>
      </c>
      <c r="AW26" s="1">
        <v>3</v>
      </c>
      <c r="AX26" s="1">
        <v>18</v>
      </c>
      <c r="AY26" s="1">
        <v>3</v>
      </c>
      <c r="AZ26" s="1">
        <v>18</v>
      </c>
      <c r="BA26" s="1">
        <v>3</v>
      </c>
      <c r="BB26" s="1">
        <v>18</v>
      </c>
      <c r="BC26" s="1">
        <v>3</v>
      </c>
      <c r="BD26" s="1">
        <v>18</v>
      </c>
      <c r="BE26" s="1">
        <v>3</v>
      </c>
      <c r="BF26" s="1">
        <v>18</v>
      </c>
      <c r="BG26" s="1">
        <v>3</v>
      </c>
      <c r="BH26" s="1">
        <v>18</v>
      </c>
      <c r="BI26" s="1">
        <v>3</v>
      </c>
    </row>
    <row r="27" spans="1:72" ht="15" thickBot="1" x14ac:dyDescent="0.35">
      <c r="A27" s="31" t="s">
        <v>28</v>
      </c>
      <c r="B27" s="32">
        <v>21</v>
      </c>
      <c r="C27" s="32">
        <v>2</v>
      </c>
      <c r="D27" s="69">
        <v>10</v>
      </c>
      <c r="E27" s="84"/>
      <c r="F27" s="85"/>
      <c r="G27" s="84"/>
      <c r="H27" s="88"/>
      <c r="I27" s="84"/>
      <c r="J27" s="88"/>
      <c r="K27" s="84"/>
      <c r="L27" s="88"/>
      <c r="M27" s="84"/>
      <c r="N27" s="88"/>
      <c r="O27" s="84"/>
      <c r="P27" s="85"/>
      <c r="Q27" s="84"/>
      <c r="R27" s="88"/>
      <c r="S27" s="84"/>
      <c r="T27" s="88"/>
      <c r="U27" s="84"/>
      <c r="V27" s="88"/>
      <c r="W27" s="84"/>
      <c r="X27" s="88"/>
      <c r="Y27" s="76">
        <v>10</v>
      </c>
      <c r="Z27" s="53">
        <v>10</v>
      </c>
      <c r="AA27" s="33">
        <v>10</v>
      </c>
      <c r="AB27" s="33">
        <v>0</v>
      </c>
      <c r="AC27" s="64">
        <v>1.1100000000000001</v>
      </c>
      <c r="AD27" s="53">
        <v>10</v>
      </c>
      <c r="AE27" s="33">
        <v>10</v>
      </c>
      <c r="AF27" s="33">
        <v>0</v>
      </c>
      <c r="AG27" s="64">
        <v>0.02</v>
      </c>
      <c r="AH27" s="53">
        <f t="shared" si="1"/>
        <v>10</v>
      </c>
      <c r="AI27" s="33">
        <f t="shared" si="2"/>
        <v>10</v>
      </c>
      <c r="AJ27" s="39">
        <f t="shared" si="3"/>
        <v>0</v>
      </c>
      <c r="AK27" s="54">
        <f t="shared" si="0"/>
        <v>7.7999999999999996E-3</v>
      </c>
      <c r="AL27" s="53"/>
      <c r="AM27" s="33"/>
      <c r="AN27" s="33"/>
      <c r="AO27" s="64"/>
      <c r="AP27" s="42">
        <v>10</v>
      </c>
      <c r="AQ27" s="42">
        <v>10</v>
      </c>
      <c r="AR27" s="42">
        <v>10</v>
      </c>
      <c r="AS27" s="42">
        <v>6</v>
      </c>
      <c r="AT27" s="42">
        <v>10</v>
      </c>
      <c r="AU27" s="42">
        <v>7</v>
      </c>
      <c r="AV27" s="42">
        <v>10</v>
      </c>
      <c r="AW27" s="42">
        <v>8</v>
      </c>
      <c r="AX27" s="42">
        <v>10</v>
      </c>
      <c r="AY27" s="42">
        <v>6</v>
      </c>
      <c r="AZ27" s="42">
        <v>10</v>
      </c>
      <c r="BA27" s="42">
        <v>14</v>
      </c>
      <c r="BB27" s="42">
        <v>10</v>
      </c>
      <c r="BC27" s="42">
        <v>10</v>
      </c>
      <c r="BD27" s="42">
        <v>10</v>
      </c>
      <c r="BE27" s="42">
        <v>4</v>
      </c>
      <c r="BF27" s="42">
        <v>10</v>
      </c>
      <c r="BG27" s="42">
        <v>8</v>
      </c>
      <c r="BH27" s="42">
        <v>10</v>
      </c>
      <c r="BI27" s="42">
        <v>5</v>
      </c>
    </row>
    <row r="28" spans="1:72" x14ac:dyDescent="0.3">
      <c r="A28" s="11" t="s">
        <v>34</v>
      </c>
      <c r="B28" s="12">
        <v>49</v>
      </c>
      <c r="C28" s="12">
        <v>4</v>
      </c>
      <c r="D28" s="44">
        <v>26</v>
      </c>
      <c r="E28" s="58">
        <v>30</v>
      </c>
      <c r="F28" s="47">
        <v>20823</v>
      </c>
      <c r="G28" s="90">
        <v>29</v>
      </c>
      <c r="H28" s="14">
        <v>21033</v>
      </c>
      <c r="I28" s="58">
        <v>30</v>
      </c>
      <c r="J28" s="14">
        <v>20389</v>
      </c>
      <c r="K28" s="58">
        <v>30</v>
      </c>
      <c r="L28" s="14">
        <v>19452</v>
      </c>
      <c r="M28" s="90">
        <v>29</v>
      </c>
      <c r="N28" s="14">
        <v>20633</v>
      </c>
      <c r="O28" s="90">
        <v>29</v>
      </c>
      <c r="P28" s="47">
        <v>20661</v>
      </c>
      <c r="Q28" s="90">
        <v>29</v>
      </c>
      <c r="R28" s="14">
        <v>20103</v>
      </c>
      <c r="S28" s="90">
        <v>29</v>
      </c>
      <c r="T28" s="14">
        <v>20858</v>
      </c>
      <c r="U28" s="58">
        <v>30</v>
      </c>
      <c r="V28" s="14">
        <v>20177</v>
      </c>
      <c r="W28" s="90">
        <v>29</v>
      </c>
      <c r="X28" s="14">
        <v>20473</v>
      </c>
      <c r="Y28" s="86">
        <v>29</v>
      </c>
      <c r="Z28" s="55">
        <v>31.9</v>
      </c>
      <c r="AA28" s="12">
        <v>31</v>
      </c>
      <c r="AB28" s="12">
        <v>22.7</v>
      </c>
      <c r="AC28" s="16">
        <v>14.19</v>
      </c>
      <c r="AD28" s="55">
        <v>33</v>
      </c>
      <c r="AE28" s="12">
        <v>33</v>
      </c>
      <c r="AF28" s="12">
        <v>26.9</v>
      </c>
      <c r="AG28" s="16">
        <v>19.59</v>
      </c>
      <c r="AH28" s="55">
        <f t="shared" ref="AH28:AH91" si="4">AVERAGE(AP28,AR28,AT28,AV28,AX28,AZ28,BB28,BD28,BF28,BH28)</f>
        <v>30.9</v>
      </c>
      <c r="AI28" s="38">
        <f t="shared" ref="AI28:AI91" si="5">MIN(AP28,AR28,AT28,AV28,AX28,AZ28,BB28,BD28,BF28,BH28)</f>
        <v>30</v>
      </c>
      <c r="AJ28" s="18">
        <f t="shared" ref="AJ28:AJ91" si="6">(AH28-D28)/D28</f>
        <v>0.1884615384615384</v>
      </c>
      <c r="AK28" s="16">
        <f t="shared" si="0"/>
        <v>18.907799999999998</v>
      </c>
      <c r="AL28" s="58">
        <f>AVERAGE(E28,G28,I28,K28,M28,O28,Q28,S28,U28,W28)</f>
        <v>29.4</v>
      </c>
      <c r="AM28" s="105">
        <f>MIN(E28,G28,I28,K28,M28,O28,Q28,S28,U28,W28)</f>
        <v>29</v>
      </c>
      <c r="AN28" s="100">
        <f>(AL28-D28)/D28</f>
        <v>0.13076923076923072</v>
      </c>
      <c r="AO28" s="14">
        <f>AVERAGE(F28,H28,J28,L28,N28,P28,R28,T28,V28,X28)/1000</f>
        <v>20.4602</v>
      </c>
      <c r="AP28" s="1">
        <v>31</v>
      </c>
      <c r="AQ28" s="1">
        <v>17717</v>
      </c>
      <c r="AR28" s="1">
        <v>31</v>
      </c>
      <c r="AS28" s="1">
        <v>19600</v>
      </c>
      <c r="AT28" s="1">
        <v>31</v>
      </c>
      <c r="AU28" s="1">
        <v>19600</v>
      </c>
      <c r="AV28" s="1">
        <v>31</v>
      </c>
      <c r="AW28" s="1">
        <v>19600</v>
      </c>
      <c r="AX28" s="1">
        <v>31</v>
      </c>
      <c r="AY28" s="1">
        <v>19600</v>
      </c>
      <c r="AZ28" s="1">
        <v>31</v>
      </c>
      <c r="BA28" s="1">
        <v>17066</v>
      </c>
      <c r="BB28" s="1">
        <v>31</v>
      </c>
      <c r="BC28" s="1">
        <v>17095</v>
      </c>
      <c r="BD28" s="1">
        <v>31</v>
      </c>
      <c r="BE28" s="1">
        <v>19600</v>
      </c>
      <c r="BF28" s="1">
        <v>30</v>
      </c>
      <c r="BG28" s="1">
        <v>19600</v>
      </c>
      <c r="BH28" s="1">
        <v>31</v>
      </c>
      <c r="BI28" s="1">
        <v>19600</v>
      </c>
      <c r="BM28">
        <v>47549</v>
      </c>
      <c r="BN28">
        <v>44288</v>
      </c>
      <c r="BO28">
        <v>44554</v>
      </c>
      <c r="BP28">
        <v>52947</v>
      </c>
      <c r="BQ28">
        <v>41886</v>
      </c>
      <c r="BS28">
        <f>AVERAGE(BM28:BQ28)</f>
        <v>46244.800000000003</v>
      </c>
      <c r="BT28">
        <f>BS28/AO28/1000</f>
        <v>2.2602320602926658</v>
      </c>
    </row>
    <row r="29" spans="1:72" x14ac:dyDescent="0.3">
      <c r="A29" s="9" t="s">
        <v>35</v>
      </c>
      <c r="B29" s="4">
        <v>39</v>
      </c>
      <c r="C29" s="4">
        <v>4</v>
      </c>
      <c r="D29" s="45">
        <v>21</v>
      </c>
      <c r="E29" s="56">
        <v>21</v>
      </c>
      <c r="F29" s="45">
        <v>7</v>
      </c>
      <c r="G29" s="56">
        <v>21</v>
      </c>
      <c r="H29" s="15">
        <v>7</v>
      </c>
      <c r="I29" s="56">
        <v>21</v>
      </c>
      <c r="J29" s="15">
        <v>7</v>
      </c>
      <c r="K29" s="56">
        <v>21</v>
      </c>
      <c r="L29" s="15">
        <v>7</v>
      </c>
      <c r="M29" s="56">
        <v>21</v>
      </c>
      <c r="N29" s="15">
        <v>7</v>
      </c>
      <c r="O29" s="56">
        <v>21</v>
      </c>
      <c r="P29" s="45">
        <v>7</v>
      </c>
      <c r="Q29" s="56">
        <v>21</v>
      </c>
      <c r="R29" s="15">
        <v>8</v>
      </c>
      <c r="S29" s="56">
        <v>21</v>
      </c>
      <c r="T29" s="15">
        <v>8</v>
      </c>
      <c r="U29" s="56">
        <v>21</v>
      </c>
      <c r="V29" s="15">
        <v>7</v>
      </c>
      <c r="W29" s="56">
        <v>21</v>
      </c>
      <c r="X29" s="15">
        <v>8</v>
      </c>
      <c r="Y29" s="77">
        <v>21</v>
      </c>
      <c r="Z29" s="56">
        <v>21</v>
      </c>
      <c r="AA29" s="4">
        <v>21</v>
      </c>
      <c r="AB29" s="4">
        <v>0</v>
      </c>
      <c r="AC29" s="15">
        <v>5.85</v>
      </c>
      <c r="AD29" s="56">
        <v>21</v>
      </c>
      <c r="AE29" s="4">
        <v>21</v>
      </c>
      <c r="AF29" s="4">
        <v>0</v>
      </c>
      <c r="AG29" s="15">
        <v>0</v>
      </c>
      <c r="AH29" s="56">
        <f t="shared" si="4"/>
        <v>21</v>
      </c>
      <c r="AI29" s="4">
        <f t="shared" si="5"/>
        <v>21</v>
      </c>
      <c r="AJ29" s="17">
        <f t="shared" si="6"/>
        <v>0</v>
      </c>
      <c r="AK29" s="15">
        <f t="shared" si="0"/>
        <v>1.1300000000000001E-2</v>
      </c>
      <c r="AL29" s="55">
        <f t="shared" ref="AL29:AL92" si="7">AVERAGE(E29,G29,I29,K29,M29,O29,Q29,S29,U29,W29)</f>
        <v>21</v>
      </c>
      <c r="AM29" s="12">
        <f t="shared" ref="AM29:AM92" si="8">MIN(E29,G29,I29,K29,M29,O29,Q29,S29,U29,W29)</f>
        <v>21</v>
      </c>
      <c r="AN29" s="18">
        <f t="shared" ref="AN29:AN92" si="9">(AL29-D29)/D29</f>
        <v>0</v>
      </c>
      <c r="AO29" s="16">
        <f t="shared" ref="AO29:AO92" si="10">AVERAGE(F29,H29,J29,L29,N29,P29,R29,T29,V29,X29)/1000</f>
        <v>7.3000000000000001E-3</v>
      </c>
      <c r="AP29" s="1">
        <v>21</v>
      </c>
      <c r="AQ29" s="1">
        <v>10</v>
      </c>
      <c r="AR29" s="1">
        <v>21</v>
      </c>
      <c r="AS29" s="1">
        <v>14</v>
      </c>
      <c r="AT29" s="1">
        <v>21</v>
      </c>
      <c r="AU29" s="1">
        <v>10</v>
      </c>
      <c r="AV29" s="1">
        <v>21</v>
      </c>
      <c r="AW29" s="1">
        <v>14</v>
      </c>
      <c r="AX29" s="1">
        <v>21</v>
      </c>
      <c r="AY29" s="1">
        <v>10</v>
      </c>
      <c r="AZ29" s="1">
        <v>21</v>
      </c>
      <c r="BA29" s="1">
        <v>10</v>
      </c>
      <c r="BB29" s="1">
        <v>21</v>
      </c>
      <c r="BC29" s="1">
        <v>10</v>
      </c>
      <c r="BD29" s="1">
        <v>21</v>
      </c>
      <c r="BE29" s="1">
        <v>10</v>
      </c>
      <c r="BF29" s="1">
        <v>21</v>
      </c>
      <c r="BG29" s="1">
        <v>11</v>
      </c>
      <c r="BH29" s="1">
        <v>21</v>
      </c>
      <c r="BI29" s="1">
        <v>14</v>
      </c>
    </row>
    <row r="30" spans="1:72" x14ac:dyDescent="0.3">
      <c r="A30" s="9" t="s">
        <v>36</v>
      </c>
      <c r="B30" s="4">
        <v>63</v>
      </c>
      <c r="C30" s="4">
        <v>4</v>
      </c>
      <c r="D30" s="45">
        <v>48</v>
      </c>
      <c r="E30" s="56">
        <v>51</v>
      </c>
      <c r="F30" s="45">
        <v>26493</v>
      </c>
      <c r="G30" s="56">
        <v>51</v>
      </c>
      <c r="H30" s="15">
        <v>26395</v>
      </c>
      <c r="I30" s="56">
        <v>51</v>
      </c>
      <c r="J30" s="15">
        <v>26268</v>
      </c>
      <c r="K30" s="56">
        <v>51</v>
      </c>
      <c r="L30" s="15">
        <v>26345</v>
      </c>
      <c r="M30" s="56">
        <v>51</v>
      </c>
      <c r="N30" s="15">
        <v>26284</v>
      </c>
      <c r="O30" s="56">
        <v>51</v>
      </c>
      <c r="P30" s="45">
        <v>26153</v>
      </c>
      <c r="Q30" s="56">
        <v>51</v>
      </c>
      <c r="R30" s="15">
        <v>26225</v>
      </c>
      <c r="S30" s="56">
        <v>51</v>
      </c>
      <c r="T30" s="15">
        <v>26036</v>
      </c>
      <c r="U30" s="56">
        <v>51</v>
      </c>
      <c r="V30" s="15">
        <v>25840</v>
      </c>
      <c r="W30" s="56">
        <v>51</v>
      </c>
      <c r="X30" s="15">
        <v>25695</v>
      </c>
      <c r="Y30" s="77">
        <v>51</v>
      </c>
      <c r="Z30" s="56">
        <v>56.1</v>
      </c>
      <c r="AA30" s="4">
        <v>54</v>
      </c>
      <c r="AB30" s="4">
        <v>16.899999999999999</v>
      </c>
      <c r="AC30" s="15">
        <v>35.46</v>
      </c>
      <c r="AD30" s="56">
        <v>54</v>
      </c>
      <c r="AE30" s="4">
        <v>51</v>
      </c>
      <c r="AF30" s="4">
        <v>12.5</v>
      </c>
      <c r="AG30" s="15">
        <v>3.79</v>
      </c>
      <c r="AH30" s="56">
        <f t="shared" si="4"/>
        <v>52.2</v>
      </c>
      <c r="AI30" s="4">
        <f t="shared" si="5"/>
        <v>51</v>
      </c>
      <c r="AJ30" s="17">
        <f t="shared" si="6"/>
        <v>8.7500000000000064E-2</v>
      </c>
      <c r="AK30" s="15">
        <f t="shared" si="0"/>
        <v>20.450400000000002</v>
      </c>
      <c r="AL30" s="55">
        <f t="shared" si="7"/>
        <v>51</v>
      </c>
      <c r="AM30" s="12">
        <f t="shared" si="8"/>
        <v>51</v>
      </c>
      <c r="AN30" s="18">
        <f t="shared" si="9"/>
        <v>6.25E-2</v>
      </c>
      <c r="AO30" s="16">
        <f t="shared" si="10"/>
        <v>26.173400000000001</v>
      </c>
      <c r="AP30" s="1">
        <v>51</v>
      </c>
      <c r="AQ30" s="1">
        <v>19501</v>
      </c>
      <c r="AR30" s="1">
        <v>51</v>
      </c>
      <c r="AS30" s="1">
        <v>23427</v>
      </c>
      <c r="AT30" s="1">
        <v>54</v>
      </c>
      <c r="AU30" s="1">
        <v>20308</v>
      </c>
      <c r="AV30" s="1">
        <v>54</v>
      </c>
      <c r="AW30" s="1">
        <v>18841</v>
      </c>
      <c r="AX30" s="1">
        <v>51</v>
      </c>
      <c r="AY30" s="1">
        <v>19784</v>
      </c>
      <c r="AZ30" s="1">
        <v>51</v>
      </c>
      <c r="BA30" s="1">
        <v>20951</v>
      </c>
      <c r="BB30" s="1">
        <v>51</v>
      </c>
      <c r="BC30" s="1">
        <v>18635</v>
      </c>
      <c r="BD30" s="1">
        <v>54</v>
      </c>
      <c r="BE30" s="1">
        <v>18428</v>
      </c>
      <c r="BF30" s="1">
        <v>54</v>
      </c>
      <c r="BG30" s="1">
        <v>24188</v>
      </c>
      <c r="BH30" s="1">
        <v>51</v>
      </c>
      <c r="BI30" s="1">
        <v>20441</v>
      </c>
    </row>
    <row r="31" spans="1:72" x14ac:dyDescent="0.3">
      <c r="A31" s="9" t="s">
        <v>37</v>
      </c>
      <c r="B31" s="4">
        <v>38</v>
      </c>
      <c r="C31" s="4">
        <v>4</v>
      </c>
      <c r="D31" s="45">
        <v>27</v>
      </c>
      <c r="E31" s="56">
        <v>27</v>
      </c>
      <c r="F31" s="45">
        <v>3739</v>
      </c>
      <c r="G31" s="56">
        <v>27</v>
      </c>
      <c r="H31" s="15">
        <v>1616</v>
      </c>
      <c r="I31" s="56">
        <v>27</v>
      </c>
      <c r="J31" s="15">
        <v>6203</v>
      </c>
      <c r="K31" s="56">
        <v>27</v>
      </c>
      <c r="L31" s="15">
        <v>3088</v>
      </c>
      <c r="M31" s="56">
        <v>27</v>
      </c>
      <c r="N31" s="15">
        <v>2927</v>
      </c>
      <c r="O31" s="56">
        <v>27</v>
      </c>
      <c r="P31" s="45">
        <v>1407</v>
      </c>
      <c r="Q31" s="56">
        <v>27</v>
      </c>
      <c r="R31" s="15">
        <v>2553</v>
      </c>
      <c r="S31" s="56">
        <v>27</v>
      </c>
      <c r="T31" s="15">
        <v>3370</v>
      </c>
      <c r="U31" s="56">
        <v>27</v>
      </c>
      <c r="V31" s="15">
        <v>2387</v>
      </c>
      <c r="W31" s="56">
        <v>27</v>
      </c>
      <c r="X31" s="15">
        <v>3123</v>
      </c>
      <c r="Y31" s="77">
        <v>27</v>
      </c>
      <c r="Z31" s="56">
        <v>28.8</v>
      </c>
      <c r="AA31" s="4">
        <v>27</v>
      </c>
      <c r="AB31" s="4">
        <v>6.7</v>
      </c>
      <c r="AC31" s="15">
        <v>7.87</v>
      </c>
      <c r="AD31" s="56">
        <v>30</v>
      </c>
      <c r="AE31" s="4">
        <v>30</v>
      </c>
      <c r="AF31" s="4">
        <v>11.1</v>
      </c>
      <c r="AG31" s="15">
        <v>7.15</v>
      </c>
      <c r="AH31" s="56">
        <f t="shared" si="4"/>
        <v>29.4</v>
      </c>
      <c r="AI31" s="4">
        <f t="shared" si="5"/>
        <v>27</v>
      </c>
      <c r="AJ31" s="17">
        <f t="shared" si="6"/>
        <v>8.8888888888888837E-2</v>
      </c>
      <c r="AK31" s="15">
        <f t="shared" si="0"/>
        <v>12.3872</v>
      </c>
      <c r="AL31" s="55">
        <f t="shared" si="7"/>
        <v>27</v>
      </c>
      <c r="AM31" s="12">
        <f t="shared" si="8"/>
        <v>27</v>
      </c>
      <c r="AN31" s="18">
        <f t="shared" si="9"/>
        <v>0</v>
      </c>
      <c r="AO31" s="16">
        <f t="shared" si="10"/>
        <v>3.0413000000000001</v>
      </c>
      <c r="AP31" s="1">
        <v>30</v>
      </c>
      <c r="AQ31" s="1">
        <v>15203</v>
      </c>
      <c r="AR31" s="1">
        <v>27</v>
      </c>
      <c r="AS31" s="1">
        <v>1237</v>
      </c>
      <c r="AT31" s="1">
        <v>30</v>
      </c>
      <c r="AU31" s="1">
        <v>14709</v>
      </c>
      <c r="AV31" s="1">
        <v>30</v>
      </c>
      <c r="AW31" s="1">
        <v>14934</v>
      </c>
      <c r="AX31" s="1">
        <v>30</v>
      </c>
      <c r="AY31" s="1">
        <v>15200</v>
      </c>
      <c r="AZ31" s="1">
        <v>30</v>
      </c>
      <c r="BA31" s="1">
        <v>15200</v>
      </c>
      <c r="BB31" s="1">
        <v>30</v>
      </c>
      <c r="BC31" s="1">
        <v>15200</v>
      </c>
      <c r="BD31" s="1">
        <v>30</v>
      </c>
      <c r="BE31" s="1">
        <v>15200</v>
      </c>
      <c r="BF31" s="1">
        <v>30</v>
      </c>
      <c r="BG31" s="1">
        <v>15200</v>
      </c>
      <c r="BH31" s="1">
        <v>27</v>
      </c>
      <c r="BI31" s="1">
        <v>1789</v>
      </c>
    </row>
    <row r="32" spans="1:72" x14ac:dyDescent="0.3">
      <c r="A32" s="9" t="s">
        <v>38</v>
      </c>
      <c r="B32" s="4">
        <v>56</v>
      </c>
      <c r="C32" s="4">
        <v>4</v>
      </c>
      <c r="D32" s="45">
        <v>32</v>
      </c>
      <c r="E32" s="56">
        <v>32</v>
      </c>
      <c r="F32" s="45">
        <v>476</v>
      </c>
      <c r="G32" s="56">
        <v>32</v>
      </c>
      <c r="H32" s="15">
        <v>19</v>
      </c>
      <c r="I32" s="56">
        <v>32</v>
      </c>
      <c r="J32" s="15">
        <v>240</v>
      </c>
      <c r="K32" s="56">
        <v>32</v>
      </c>
      <c r="L32" s="15">
        <v>916</v>
      </c>
      <c r="M32" s="56">
        <v>32</v>
      </c>
      <c r="N32" s="15">
        <v>20</v>
      </c>
      <c r="O32" s="56">
        <v>32</v>
      </c>
      <c r="P32" s="45">
        <v>77</v>
      </c>
      <c r="Q32" s="56">
        <v>32</v>
      </c>
      <c r="R32" s="15">
        <v>396</v>
      </c>
      <c r="S32" s="56">
        <v>32</v>
      </c>
      <c r="T32" s="15">
        <v>486</v>
      </c>
      <c r="U32" s="56">
        <v>32</v>
      </c>
      <c r="V32" s="15">
        <v>18</v>
      </c>
      <c r="W32" s="56">
        <v>32</v>
      </c>
      <c r="X32" s="15">
        <v>244</v>
      </c>
      <c r="Y32" s="77">
        <v>32</v>
      </c>
      <c r="Z32" s="56">
        <v>33.6</v>
      </c>
      <c r="AA32" s="4">
        <v>32</v>
      </c>
      <c r="AB32" s="4">
        <v>5</v>
      </c>
      <c r="AC32" s="15">
        <v>16.61</v>
      </c>
      <c r="AD32" s="56">
        <v>32</v>
      </c>
      <c r="AE32" s="4">
        <v>32</v>
      </c>
      <c r="AF32" s="4">
        <v>0</v>
      </c>
      <c r="AG32" s="15">
        <v>0</v>
      </c>
      <c r="AH32" s="56">
        <f t="shared" si="4"/>
        <v>32</v>
      </c>
      <c r="AI32" s="4">
        <f t="shared" si="5"/>
        <v>32</v>
      </c>
      <c r="AJ32" s="17">
        <f t="shared" si="6"/>
        <v>0</v>
      </c>
      <c r="AK32" s="15">
        <f t="shared" si="0"/>
        <v>2.3300000000000001E-2</v>
      </c>
      <c r="AL32" s="55">
        <f t="shared" si="7"/>
        <v>32</v>
      </c>
      <c r="AM32" s="12">
        <f t="shared" si="8"/>
        <v>32</v>
      </c>
      <c r="AN32" s="18">
        <f t="shared" si="9"/>
        <v>0</v>
      </c>
      <c r="AO32" s="16">
        <f t="shared" si="10"/>
        <v>0.28920000000000001</v>
      </c>
      <c r="AP32" s="1">
        <v>32</v>
      </c>
      <c r="AQ32" s="1">
        <v>26</v>
      </c>
      <c r="AR32" s="1">
        <v>32</v>
      </c>
      <c r="AS32" s="1">
        <v>22</v>
      </c>
      <c r="AT32" s="1">
        <v>32</v>
      </c>
      <c r="AU32" s="1">
        <v>23</v>
      </c>
      <c r="AV32" s="1">
        <v>32</v>
      </c>
      <c r="AW32" s="1">
        <v>22</v>
      </c>
      <c r="AX32" s="1">
        <v>32</v>
      </c>
      <c r="AY32" s="1">
        <v>23</v>
      </c>
      <c r="AZ32" s="1">
        <v>32</v>
      </c>
      <c r="BA32" s="1">
        <v>22</v>
      </c>
      <c r="BB32" s="1">
        <v>32</v>
      </c>
      <c r="BC32" s="1">
        <v>23</v>
      </c>
      <c r="BD32" s="1">
        <v>32</v>
      </c>
      <c r="BE32" s="1">
        <v>22</v>
      </c>
      <c r="BF32" s="1">
        <v>32</v>
      </c>
      <c r="BG32" s="1">
        <v>23</v>
      </c>
      <c r="BH32" s="1">
        <v>32</v>
      </c>
      <c r="BI32" s="1">
        <v>27</v>
      </c>
    </row>
    <row r="33" spans="1:61" x14ac:dyDescent="0.3">
      <c r="A33" s="9" t="s">
        <v>39</v>
      </c>
      <c r="B33" s="4">
        <v>60</v>
      </c>
      <c r="C33" s="4">
        <v>4</v>
      </c>
      <c r="D33" s="45">
        <v>25</v>
      </c>
      <c r="E33" s="92">
        <v>28</v>
      </c>
      <c r="F33" s="45">
        <v>20763</v>
      </c>
      <c r="G33" s="92">
        <v>28</v>
      </c>
      <c r="H33" s="15">
        <v>20425</v>
      </c>
      <c r="I33" s="92">
        <v>28</v>
      </c>
      <c r="J33" s="15">
        <v>20361</v>
      </c>
      <c r="K33" s="92">
        <v>28</v>
      </c>
      <c r="L33" s="15">
        <v>20176</v>
      </c>
      <c r="M33" s="92">
        <v>28</v>
      </c>
      <c r="N33" s="15">
        <v>20758</v>
      </c>
      <c r="O33" s="92">
        <v>28</v>
      </c>
      <c r="P33" s="45">
        <v>20707</v>
      </c>
      <c r="Q33" s="92">
        <v>28</v>
      </c>
      <c r="R33" s="15">
        <v>20563</v>
      </c>
      <c r="S33" s="92">
        <v>28</v>
      </c>
      <c r="T33" s="15">
        <v>20511</v>
      </c>
      <c r="U33" s="92">
        <v>28</v>
      </c>
      <c r="V33" s="15">
        <v>20689</v>
      </c>
      <c r="W33" s="92">
        <v>28</v>
      </c>
      <c r="X33" s="15">
        <v>20716</v>
      </c>
      <c r="Y33" s="87">
        <v>28</v>
      </c>
      <c r="Z33" s="56">
        <v>27.9</v>
      </c>
      <c r="AA33" s="4">
        <v>26</v>
      </c>
      <c r="AB33" s="4">
        <v>11.6</v>
      </c>
      <c r="AC33" s="15">
        <v>16.62</v>
      </c>
      <c r="AD33" s="56">
        <v>28.1</v>
      </c>
      <c r="AE33" s="4">
        <v>28</v>
      </c>
      <c r="AF33" s="4">
        <v>12.4</v>
      </c>
      <c r="AG33" s="15">
        <v>12.39</v>
      </c>
      <c r="AH33" s="56">
        <f t="shared" si="4"/>
        <v>26</v>
      </c>
      <c r="AI33" s="4">
        <f t="shared" si="5"/>
        <v>26</v>
      </c>
      <c r="AJ33" s="17">
        <f t="shared" si="6"/>
        <v>0.04</v>
      </c>
      <c r="AK33" s="15">
        <f t="shared" si="0"/>
        <v>21.5627</v>
      </c>
      <c r="AL33" s="55">
        <f t="shared" si="7"/>
        <v>28</v>
      </c>
      <c r="AM33" s="106">
        <f t="shared" si="8"/>
        <v>28</v>
      </c>
      <c r="AN33" s="18">
        <f t="shared" si="9"/>
        <v>0.12</v>
      </c>
      <c r="AO33" s="16">
        <f t="shared" si="10"/>
        <v>20.5669</v>
      </c>
      <c r="AP33" s="1">
        <v>26</v>
      </c>
      <c r="AQ33" s="1">
        <v>20193</v>
      </c>
      <c r="AR33" s="1">
        <v>26</v>
      </c>
      <c r="AS33" s="1">
        <v>23974</v>
      </c>
      <c r="AT33" s="1">
        <v>26</v>
      </c>
      <c r="AU33" s="1">
        <v>21797</v>
      </c>
      <c r="AV33" s="1">
        <v>26</v>
      </c>
      <c r="AW33" s="1">
        <v>24000</v>
      </c>
      <c r="AX33" s="1">
        <v>26</v>
      </c>
      <c r="AY33" s="1">
        <v>21697</v>
      </c>
      <c r="AZ33" s="1">
        <v>26</v>
      </c>
      <c r="BA33" s="1">
        <v>20004</v>
      </c>
      <c r="BB33" s="1">
        <v>26</v>
      </c>
      <c r="BC33" s="1">
        <v>15861</v>
      </c>
      <c r="BD33" s="1">
        <v>26</v>
      </c>
      <c r="BE33" s="1">
        <v>23358</v>
      </c>
      <c r="BF33" s="1">
        <v>26</v>
      </c>
      <c r="BG33" s="1">
        <v>24000</v>
      </c>
      <c r="BH33" s="1">
        <v>26</v>
      </c>
      <c r="BI33" s="1">
        <v>20743</v>
      </c>
    </row>
    <row r="34" spans="1:61" x14ac:dyDescent="0.3">
      <c r="A34" s="9" t="s">
        <v>40</v>
      </c>
      <c r="B34" s="4">
        <v>53</v>
      </c>
      <c r="C34" s="4">
        <v>4</v>
      </c>
      <c r="D34" s="45">
        <v>36</v>
      </c>
      <c r="E34" s="56">
        <v>36</v>
      </c>
      <c r="F34" s="45">
        <v>9</v>
      </c>
      <c r="G34" s="56">
        <v>36</v>
      </c>
      <c r="H34" s="15">
        <v>8</v>
      </c>
      <c r="I34" s="56">
        <v>36</v>
      </c>
      <c r="J34" s="15">
        <v>7</v>
      </c>
      <c r="K34" s="56">
        <v>36</v>
      </c>
      <c r="L34" s="15">
        <v>9</v>
      </c>
      <c r="M34" s="56">
        <v>36</v>
      </c>
      <c r="N34" s="15">
        <v>7</v>
      </c>
      <c r="O34" s="56">
        <v>36</v>
      </c>
      <c r="P34" s="45">
        <v>10</v>
      </c>
      <c r="Q34" s="56">
        <v>36</v>
      </c>
      <c r="R34" s="15">
        <v>8</v>
      </c>
      <c r="S34" s="56">
        <v>36</v>
      </c>
      <c r="T34" s="15">
        <v>9</v>
      </c>
      <c r="U34" s="56">
        <v>36</v>
      </c>
      <c r="V34" s="15">
        <v>10</v>
      </c>
      <c r="W34" s="56">
        <v>36</v>
      </c>
      <c r="X34" s="15">
        <v>6</v>
      </c>
      <c r="Y34" s="77">
        <v>36</v>
      </c>
      <c r="Z34" s="56">
        <v>36</v>
      </c>
      <c r="AA34" s="4">
        <v>36</v>
      </c>
      <c r="AB34" s="4">
        <v>0</v>
      </c>
      <c r="AC34" s="15">
        <v>16.93</v>
      </c>
      <c r="AD34" s="56">
        <v>40</v>
      </c>
      <c r="AE34" s="4">
        <v>40</v>
      </c>
      <c r="AF34" s="4">
        <v>11.1</v>
      </c>
      <c r="AG34" s="15">
        <v>10.33</v>
      </c>
      <c r="AH34" s="56">
        <f t="shared" si="4"/>
        <v>36</v>
      </c>
      <c r="AI34" s="4">
        <f t="shared" si="5"/>
        <v>36</v>
      </c>
      <c r="AJ34" s="17">
        <f t="shared" si="6"/>
        <v>0</v>
      </c>
      <c r="AK34" s="15">
        <f t="shared" si="0"/>
        <v>0.10809999999999999</v>
      </c>
      <c r="AL34" s="55">
        <f t="shared" si="7"/>
        <v>36</v>
      </c>
      <c r="AM34" s="12">
        <f t="shared" si="8"/>
        <v>36</v>
      </c>
      <c r="AN34" s="18">
        <f t="shared" si="9"/>
        <v>0</v>
      </c>
      <c r="AO34" s="16">
        <f t="shared" si="10"/>
        <v>8.3000000000000001E-3</v>
      </c>
      <c r="AP34" s="1">
        <v>36</v>
      </c>
      <c r="AQ34" s="1">
        <v>138</v>
      </c>
      <c r="AR34" s="1">
        <v>36</v>
      </c>
      <c r="AS34" s="1">
        <v>94</v>
      </c>
      <c r="AT34" s="1">
        <v>36</v>
      </c>
      <c r="AU34" s="1">
        <v>175</v>
      </c>
      <c r="AV34" s="1">
        <v>36</v>
      </c>
      <c r="AW34" s="1">
        <v>82</v>
      </c>
      <c r="AX34" s="1">
        <v>36</v>
      </c>
      <c r="AY34" s="1">
        <v>71</v>
      </c>
      <c r="AZ34" s="1">
        <v>36</v>
      </c>
      <c r="BA34" s="1">
        <v>74</v>
      </c>
      <c r="BB34" s="1">
        <v>36</v>
      </c>
      <c r="BC34" s="1">
        <v>180</v>
      </c>
      <c r="BD34" s="1">
        <v>36</v>
      </c>
      <c r="BE34" s="1">
        <v>65</v>
      </c>
      <c r="BF34" s="1">
        <v>36</v>
      </c>
      <c r="BG34" s="1">
        <v>39</v>
      </c>
      <c r="BH34" s="1">
        <v>36</v>
      </c>
      <c r="BI34" s="1">
        <v>163</v>
      </c>
    </row>
    <row r="35" spans="1:61" x14ac:dyDescent="0.3">
      <c r="A35" s="9" t="s">
        <v>41</v>
      </c>
      <c r="B35" s="4">
        <v>40</v>
      </c>
      <c r="C35" s="4">
        <v>4</v>
      </c>
      <c r="D35" s="45">
        <v>33</v>
      </c>
      <c r="E35" s="56">
        <v>33</v>
      </c>
      <c r="F35" s="45">
        <v>13</v>
      </c>
      <c r="G35" s="56">
        <v>33</v>
      </c>
      <c r="H35" s="15">
        <v>13</v>
      </c>
      <c r="I35" s="56">
        <v>33</v>
      </c>
      <c r="J35" s="15">
        <v>13</v>
      </c>
      <c r="K35" s="56">
        <v>33</v>
      </c>
      <c r="L35" s="15">
        <v>13</v>
      </c>
      <c r="M35" s="56">
        <v>33</v>
      </c>
      <c r="N35" s="15">
        <v>13</v>
      </c>
      <c r="O35" s="56">
        <v>33</v>
      </c>
      <c r="P35" s="45">
        <v>12</v>
      </c>
      <c r="Q35" s="56">
        <v>33</v>
      </c>
      <c r="R35" s="15">
        <v>13</v>
      </c>
      <c r="S35" s="56">
        <v>33</v>
      </c>
      <c r="T35" s="15">
        <v>12</v>
      </c>
      <c r="U35" s="56">
        <v>33</v>
      </c>
      <c r="V35" s="15">
        <v>13</v>
      </c>
      <c r="W35" s="56">
        <v>33</v>
      </c>
      <c r="X35" s="15">
        <v>36</v>
      </c>
      <c r="Y35" s="77">
        <v>33</v>
      </c>
      <c r="Z35" s="56">
        <v>33</v>
      </c>
      <c r="AA35" s="4">
        <v>33</v>
      </c>
      <c r="AB35" s="4">
        <v>0</v>
      </c>
      <c r="AC35" s="15">
        <v>9.32</v>
      </c>
      <c r="AD35" s="56">
        <v>34</v>
      </c>
      <c r="AE35" s="4">
        <v>34</v>
      </c>
      <c r="AF35" s="4">
        <v>3</v>
      </c>
      <c r="AG35" s="15">
        <v>14.46</v>
      </c>
      <c r="AH35" s="56">
        <f t="shared" si="4"/>
        <v>33</v>
      </c>
      <c r="AI35" s="4">
        <f t="shared" si="5"/>
        <v>33</v>
      </c>
      <c r="AJ35" s="17">
        <f t="shared" si="6"/>
        <v>0</v>
      </c>
      <c r="AK35" s="15">
        <f t="shared" ref="AK35:AK66" si="11">AVERAGE(AQ35,AS35,AU35,AW35,AY35,BA35,BC35,BE35,BG35,BI35)/1000</f>
        <v>1.9399999999999997E-2</v>
      </c>
      <c r="AL35" s="55">
        <f t="shared" si="7"/>
        <v>33</v>
      </c>
      <c r="AM35" s="12">
        <f t="shared" si="8"/>
        <v>33</v>
      </c>
      <c r="AN35" s="18">
        <f t="shared" si="9"/>
        <v>0</v>
      </c>
      <c r="AO35" s="16">
        <f t="shared" si="10"/>
        <v>1.5099999999999999E-2</v>
      </c>
      <c r="AP35" s="1">
        <v>33</v>
      </c>
      <c r="AQ35" s="1">
        <v>32</v>
      </c>
      <c r="AR35" s="1">
        <v>33</v>
      </c>
      <c r="AS35" s="1">
        <v>14</v>
      </c>
      <c r="AT35" s="1">
        <v>33</v>
      </c>
      <c r="AU35" s="1">
        <v>13</v>
      </c>
      <c r="AV35" s="1">
        <v>33</v>
      </c>
      <c r="AW35" s="1">
        <v>23</v>
      </c>
      <c r="AX35" s="1">
        <v>33</v>
      </c>
      <c r="AY35" s="1">
        <v>15</v>
      </c>
      <c r="AZ35" s="1">
        <v>33</v>
      </c>
      <c r="BA35" s="1">
        <v>17</v>
      </c>
      <c r="BB35" s="1">
        <v>33</v>
      </c>
      <c r="BC35" s="1">
        <v>15</v>
      </c>
      <c r="BD35" s="1">
        <v>33</v>
      </c>
      <c r="BE35" s="1">
        <v>13</v>
      </c>
      <c r="BF35" s="1">
        <v>33</v>
      </c>
      <c r="BG35" s="1">
        <v>36</v>
      </c>
      <c r="BH35" s="1">
        <v>33</v>
      </c>
      <c r="BI35" s="1">
        <v>16</v>
      </c>
    </row>
    <row r="36" spans="1:61" x14ac:dyDescent="0.3">
      <c r="A36" s="9" t="s">
        <v>42</v>
      </c>
      <c r="B36" s="4">
        <v>65</v>
      </c>
      <c r="C36" s="4">
        <v>4</v>
      </c>
      <c r="D36" s="45">
        <v>39</v>
      </c>
      <c r="E36" s="92">
        <v>42</v>
      </c>
      <c r="F36" s="45">
        <v>23515</v>
      </c>
      <c r="G36" s="92">
        <v>42</v>
      </c>
      <c r="H36" s="15">
        <v>23977</v>
      </c>
      <c r="I36" s="92">
        <v>42</v>
      </c>
      <c r="J36" s="15">
        <v>22841</v>
      </c>
      <c r="K36" s="92">
        <v>42</v>
      </c>
      <c r="L36" s="15">
        <v>21428</v>
      </c>
      <c r="M36" s="56">
        <v>41</v>
      </c>
      <c r="N36" s="15">
        <v>22621</v>
      </c>
      <c r="O36" s="92">
        <v>42</v>
      </c>
      <c r="P36" s="45">
        <v>22109</v>
      </c>
      <c r="Q36" s="92">
        <v>42</v>
      </c>
      <c r="R36" s="15">
        <v>22744</v>
      </c>
      <c r="S36" s="92">
        <v>42</v>
      </c>
      <c r="T36" s="15">
        <v>22515</v>
      </c>
      <c r="U36" s="92">
        <v>42</v>
      </c>
      <c r="V36" s="15">
        <v>22215</v>
      </c>
      <c r="W36" s="92">
        <v>42</v>
      </c>
      <c r="X36" s="15">
        <v>22772</v>
      </c>
      <c r="Y36" s="87">
        <v>42</v>
      </c>
      <c r="Z36" s="56">
        <v>47.8</v>
      </c>
      <c r="AA36" s="4">
        <v>46</v>
      </c>
      <c r="AB36" s="4">
        <v>22.6</v>
      </c>
      <c r="AC36" s="15">
        <v>33.49</v>
      </c>
      <c r="AD36" s="56">
        <v>48</v>
      </c>
      <c r="AE36" s="4">
        <v>47</v>
      </c>
      <c r="AF36" s="4">
        <v>23.1</v>
      </c>
      <c r="AG36" s="15">
        <v>26</v>
      </c>
      <c r="AH36" s="56">
        <f t="shared" si="4"/>
        <v>44.2</v>
      </c>
      <c r="AI36" s="23">
        <f t="shared" si="5"/>
        <v>41</v>
      </c>
      <c r="AJ36" s="17">
        <f t="shared" si="6"/>
        <v>0.13333333333333341</v>
      </c>
      <c r="AK36" s="15">
        <f t="shared" si="11"/>
        <v>21.275400000000001</v>
      </c>
      <c r="AL36" s="55">
        <f t="shared" si="7"/>
        <v>41.9</v>
      </c>
      <c r="AM36" s="12">
        <f t="shared" si="8"/>
        <v>41</v>
      </c>
      <c r="AN36" s="18">
        <f t="shared" si="9"/>
        <v>7.4358974358974317E-2</v>
      </c>
      <c r="AO36" s="16">
        <f t="shared" si="10"/>
        <v>22.6737</v>
      </c>
      <c r="AP36" s="1">
        <v>41</v>
      </c>
      <c r="AQ36" s="1">
        <v>25294</v>
      </c>
      <c r="AR36" s="1">
        <v>46</v>
      </c>
      <c r="AS36" s="1">
        <v>24204</v>
      </c>
      <c r="AT36" s="1">
        <v>46</v>
      </c>
      <c r="AU36" s="1">
        <v>18576</v>
      </c>
      <c r="AV36" s="1">
        <v>46</v>
      </c>
      <c r="AW36" s="1">
        <v>21585</v>
      </c>
      <c r="AX36" s="1">
        <v>43</v>
      </c>
      <c r="AY36" s="1">
        <v>21234</v>
      </c>
      <c r="AZ36" s="1">
        <v>43</v>
      </c>
      <c r="BA36" s="1">
        <v>25074</v>
      </c>
      <c r="BB36" s="1">
        <v>43</v>
      </c>
      <c r="BC36" s="1">
        <v>20353</v>
      </c>
      <c r="BD36" s="1">
        <v>46</v>
      </c>
      <c r="BE36" s="1">
        <v>16909</v>
      </c>
      <c r="BF36" s="1">
        <v>42</v>
      </c>
      <c r="BG36" s="1">
        <v>23665</v>
      </c>
      <c r="BH36" s="1">
        <v>46</v>
      </c>
      <c r="BI36" s="1">
        <v>15860</v>
      </c>
    </row>
    <row r="37" spans="1:61" x14ac:dyDescent="0.3">
      <c r="A37" s="9" t="s">
        <v>43</v>
      </c>
      <c r="B37" s="4">
        <v>53</v>
      </c>
      <c r="C37" s="4">
        <v>4</v>
      </c>
      <c r="D37" s="45">
        <v>56</v>
      </c>
      <c r="E37" s="56">
        <v>56</v>
      </c>
      <c r="F37" s="45">
        <v>8</v>
      </c>
      <c r="G37" s="56">
        <v>56</v>
      </c>
      <c r="H37" s="15">
        <v>8</v>
      </c>
      <c r="I37" s="56">
        <v>56</v>
      </c>
      <c r="J37" s="15">
        <v>19</v>
      </c>
      <c r="K37" s="56">
        <v>56</v>
      </c>
      <c r="L37" s="15">
        <v>19</v>
      </c>
      <c r="M37" s="56">
        <v>56</v>
      </c>
      <c r="N37" s="15">
        <v>9</v>
      </c>
      <c r="O37" s="56">
        <v>56</v>
      </c>
      <c r="P37" s="45">
        <v>18</v>
      </c>
      <c r="Q37" s="56">
        <v>56</v>
      </c>
      <c r="R37" s="15">
        <v>17</v>
      </c>
      <c r="S37" s="56">
        <v>56</v>
      </c>
      <c r="T37" s="15">
        <v>9</v>
      </c>
      <c r="U37" s="56">
        <v>56</v>
      </c>
      <c r="V37" s="15">
        <v>19</v>
      </c>
      <c r="W37" s="56">
        <v>56</v>
      </c>
      <c r="X37" s="15">
        <v>9</v>
      </c>
      <c r="Y37" s="77">
        <v>56</v>
      </c>
      <c r="Z37" s="56">
        <v>57.6</v>
      </c>
      <c r="AA37" s="4">
        <v>56</v>
      </c>
      <c r="AB37" s="4">
        <v>2.9</v>
      </c>
      <c r="AC37" s="15">
        <v>24.6</v>
      </c>
      <c r="AD37" s="56">
        <v>56</v>
      </c>
      <c r="AE37" s="4">
        <v>56</v>
      </c>
      <c r="AF37" s="4">
        <v>0</v>
      </c>
      <c r="AG37" s="15">
        <v>0</v>
      </c>
      <c r="AH37" s="56">
        <f t="shared" si="4"/>
        <v>56</v>
      </c>
      <c r="AI37" s="4">
        <f t="shared" si="5"/>
        <v>56</v>
      </c>
      <c r="AJ37" s="17">
        <f t="shared" si="6"/>
        <v>0</v>
      </c>
      <c r="AK37" s="15">
        <f t="shared" si="11"/>
        <v>0.18580000000000002</v>
      </c>
      <c r="AL37" s="55">
        <f t="shared" si="7"/>
        <v>56</v>
      </c>
      <c r="AM37" s="12">
        <f t="shared" si="8"/>
        <v>56</v>
      </c>
      <c r="AN37" s="18">
        <f t="shared" si="9"/>
        <v>0</v>
      </c>
      <c r="AO37" s="16">
        <f t="shared" si="10"/>
        <v>1.35E-2</v>
      </c>
      <c r="AP37" s="1">
        <v>56</v>
      </c>
      <c r="AQ37" s="1">
        <v>23</v>
      </c>
      <c r="AR37" s="1">
        <v>56</v>
      </c>
      <c r="AS37" s="1">
        <v>20</v>
      </c>
      <c r="AT37" s="1">
        <v>56</v>
      </c>
      <c r="AU37" s="1">
        <v>20</v>
      </c>
      <c r="AV37" s="1">
        <v>56</v>
      </c>
      <c r="AW37" s="1">
        <v>921</v>
      </c>
      <c r="AX37" s="1">
        <v>56</v>
      </c>
      <c r="AY37" s="1">
        <v>19</v>
      </c>
      <c r="AZ37" s="1">
        <v>56</v>
      </c>
      <c r="BA37" s="1">
        <v>21</v>
      </c>
      <c r="BB37" s="1">
        <v>56</v>
      </c>
      <c r="BC37" s="1">
        <v>20</v>
      </c>
      <c r="BD37" s="1">
        <v>56</v>
      </c>
      <c r="BE37" s="1">
        <v>773</v>
      </c>
      <c r="BF37" s="1">
        <v>56</v>
      </c>
      <c r="BG37" s="1">
        <v>21</v>
      </c>
      <c r="BH37" s="1">
        <v>56</v>
      </c>
      <c r="BI37" s="1">
        <v>20</v>
      </c>
    </row>
    <row r="38" spans="1:61" x14ac:dyDescent="0.3">
      <c r="A38" s="9" t="s">
        <v>44</v>
      </c>
      <c r="B38" s="4">
        <v>55</v>
      </c>
      <c r="C38" s="4">
        <v>4</v>
      </c>
      <c r="D38" s="45">
        <v>40</v>
      </c>
      <c r="E38" s="56">
        <v>40</v>
      </c>
      <c r="F38" s="45">
        <v>18</v>
      </c>
      <c r="G38" s="56">
        <v>40</v>
      </c>
      <c r="H38" s="15">
        <v>18</v>
      </c>
      <c r="I38" s="56">
        <v>40</v>
      </c>
      <c r="J38" s="15">
        <v>19</v>
      </c>
      <c r="K38" s="56">
        <v>40</v>
      </c>
      <c r="L38" s="15">
        <v>19</v>
      </c>
      <c r="M38" s="56">
        <v>40</v>
      </c>
      <c r="N38" s="15">
        <v>8</v>
      </c>
      <c r="O38" s="56">
        <v>40</v>
      </c>
      <c r="P38" s="45">
        <v>16</v>
      </c>
      <c r="Q38" s="56">
        <v>40</v>
      </c>
      <c r="R38" s="15">
        <v>18</v>
      </c>
      <c r="S38" s="56">
        <v>40</v>
      </c>
      <c r="T38" s="15">
        <v>19</v>
      </c>
      <c r="U38" s="56">
        <v>40</v>
      </c>
      <c r="V38" s="15">
        <v>20</v>
      </c>
      <c r="W38" s="56">
        <v>40</v>
      </c>
      <c r="X38" s="15">
        <v>17</v>
      </c>
      <c r="Y38" s="77">
        <v>40</v>
      </c>
      <c r="Z38" s="56">
        <v>43.7</v>
      </c>
      <c r="AA38" s="4">
        <v>43</v>
      </c>
      <c r="AB38" s="4">
        <v>9.3000000000000007</v>
      </c>
      <c r="AC38" s="15">
        <v>22.2</v>
      </c>
      <c r="AD38" s="56">
        <v>40.6</v>
      </c>
      <c r="AE38" s="4">
        <v>40</v>
      </c>
      <c r="AF38" s="4">
        <v>1.5</v>
      </c>
      <c r="AG38" s="15">
        <v>0</v>
      </c>
      <c r="AH38" s="56">
        <f t="shared" si="4"/>
        <v>40.799999999999997</v>
      </c>
      <c r="AI38" s="4">
        <f t="shared" si="5"/>
        <v>40</v>
      </c>
      <c r="AJ38" s="17">
        <f t="shared" si="6"/>
        <v>1.9999999999999928E-2</v>
      </c>
      <c r="AK38" s="15">
        <f t="shared" si="11"/>
        <v>16.662700000000001</v>
      </c>
      <c r="AL38" s="55">
        <f t="shared" si="7"/>
        <v>40</v>
      </c>
      <c r="AM38" s="12">
        <f t="shared" si="8"/>
        <v>40</v>
      </c>
      <c r="AN38" s="18">
        <f t="shared" si="9"/>
        <v>0</v>
      </c>
      <c r="AO38" s="16">
        <f t="shared" si="10"/>
        <v>1.72E-2</v>
      </c>
      <c r="AP38" s="1">
        <v>41</v>
      </c>
      <c r="AQ38" s="1">
        <v>22000</v>
      </c>
      <c r="AR38" s="1">
        <v>41</v>
      </c>
      <c r="AS38" s="1">
        <v>22000</v>
      </c>
      <c r="AT38" s="1">
        <v>40</v>
      </c>
      <c r="AU38" s="1">
        <v>3586</v>
      </c>
      <c r="AV38" s="1">
        <v>41</v>
      </c>
      <c r="AW38" s="1">
        <v>16661</v>
      </c>
      <c r="AX38" s="1">
        <v>41</v>
      </c>
      <c r="AY38" s="1">
        <v>22000</v>
      </c>
      <c r="AZ38" s="1">
        <v>41</v>
      </c>
      <c r="BA38" s="1">
        <v>22000</v>
      </c>
      <c r="BB38" s="1">
        <v>41</v>
      </c>
      <c r="BC38" s="1">
        <v>19553</v>
      </c>
      <c r="BD38" s="1">
        <v>41</v>
      </c>
      <c r="BE38" s="1">
        <v>16804</v>
      </c>
      <c r="BF38" s="1">
        <v>41</v>
      </c>
      <c r="BG38" s="1">
        <v>22000</v>
      </c>
      <c r="BH38" s="1">
        <v>40</v>
      </c>
      <c r="BI38" s="1">
        <v>23</v>
      </c>
    </row>
    <row r="39" spans="1:61" x14ac:dyDescent="0.3">
      <c r="A39" s="9" t="s">
        <v>45</v>
      </c>
      <c r="B39" s="4">
        <v>58</v>
      </c>
      <c r="C39" s="4">
        <v>4</v>
      </c>
      <c r="D39" s="45">
        <v>30</v>
      </c>
      <c r="E39" s="56">
        <v>32</v>
      </c>
      <c r="F39" s="45">
        <v>22150</v>
      </c>
      <c r="G39" s="56">
        <v>32</v>
      </c>
      <c r="H39" s="15">
        <v>21940</v>
      </c>
      <c r="I39" s="56">
        <v>32</v>
      </c>
      <c r="J39" s="15">
        <v>22270</v>
      </c>
      <c r="K39" s="56">
        <v>32</v>
      </c>
      <c r="L39" s="15">
        <v>23097</v>
      </c>
      <c r="M39" s="56">
        <v>32</v>
      </c>
      <c r="N39" s="15">
        <v>22959</v>
      </c>
      <c r="O39" s="56">
        <v>32</v>
      </c>
      <c r="P39" s="45">
        <v>21553</v>
      </c>
      <c r="Q39" s="56">
        <v>32</v>
      </c>
      <c r="R39" s="15">
        <v>21949</v>
      </c>
      <c r="S39" s="56">
        <v>32</v>
      </c>
      <c r="T39" s="15">
        <v>22062</v>
      </c>
      <c r="U39" s="56">
        <v>32</v>
      </c>
      <c r="V39" s="15">
        <v>22160</v>
      </c>
      <c r="W39" s="56">
        <v>32</v>
      </c>
      <c r="X39" s="15">
        <v>22074</v>
      </c>
      <c r="Y39" s="77">
        <v>32</v>
      </c>
      <c r="Z39" s="56">
        <v>33</v>
      </c>
      <c r="AA39" s="4">
        <v>32</v>
      </c>
      <c r="AB39" s="4">
        <v>10</v>
      </c>
      <c r="AC39" s="15">
        <v>19.239999999999998</v>
      </c>
      <c r="AD39" s="56">
        <v>37.200000000000003</v>
      </c>
      <c r="AE39" s="4">
        <v>36</v>
      </c>
      <c r="AF39" s="4">
        <v>24</v>
      </c>
      <c r="AG39" s="15">
        <v>1.1000000000000001</v>
      </c>
      <c r="AH39" s="56">
        <f t="shared" si="4"/>
        <v>32.200000000000003</v>
      </c>
      <c r="AI39" s="4">
        <f t="shared" si="5"/>
        <v>32</v>
      </c>
      <c r="AJ39" s="17">
        <f t="shared" si="6"/>
        <v>7.3333333333333431E-2</v>
      </c>
      <c r="AK39" s="15">
        <f t="shared" si="11"/>
        <v>18.403200000000002</v>
      </c>
      <c r="AL39" s="55">
        <f t="shared" si="7"/>
        <v>32</v>
      </c>
      <c r="AM39" s="12">
        <f t="shared" si="8"/>
        <v>32</v>
      </c>
      <c r="AN39" s="18">
        <f t="shared" si="9"/>
        <v>6.6666666666666666E-2</v>
      </c>
      <c r="AO39" s="16">
        <f t="shared" si="10"/>
        <v>22.221400000000003</v>
      </c>
      <c r="AP39" s="1">
        <v>32</v>
      </c>
      <c r="AQ39" s="1">
        <v>14611</v>
      </c>
      <c r="AR39" s="1">
        <v>32</v>
      </c>
      <c r="AS39" s="1">
        <v>17651</v>
      </c>
      <c r="AT39" s="1">
        <v>32</v>
      </c>
      <c r="AU39" s="1">
        <v>21944</v>
      </c>
      <c r="AV39" s="1">
        <v>32</v>
      </c>
      <c r="AW39" s="1">
        <v>17350</v>
      </c>
      <c r="AX39" s="1">
        <v>34</v>
      </c>
      <c r="AY39" s="1">
        <v>15214</v>
      </c>
      <c r="AZ39" s="1">
        <v>32</v>
      </c>
      <c r="BA39" s="1">
        <v>19699</v>
      </c>
      <c r="BB39" s="1">
        <v>32</v>
      </c>
      <c r="BC39" s="1">
        <v>20042</v>
      </c>
      <c r="BD39" s="1">
        <v>32</v>
      </c>
      <c r="BE39" s="1">
        <v>17588</v>
      </c>
      <c r="BF39" s="1">
        <v>32</v>
      </c>
      <c r="BG39" s="1">
        <v>23200</v>
      </c>
      <c r="BH39" s="1">
        <v>32</v>
      </c>
      <c r="BI39" s="1">
        <v>16733</v>
      </c>
    </row>
    <row r="40" spans="1:61" x14ac:dyDescent="0.3">
      <c r="A40" s="9" t="s">
        <v>46</v>
      </c>
      <c r="B40" s="4">
        <v>37</v>
      </c>
      <c r="C40" s="4">
        <v>4</v>
      </c>
      <c r="D40" s="45">
        <v>40</v>
      </c>
      <c r="E40" s="56">
        <v>40</v>
      </c>
      <c r="F40" s="45">
        <v>12</v>
      </c>
      <c r="G40" s="56">
        <v>40</v>
      </c>
      <c r="H40" s="15">
        <v>8</v>
      </c>
      <c r="I40" s="56">
        <v>40</v>
      </c>
      <c r="J40" s="15">
        <v>8</v>
      </c>
      <c r="K40" s="56">
        <v>40</v>
      </c>
      <c r="L40" s="15">
        <v>7</v>
      </c>
      <c r="M40" s="56">
        <v>40</v>
      </c>
      <c r="N40" s="15">
        <v>7</v>
      </c>
      <c r="O40" s="56">
        <v>40</v>
      </c>
      <c r="P40" s="45">
        <v>11</v>
      </c>
      <c r="Q40" s="56">
        <v>40</v>
      </c>
      <c r="R40" s="15">
        <v>7</v>
      </c>
      <c r="S40" s="56">
        <v>40</v>
      </c>
      <c r="T40" s="15">
        <v>6</v>
      </c>
      <c r="U40" s="56">
        <v>40</v>
      </c>
      <c r="V40" s="15">
        <v>7</v>
      </c>
      <c r="W40" s="56">
        <v>40</v>
      </c>
      <c r="X40" s="15">
        <v>7</v>
      </c>
      <c r="Y40" s="77">
        <v>40</v>
      </c>
      <c r="Z40" s="56">
        <v>40</v>
      </c>
      <c r="AA40" s="4">
        <v>40</v>
      </c>
      <c r="AB40" s="4">
        <v>0</v>
      </c>
      <c r="AC40" s="15">
        <v>9.61</v>
      </c>
      <c r="AD40" s="56">
        <v>40</v>
      </c>
      <c r="AE40" s="4">
        <v>40</v>
      </c>
      <c r="AF40" s="4">
        <v>0</v>
      </c>
      <c r="AG40" s="15">
        <v>0</v>
      </c>
      <c r="AH40" s="56">
        <f t="shared" si="4"/>
        <v>40</v>
      </c>
      <c r="AI40" s="4">
        <f t="shared" si="5"/>
        <v>40</v>
      </c>
      <c r="AJ40" s="17">
        <f t="shared" si="6"/>
        <v>0</v>
      </c>
      <c r="AK40" s="15">
        <f t="shared" si="11"/>
        <v>4.5600000000000002E-2</v>
      </c>
      <c r="AL40" s="55">
        <f t="shared" si="7"/>
        <v>40</v>
      </c>
      <c r="AM40" s="12">
        <f t="shared" si="8"/>
        <v>40</v>
      </c>
      <c r="AN40" s="18">
        <f t="shared" si="9"/>
        <v>0</v>
      </c>
      <c r="AO40" s="16">
        <f t="shared" si="10"/>
        <v>8.0000000000000002E-3</v>
      </c>
      <c r="AP40" s="1">
        <v>40</v>
      </c>
      <c r="AQ40" s="1">
        <v>67</v>
      </c>
      <c r="AR40" s="1">
        <v>40</v>
      </c>
      <c r="AS40" s="1">
        <v>56</v>
      </c>
      <c r="AT40" s="1">
        <v>40</v>
      </c>
      <c r="AU40" s="1">
        <v>37</v>
      </c>
      <c r="AV40" s="1">
        <v>40</v>
      </c>
      <c r="AW40" s="1">
        <v>27</v>
      </c>
      <c r="AX40" s="1">
        <v>40</v>
      </c>
      <c r="AY40" s="1">
        <v>33</v>
      </c>
      <c r="AZ40" s="1">
        <v>40</v>
      </c>
      <c r="BA40" s="1">
        <v>74</v>
      </c>
      <c r="BB40" s="1">
        <v>40</v>
      </c>
      <c r="BC40" s="1">
        <v>75</v>
      </c>
      <c r="BD40" s="1">
        <v>40</v>
      </c>
      <c r="BE40" s="1">
        <v>28</v>
      </c>
      <c r="BF40" s="1">
        <v>40</v>
      </c>
      <c r="BG40" s="1">
        <v>39</v>
      </c>
      <c r="BH40" s="1">
        <v>40</v>
      </c>
      <c r="BI40" s="1">
        <v>20</v>
      </c>
    </row>
    <row r="41" spans="1:61" x14ac:dyDescent="0.3">
      <c r="A41" s="9" t="s">
        <v>47</v>
      </c>
      <c r="B41" s="4">
        <v>42</v>
      </c>
      <c r="C41" s="4">
        <v>4</v>
      </c>
      <c r="D41" s="45">
        <v>45</v>
      </c>
      <c r="E41" s="56">
        <v>45</v>
      </c>
      <c r="F41" s="45">
        <v>20</v>
      </c>
      <c r="G41" s="56">
        <v>45</v>
      </c>
      <c r="H41" s="15">
        <v>25</v>
      </c>
      <c r="I41" s="56">
        <v>45</v>
      </c>
      <c r="J41" s="15">
        <v>31</v>
      </c>
      <c r="K41" s="56">
        <v>45</v>
      </c>
      <c r="L41" s="15">
        <v>1096</v>
      </c>
      <c r="M41" s="56">
        <v>45</v>
      </c>
      <c r="N41" s="15">
        <v>386</v>
      </c>
      <c r="O41" s="56">
        <v>45</v>
      </c>
      <c r="P41" s="45">
        <v>199</v>
      </c>
      <c r="Q41" s="56">
        <v>45</v>
      </c>
      <c r="R41" s="15">
        <v>216</v>
      </c>
      <c r="S41" s="56">
        <v>45</v>
      </c>
      <c r="T41" s="15">
        <v>203</v>
      </c>
      <c r="U41" s="56">
        <v>45</v>
      </c>
      <c r="V41" s="15">
        <v>20</v>
      </c>
      <c r="W41" s="56">
        <v>45</v>
      </c>
      <c r="X41" s="15">
        <v>561</v>
      </c>
      <c r="Y41" s="77">
        <v>45</v>
      </c>
      <c r="Z41" s="56">
        <v>46.7</v>
      </c>
      <c r="AA41" s="4">
        <v>45</v>
      </c>
      <c r="AB41" s="4">
        <v>3.8</v>
      </c>
      <c r="AC41" s="15">
        <v>14.46</v>
      </c>
      <c r="AD41" s="56">
        <v>48</v>
      </c>
      <c r="AE41" s="4">
        <v>48</v>
      </c>
      <c r="AF41" s="4">
        <v>6.7</v>
      </c>
      <c r="AG41" s="15">
        <v>16.8</v>
      </c>
      <c r="AH41" s="56">
        <f t="shared" si="4"/>
        <v>45.9</v>
      </c>
      <c r="AI41" s="4">
        <f t="shared" si="5"/>
        <v>45</v>
      </c>
      <c r="AJ41" s="17">
        <f t="shared" si="6"/>
        <v>1.9999999999999969E-2</v>
      </c>
      <c r="AK41" s="15">
        <f t="shared" si="11"/>
        <v>8.6946000000000012</v>
      </c>
      <c r="AL41" s="55">
        <f t="shared" si="7"/>
        <v>45</v>
      </c>
      <c r="AM41" s="12">
        <f t="shared" si="8"/>
        <v>45</v>
      </c>
      <c r="AN41" s="18">
        <f t="shared" si="9"/>
        <v>0</v>
      </c>
      <c r="AO41" s="16">
        <f t="shared" si="10"/>
        <v>0.2757</v>
      </c>
      <c r="AP41" s="1">
        <v>47</v>
      </c>
      <c r="AQ41" s="1">
        <v>15170</v>
      </c>
      <c r="AR41" s="1">
        <v>45</v>
      </c>
      <c r="AS41" s="1">
        <v>1061</v>
      </c>
      <c r="AT41" s="1">
        <v>47</v>
      </c>
      <c r="AU41" s="1">
        <v>16800</v>
      </c>
      <c r="AV41" s="1">
        <v>45</v>
      </c>
      <c r="AW41" s="1">
        <v>870</v>
      </c>
      <c r="AX41" s="1">
        <v>46</v>
      </c>
      <c r="AY41" s="1">
        <v>16481</v>
      </c>
      <c r="AZ41" s="1">
        <v>47</v>
      </c>
      <c r="BA41" s="1">
        <v>15351</v>
      </c>
      <c r="BB41" s="1">
        <v>45</v>
      </c>
      <c r="BC41" s="1">
        <v>1591</v>
      </c>
      <c r="BD41" s="1">
        <v>47</v>
      </c>
      <c r="BE41" s="1">
        <v>16800</v>
      </c>
      <c r="BF41" s="1">
        <v>45</v>
      </c>
      <c r="BG41" s="1">
        <v>665</v>
      </c>
      <c r="BH41" s="1">
        <v>45</v>
      </c>
      <c r="BI41" s="1">
        <v>2157</v>
      </c>
    </row>
    <row r="42" spans="1:61" x14ac:dyDescent="0.3">
      <c r="A42" s="9" t="s">
        <v>48</v>
      </c>
      <c r="B42" s="4">
        <v>28</v>
      </c>
      <c r="C42" s="4">
        <v>4</v>
      </c>
      <c r="D42" s="45">
        <v>36</v>
      </c>
      <c r="E42" s="56">
        <v>36</v>
      </c>
      <c r="F42" s="45">
        <v>8</v>
      </c>
      <c r="G42" s="56">
        <v>36</v>
      </c>
      <c r="H42" s="15">
        <v>7</v>
      </c>
      <c r="I42" s="56">
        <v>36</v>
      </c>
      <c r="J42" s="15">
        <v>7</v>
      </c>
      <c r="K42" s="56">
        <v>36</v>
      </c>
      <c r="L42" s="15">
        <v>7</v>
      </c>
      <c r="M42" s="56">
        <v>36</v>
      </c>
      <c r="N42" s="15">
        <v>7</v>
      </c>
      <c r="O42" s="56">
        <v>36</v>
      </c>
      <c r="P42" s="45">
        <v>7</v>
      </c>
      <c r="Q42" s="56">
        <v>36</v>
      </c>
      <c r="R42" s="15">
        <v>8</v>
      </c>
      <c r="S42" s="56">
        <v>36</v>
      </c>
      <c r="T42" s="15">
        <v>7</v>
      </c>
      <c r="U42" s="56">
        <v>36</v>
      </c>
      <c r="V42" s="15">
        <v>8</v>
      </c>
      <c r="W42" s="56">
        <v>36</v>
      </c>
      <c r="X42" s="15">
        <v>7</v>
      </c>
      <c r="Y42" s="77">
        <v>36</v>
      </c>
      <c r="Z42" s="56">
        <v>36</v>
      </c>
      <c r="AA42" s="4">
        <v>36</v>
      </c>
      <c r="AB42" s="4">
        <v>0</v>
      </c>
      <c r="AC42" s="15">
        <v>5.35</v>
      </c>
      <c r="AD42" s="56">
        <v>36</v>
      </c>
      <c r="AE42" s="4">
        <v>36</v>
      </c>
      <c r="AF42" s="4">
        <v>0</v>
      </c>
      <c r="AG42" s="15">
        <v>0</v>
      </c>
      <c r="AH42" s="56">
        <f t="shared" si="4"/>
        <v>36</v>
      </c>
      <c r="AI42" s="4">
        <f t="shared" si="5"/>
        <v>36</v>
      </c>
      <c r="AJ42" s="17">
        <f t="shared" si="6"/>
        <v>0</v>
      </c>
      <c r="AK42" s="15">
        <f t="shared" si="11"/>
        <v>1.7899999999999999E-2</v>
      </c>
      <c r="AL42" s="55">
        <f t="shared" si="7"/>
        <v>36</v>
      </c>
      <c r="AM42" s="12">
        <f t="shared" si="8"/>
        <v>36</v>
      </c>
      <c r="AN42" s="18">
        <f t="shared" si="9"/>
        <v>0</v>
      </c>
      <c r="AO42" s="16">
        <f t="shared" si="10"/>
        <v>7.3000000000000001E-3</v>
      </c>
      <c r="AP42" s="1">
        <v>36</v>
      </c>
      <c r="AQ42" s="1">
        <v>10</v>
      </c>
      <c r="AR42" s="1">
        <v>36</v>
      </c>
      <c r="AS42" s="1">
        <v>26</v>
      </c>
      <c r="AT42" s="1">
        <v>36</v>
      </c>
      <c r="AU42" s="1">
        <v>15</v>
      </c>
      <c r="AV42" s="1">
        <v>36</v>
      </c>
      <c r="AW42" s="1">
        <v>8</v>
      </c>
      <c r="AX42" s="1">
        <v>36</v>
      </c>
      <c r="AY42" s="1">
        <v>18</v>
      </c>
      <c r="AZ42" s="1">
        <v>36</v>
      </c>
      <c r="BA42" s="1">
        <v>17</v>
      </c>
      <c r="BB42" s="1">
        <v>36</v>
      </c>
      <c r="BC42" s="1">
        <v>38</v>
      </c>
      <c r="BD42" s="1">
        <v>36</v>
      </c>
      <c r="BE42" s="1">
        <v>18</v>
      </c>
      <c r="BF42" s="1">
        <v>36</v>
      </c>
      <c r="BG42" s="1">
        <v>21</v>
      </c>
      <c r="BH42" s="1">
        <v>36</v>
      </c>
      <c r="BI42" s="1">
        <v>8</v>
      </c>
    </row>
    <row r="43" spans="1:61" x14ac:dyDescent="0.3">
      <c r="A43" s="9" t="s">
        <v>49</v>
      </c>
      <c r="B43" s="4">
        <v>28</v>
      </c>
      <c r="C43" s="4">
        <v>4</v>
      </c>
      <c r="D43" s="45">
        <v>32</v>
      </c>
      <c r="E43" s="56">
        <v>32</v>
      </c>
      <c r="F43" s="45">
        <v>58</v>
      </c>
      <c r="G43" s="56">
        <v>32</v>
      </c>
      <c r="H43" s="15">
        <v>24</v>
      </c>
      <c r="I43" s="56">
        <v>32</v>
      </c>
      <c r="J43" s="15">
        <v>78</v>
      </c>
      <c r="K43" s="56">
        <v>32</v>
      </c>
      <c r="L43" s="15">
        <v>249</v>
      </c>
      <c r="M43" s="56">
        <v>32</v>
      </c>
      <c r="N43" s="15">
        <v>248</v>
      </c>
      <c r="O43" s="56">
        <v>32</v>
      </c>
      <c r="P43" s="45">
        <v>20</v>
      </c>
      <c r="Q43" s="56">
        <v>32</v>
      </c>
      <c r="R43" s="15">
        <v>22</v>
      </c>
      <c r="S43" s="56">
        <v>32</v>
      </c>
      <c r="T43" s="15">
        <v>42</v>
      </c>
      <c r="U43" s="56">
        <v>32</v>
      </c>
      <c r="V43" s="15">
        <v>136</v>
      </c>
      <c r="W43" s="56">
        <v>32</v>
      </c>
      <c r="X43" s="15">
        <v>147</v>
      </c>
      <c r="Y43" s="77">
        <v>32</v>
      </c>
      <c r="Z43" s="56">
        <v>35.4</v>
      </c>
      <c r="AA43" s="4">
        <v>34</v>
      </c>
      <c r="AB43" s="4">
        <v>10.6</v>
      </c>
      <c r="AC43" s="15">
        <v>18.440000000000001</v>
      </c>
      <c r="AD43" s="56">
        <v>34</v>
      </c>
      <c r="AE43" s="4">
        <v>34</v>
      </c>
      <c r="AF43" s="4">
        <v>6.3</v>
      </c>
      <c r="AG43" s="15">
        <v>0.14000000000000001</v>
      </c>
      <c r="AH43" s="56">
        <f t="shared" si="4"/>
        <v>33.799999999999997</v>
      </c>
      <c r="AI43" s="23">
        <f t="shared" si="5"/>
        <v>32</v>
      </c>
      <c r="AJ43" s="17">
        <f t="shared" si="6"/>
        <v>5.6249999999999911E-2</v>
      </c>
      <c r="AK43" s="15">
        <f t="shared" si="11"/>
        <v>19.777099999999997</v>
      </c>
      <c r="AL43" s="55">
        <f t="shared" si="7"/>
        <v>32</v>
      </c>
      <c r="AM43" s="12">
        <f t="shared" si="8"/>
        <v>32</v>
      </c>
      <c r="AN43" s="18">
        <f t="shared" si="9"/>
        <v>0</v>
      </c>
      <c r="AO43" s="16">
        <f t="shared" si="10"/>
        <v>0.1024</v>
      </c>
      <c r="AP43" s="1">
        <v>34</v>
      </c>
      <c r="AQ43" s="1">
        <v>20337</v>
      </c>
      <c r="AR43" s="1">
        <v>34</v>
      </c>
      <c r="AS43" s="1">
        <v>21660</v>
      </c>
      <c r="AT43" s="1">
        <v>34</v>
      </c>
      <c r="AU43" s="1">
        <v>20260</v>
      </c>
      <c r="AV43" s="1">
        <v>34</v>
      </c>
      <c r="AW43" s="1">
        <v>18805</v>
      </c>
      <c r="AX43" s="1">
        <v>32</v>
      </c>
      <c r="AY43" s="1">
        <v>10302</v>
      </c>
      <c r="AZ43" s="1">
        <v>34</v>
      </c>
      <c r="BA43" s="1">
        <v>19910</v>
      </c>
      <c r="BB43" s="1">
        <v>34</v>
      </c>
      <c r="BC43" s="1">
        <v>20719</v>
      </c>
      <c r="BD43" s="1">
        <v>34</v>
      </c>
      <c r="BE43" s="1">
        <v>22105</v>
      </c>
      <c r="BF43" s="1">
        <v>34</v>
      </c>
      <c r="BG43" s="1">
        <v>22400</v>
      </c>
      <c r="BH43" s="1">
        <v>34</v>
      </c>
      <c r="BI43" s="1">
        <v>21273</v>
      </c>
    </row>
    <row r="44" spans="1:61" x14ac:dyDescent="0.3">
      <c r="A44" s="9" t="s">
        <v>50</v>
      </c>
      <c r="B44" s="4">
        <v>90</v>
      </c>
      <c r="C44" s="4">
        <v>4</v>
      </c>
      <c r="D44" s="45">
        <v>32</v>
      </c>
      <c r="E44" s="56">
        <v>36</v>
      </c>
      <c r="F44" s="45">
        <v>36473</v>
      </c>
      <c r="G44" s="56">
        <v>36</v>
      </c>
      <c r="H44" s="15">
        <v>37526</v>
      </c>
      <c r="I44" s="56">
        <v>36</v>
      </c>
      <c r="J44" s="15">
        <v>36730</v>
      </c>
      <c r="K44" s="56">
        <v>36</v>
      </c>
      <c r="L44" s="15">
        <v>37405</v>
      </c>
      <c r="M44" s="56">
        <v>36</v>
      </c>
      <c r="N44" s="15">
        <v>35421</v>
      </c>
      <c r="O44" s="56">
        <v>36</v>
      </c>
      <c r="P44" s="45">
        <v>37586</v>
      </c>
      <c r="Q44" s="56">
        <v>36</v>
      </c>
      <c r="R44" s="15">
        <v>36929</v>
      </c>
      <c r="S44" s="56">
        <v>36</v>
      </c>
      <c r="T44" s="15">
        <v>37824</v>
      </c>
      <c r="U44" s="56">
        <v>36</v>
      </c>
      <c r="V44" s="15">
        <v>37780</v>
      </c>
      <c r="W44" s="56">
        <v>36</v>
      </c>
      <c r="X44" s="15">
        <v>36059</v>
      </c>
      <c r="Y44" s="77">
        <v>36</v>
      </c>
      <c r="Z44" s="56">
        <v>38</v>
      </c>
      <c r="AA44" s="4">
        <v>38</v>
      </c>
      <c r="AB44" s="4">
        <v>18.8</v>
      </c>
      <c r="AC44" s="15">
        <v>45.38</v>
      </c>
      <c r="AD44" s="56">
        <v>37.6</v>
      </c>
      <c r="AE44" s="4">
        <v>36</v>
      </c>
      <c r="AF44" s="4">
        <v>17.5</v>
      </c>
      <c r="AG44" s="15">
        <v>36</v>
      </c>
      <c r="AH44" s="56">
        <f t="shared" si="4"/>
        <v>36.6</v>
      </c>
      <c r="AI44" s="4">
        <f t="shared" si="5"/>
        <v>36</v>
      </c>
      <c r="AJ44" s="17">
        <f t="shared" si="6"/>
        <v>0.14375000000000004</v>
      </c>
      <c r="AK44" s="15">
        <f t="shared" si="11"/>
        <v>28.927099999999999</v>
      </c>
      <c r="AL44" s="55">
        <f t="shared" si="7"/>
        <v>36</v>
      </c>
      <c r="AM44" s="12">
        <f t="shared" si="8"/>
        <v>36</v>
      </c>
      <c r="AN44" s="18">
        <f t="shared" si="9"/>
        <v>0.125</v>
      </c>
      <c r="AO44" s="16">
        <f t="shared" si="10"/>
        <v>36.973300000000002</v>
      </c>
      <c r="AP44" s="1">
        <v>36</v>
      </c>
      <c r="AQ44" s="1">
        <v>36000</v>
      </c>
      <c r="AR44" s="1">
        <v>38</v>
      </c>
      <c r="AS44" s="1">
        <v>21913</v>
      </c>
      <c r="AT44" s="1">
        <v>36</v>
      </c>
      <c r="AU44" s="1">
        <v>24737</v>
      </c>
      <c r="AV44" s="1">
        <v>36</v>
      </c>
      <c r="AW44" s="1">
        <v>34787</v>
      </c>
      <c r="AX44" s="1">
        <v>36</v>
      </c>
      <c r="AY44" s="1">
        <v>30241</v>
      </c>
      <c r="AZ44" s="1">
        <v>36</v>
      </c>
      <c r="BA44" s="1">
        <v>35971</v>
      </c>
      <c r="BB44" s="1">
        <v>36</v>
      </c>
      <c r="BC44" s="1">
        <v>30592</v>
      </c>
      <c r="BD44" s="1">
        <v>38</v>
      </c>
      <c r="BE44" s="1">
        <v>30034</v>
      </c>
      <c r="BF44" s="1">
        <v>36</v>
      </c>
      <c r="BG44" s="1">
        <v>25083</v>
      </c>
      <c r="BH44" s="1">
        <v>38</v>
      </c>
      <c r="BI44" s="1">
        <v>19913</v>
      </c>
    </row>
    <row r="45" spans="1:61" x14ac:dyDescent="0.3">
      <c r="A45" s="9" t="s">
        <v>51</v>
      </c>
      <c r="B45" s="4">
        <v>30</v>
      </c>
      <c r="C45" s="4">
        <v>4</v>
      </c>
      <c r="D45" s="45">
        <v>24</v>
      </c>
      <c r="E45" s="56">
        <v>24</v>
      </c>
      <c r="F45" s="45">
        <v>11</v>
      </c>
      <c r="G45" s="56">
        <v>24</v>
      </c>
      <c r="H45" s="15">
        <v>11</v>
      </c>
      <c r="I45" s="56">
        <v>24</v>
      </c>
      <c r="J45" s="15">
        <v>223</v>
      </c>
      <c r="K45" s="56">
        <v>24</v>
      </c>
      <c r="L45" s="15">
        <v>11</v>
      </c>
      <c r="M45" s="56">
        <v>24</v>
      </c>
      <c r="N45" s="15">
        <v>576</v>
      </c>
      <c r="O45" s="56">
        <v>24</v>
      </c>
      <c r="P45" s="45">
        <v>781</v>
      </c>
      <c r="Q45" s="56">
        <v>24</v>
      </c>
      <c r="R45" s="15">
        <v>215</v>
      </c>
      <c r="S45" s="56">
        <v>24</v>
      </c>
      <c r="T45" s="15">
        <v>98</v>
      </c>
      <c r="U45" s="56">
        <v>24</v>
      </c>
      <c r="V45" s="15">
        <v>11</v>
      </c>
      <c r="W45" s="56">
        <v>24</v>
      </c>
      <c r="X45" s="15">
        <v>11</v>
      </c>
      <c r="Y45" s="77">
        <v>24</v>
      </c>
      <c r="Z45" s="56">
        <v>24</v>
      </c>
      <c r="AA45" s="4">
        <v>24</v>
      </c>
      <c r="AB45" s="4">
        <v>0</v>
      </c>
      <c r="AC45" s="15">
        <v>4.78</v>
      </c>
      <c r="AD45" s="56">
        <v>28</v>
      </c>
      <c r="AE45" s="4">
        <v>28</v>
      </c>
      <c r="AF45" s="4">
        <v>16.7</v>
      </c>
      <c r="AG45" s="15">
        <v>3.4</v>
      </c>
      <c r="AH45" s="56">
        <f t="shared" si="4"/>
        <v>27.6</v>
      </c>
      <c r="AI45" s="4">
        <f t="shared" si="5"/>
        <v>24</v>
      </c>
      <c r="AJ45" s="17">
        <f t="shared" si="6"/>
        <v>0.15000000000000005</v>
      </c>
      <c r="AK45" s="15">
        <f t="shared" si="11"/>
        <v>11.24</v>
      </c>
      <c r="AL45" s="55">
        <f t="shared" si="7"/>
        <v>24</v>
      </c>
      <c r="AM45" s="12">
        <f t="shared" si="8"/>
        <v>24</v>
      </c>
      <c r="AN45" s="18">
        <f t="shared" si="9"/>
        <v>0</v>
      </c>
      <c r="AO45" s="16">
        <f t="shared" si="10"/>
        <v>0.1948</v>
      </c>
      <c r="AP45" s="1">
        <v>28</v>
      </c>
      <c r="AQ45" s="1">
        <v>12000</v>
      </c>
      <c r="AR45" s="1">
        <v>28</v>
      </c>
      <c r="AS45" s="1">
        <v>12000</v>
      </c>
      <c r="AT45" s="1">
        <v>28</v>
      </c>
      <c r="AU45" s="1">
        <v>12000</v>
      </c>
      <c r="AV45" s="1">
        <v>28</v>
      </c>
      <c r="AW45" s="1">
        <v>12000</v>
      </c>
      <c r="AX45" s="1">
        <v>24</v>
      </c>
      <c r="AY45" s="1">
        <v>4400</v>
      </c>
      <c r="AZ45" s="1">
        <v>28</v>
      </c>
      <c r="BA45" s="1">
        <v>12000</v>
      </c>
      <c r="BB45" s="1">
        <v>28</v>
      </c>
      <c r="BC45" s="1">
        <v>12000</v>
      </c>
      <c r="BD45" s="1">
        <v>28</v>
      </c>
      <c r="BE45" s="1">
        <v>12000</v>
      </c>
      <c r="BF45" s="1">
        <v>28</v>
      </c>
      <c r="BG45" s="1">
        <v>12000</v>
      </c>
      <c r="BH45" s="1">
        <v>28</v>
      </c>
      <c r="BI45" s="1">
        <v>12000</v>
      </c>
    </row>
    <row r="46" spans="1:61" x14ac:dyDescent="0.3">
      <c r="A46" s="9" t="s">
        <v>52</v>
      </c>
      <c r="B46" s="4">
        <v>63</v>
      </c>
      <c r="C46" s="4">
        <v>4</v>
      </c>
      <c r="D46" s="45">
        <v>36</v>
      </c>
      <c r="E46" s="56">
        <v>36</v>
      </c>
      <c r="F46" s="45">
        <v>474</v>
      </c>
      <c r="G46" s="56">
        <v>36</v>
      </c>
      <c r="H46" s="15">
        <v>872</v>
      </c>
      <c r="I46" s="56">
        <v>36</v>
      </c>
      <c r="J46" s="15">
        <v>685</v>
      </c>
      <c r="K46" s="56">
        <v>36</v>
      </c>
      <c r="L46" s="15">
        <v>584</v>
      </c>
      <c r="M46" s="56">
        <v>36</v>
      </c>
      <c r="N46" s="15">
        <v>176</v>
      </c>
      <c r="O46" s="56">
        <v>36</v>
      </c>
      <c r="P46" s="45">
        <v>633</v>
      </c>
      <c r="Q46" s="56">
        <v>36</v>
      </c>
      <c r="R46" s="15">
        <v>3875</v>
      </c>
      <c r="S46" s="56">
        <v>36</v>
      </c>
      <c r="T46" s="15">
        <v>379</v>
      </c>
      <c r="U46" s="56">
        <v>36</v>
      </c>
      <c r="V46" s="15">
        <v>586</v>
      </c>
      <c r="W46" s="56">
        <v>36</v>
      </c>
      <c r="X46" s="15">
        <v>216</v>
      </c>
      <c r="Y46" s="77">
        <v>36</v>
      </c>
      <c r="Z46" s="56">
        <v>36.1</v>
      </c>
      <c r="AA46" s="4">
        <v>36</v>
      </c>
      <c r="AB46" s="4">
        <v>0.3</v>
      </c>
      <c r="AC46" s="15">
        <v>24.24</v>
      </c>
      <c r="AD46" s="56">
        <v>37</v>
      </c>
      <c r="AE46" s="4">
        <v>37</v>
      </c>
      <c r="AF46" s="4">
        <v>2.8</v>
      </c>
      <c r="AG46" s="15">
        <v>7.64</v>
      </c>
      <c r="AH46" s="56">
        <f t="shared" si="4"/>
        <v>36</v>
      </c>
      <c r="AI46" s="4">
        <f t="shared" si="5"/>
        <v>36</v>
      </c>
      <c r="AJ46" s="17">
        <f t="shared" si="6"/>
        <v>0</v>
      </c>
      <c r="AK46" s="15">
        <f t="shared" si="11"/>
        <v>0.22009999999999999</v>
      </c>
      <c r="AL46" s="55">
        <f t="shared" si="7"/>
        <v>36</v>
      </c>
      <c r="AM46" s="12">
        <f t="shared" si="8"/>
        <v>36</v>
      </c>
      <c r="AN46" s="18">
        <f t="shared" si="9"/>
        <v>0</v>
      </c>
      <c r="AO46" s="16">
        <f t="shared" si="10"/>
        <v>0.84799999999999998</v>
      </c>
      <c r="AP46" s="1">
        <v>36</v>
      </c>
      <c r="AQ46" s="1">
        <v>154</v>
      </c>
      <c r="AR46" s="1">
        <v>36</v>
      </c>
      <c r="AS46" s="1">
        <v>132</v>
      </c>
      <c r="AT46" s="1">
        <v>36</v>
      </c>
      <c r="AU46" s="1">
        <v>341</v>
      </c>
      <c r="AV46" s="1">
        <v>36</v>
      </c>
      <c r="AW46" s="1">
        <v>115</v>
      </c>
      <c r="AX46" s="1">
        <v>36</v>
      </c>
      <c r="AY46" s="1">
        <v>113</v>
      </c>
      <c r="AZ46" s="1">
        <v>36</v>
      </c>
      <c r="BA46" s="1">
        <v>163</v>
      </c>
      <c r="BB46" s="1">
        <v>36</v>
      </c>
      <c r="BC46" s="1">
        <v>207</v>
      </c>
      <c r="BD46" s="1">
        <v>36</v>
      </c>
      <c r="BE46" s="1">
        <v>312</v>
      </c>
      <c r="BF46" s="1">
        <v>36</v>
      </c>
      <c r="BG46" s="1">
        <v>513</v>
      </c>
      <c r="BH46" s="1">
        <v>36</v>
      </c>
      <c r="BI46" s="1">
        <v>151</v>
      </c>
    </row>
    <row r="47" spans="1:61" x14ac:dyDescent="0.3">
      <c r="A47" s="9" t="s">
        <v>53</v>
      </c>
      <c r="B47" s="4">
        <v>62</v>
      </c>
      <c r="C47" s="4">
        <v>4</v>
      </c>
      <c r="D47" s="45">
        <v>60</v>
      </c>
      <c r="E47" s="56">
        <v>63</v>
      </c>
      <c r="F47" s="45">
        <v>27009</v>
      </c>
      <c r="G47" s="56">
        <v>63</v>
      </c>
      <c r="H47" s="15">
        <v>26755</v>
      </c>
      <c r="I47" s="56">
        <v>63</v>
      </c>
      <c r="J47" s="15">
        <v>26898</v>
      </c>
      <c r="K47" s="56">
        <v>63</v>
      </c>
      <c r="L47" s="15">
        <v>26651</v>
      </c>
      <c r="M47" s="56">
        <v>63</v>
      </c>
      <c r="N47" s="15">
        <v>27571</v>
      </c>
      <c r="O47" s="56">
        <v>63</v>
      </c>
      <c r="P47" s="45">
        <v>27275</v>
      </c>
      <c r="Q47" s="56">
        <v>63</v>
      </c>
      <c r="R47" s="15">
        <v>27193</v>
      </c>
      <c r="S47" s="56">
        <v>63</v>
      </c>
      <c r="T47" s="15">
        <v>26674</v>
      </c>
      <c r="U47" s="56">
        <v>63</v>
      </c>
      <c r="V47" s="15">
        <v>27834</v>
      </c>
      <c r="W47" s="56">
        <v>63</v>
      </c>
      <c r="X47" s="15">
        <v>27384</v>
      </c>
      <c r="Y47" s="77">
        <v>63</v>
      </c>
      <c r="Z47" s="56">
        <v>68.900000000000006</v>
      </c>
      <c r="AA47" s="4">
        <v>63</v>
      </c>
      <c r="AB47" s="4">
        <v>14.8</v>
      </c>
      <c r="AC47" s="15">
        <v>39.21</v>
      </c>
      <c r="AD47" s="56">
        <v>68.5</v>
      </c>
      <c r="AE47" s="4">
        <v>63</v>
      </c>
      <c r="AF47" s="4">
        <v>14.2</v>
      </c>
      <c r="AG47" s="15">
        <v>3.27</v>
      </c>
      <c r="AH47" s="56">
        <f t="shared" si="4"/>
        <v>63</v>
      </c>
      <c r="AI47" s="4">
        <f t="shared" si="5"/>
        <v>63</v>
      </c>
      <c r="AJ47" s="17">
        <f t="shared" si="6"/>
        <v>0.05</v>
      </c>
      <c r="AK47" s="15">
        <f t="shared" si="11"/>
        <v>21.006900000000002</v>
      </c>
      <c r="AL47" s="55">
        <f t="shared" si="7"/>
        <v>63</v>
      </c>
      <c r="AM47" s="12">
        <f t="shared" si="8"/>
        <v>63</v>
      </c>
      <c r="AN47" s="18">
        <f t="shared" si="9"/>
        <v>0.05</v>
      </c>
      <c r="AO47" s="16">
        <f t="shared" si="10"/>
        <v>27.124400000000001</v>
      </c>
      <c r="AP47" s="1">
        <v>63</v>
      </c>
      <c r="AQ47" s="1">
        <v>18609</v>
      </c>
      <c r="AR47" s="1">
        <v>63</v>
      </c>
      <c r="AS47" s="1">
        <v>17469</v>
      </c>
      <c r="AT47" s="1">
        <v>63</v>
      </c>
      <c r="AU47" s="1">
        <v>19277</v>
      </c>
      <c r="AV47" s="1">
        <v>63</v>
      </c>
      <c r="AW47" s="1">
        <v>24800</v>
      </c>
      <c r="AX47" s="1">
        <v>63</v>
      </c>
      <c r="AY47" s="1">
        <v>21870</v>
      </c>
      <c r="AZ47" s="1">
        <v>63</v>
      </c>
      <c r="BA47" s="1">
        <v>22235</v>
      </c>
      <c r="BB47" s="1">
        <v>63</v>
      </c>
      <c r="BC47" s="1">
        <v>22842</v>
      </c>
      <c r="BD47" s="1">
        <v>63</v>
      </c>
      <c r="BE47" s="1">
        <v>18976</v>
      </c>
      <c r="BF47" s="1">
        <v>63</v>
      </c>
      <c r="BG47" s="1">
        <v>19191</v>
      </c>
      <c r="BH47" s="1">
        <v>63</v>
      </c>
      <c r="BI47" s="1">
        <v>24800</v>
      </c>
    </row>
    <row r="48" spans="1:61" x14ac:dyDescent="0.3">
      <c r="A48" s="9" t="s">
        <v>54</v>
      </c>
      <c r="B48" s="4">
        <v>64</v>
      </c>
      <c r="C48" s="4">
        <v>4</v>
      </c>
      <c r="D48" s="45">
        <v>32</v>
      </c>
      <c r="E48" s="56">
        <v>34</v>
      </c>
      <c r="F48" s="45">
        <v>26332</v>
      </c>
      <c r="G48" s="56">
        <v>34</v>
      </c>
      <c r="H48" s="15">
        <v>27464</v>
      </c>
      <c r="I48" s="56">
        <v>34</v>
      </c>
      <c r="J48" s="15">
        <v>27391</v>
      </c>
      <c r="K48" s="56">
        <v>34</v>
      </c>
      <c r="L48" s="15">
        <v>27185</v>
      </c>
      <c r="M48" s="56">
        <v>34</v>
      </c>
      <c r="N48" s="15">
        <v>36982</v>
      </c>
      <c r="O48" s="56">
        <v>34</v>
      </c>
      <c r="P48" s="45">
        <v>27269</v>
      </c>
      <c r="Q48" s="56">
        <v>34</v>
      </c>
      <c r="R48" s="15">
        <v>27061</v>
      </c>
      <c r="S48" s="56">
        <v>34</v>
      </c>
      <c r="T48" s="15">
        <v>27091</v>
      </c>
      <c r="U48" s="56">
        <v>34</v>
      </c>
      <c r="V48" s="15">
        <v>26795</v>
      </c>
      <c r="W48" s="56">
        <v>34</v>
      </c>
      <c r="X48" s="15">
        <v>27465</v>
      </c>
      <c r="Y48" s="77">
        <v>34</v>
      </c>
      <c r="Z48" s="56">
        <v>37</v>
      </c>
      <c r="AA48" s="4">
        <v>34</v>
      </c>
      <c r="AB48" s="4">
        <v>15.6</v>
      </c>
      <c r="AC48" s="15">
        <v>23.46</v>
      </c>
      <c r="AD48" s="56">
        <v>37</v>
      </c>
      <c r="AE48" s="4">
        <v>34</v>
      </c>
      <c r="AF48" s="4">
        <v>15.6</v>
      </c>
      <c r="AG48" s="15">
        <v>7.32</v>
      </c>
      <c r="AH48" s="56">
        <f t="shared" si="4"/>
        <v>34</v>
      </c>
      <c r="AI48" s="4">
        <f t="shared" si="5"/>
        <v>34</v>
      </c>
      <c r="AJ48" s="17">
        <f t="shared" si="6"/>
        <v>6.25E-2</v>
      </c>
      <c r="AK48" s="15">
        <f t="shared" si="11"/>
        <v>22.212400000000002</v>
      </c>
      <c r="AL48" s="55">
        <f t="shared" si="7"/>
        <v>34</v>
      </c>
      <c r="AM48" s="12">
        <f t="shared" si="8"/>
        <v>34</v>
      </c>
      <c r="AN48" s="18">
        <f t="shared" si="9"/>
        <v>6.25E-2</v>
      </c>
      <c r="AO48" s="16">
        <f t="shared" si="10"/>
        <v>28.1035</v>
      </c>
      <c r="AP48" s="1">
        <v>34</v>
      </c>
      <c r="AQ48" s="1">
        <v>25600</v>
      </c>
      <c r="AR48" s="1">
        <v>34</v>
      </c>
      <c r="AS48" s="1">
        <v>20794</v>
      </c>
      <c r="AT48" s="1">
        <v>34</v>
      </c>
      <c r="AU48" s="1">
        <v>21600</v>
      </c>
      <c r="AV48" s="1">
        <v>34</v>
      </c>
      <c r="AW48" s="1">
        <v>17419</v>
      </c>
      <c r="AX48" s="1">
        <v>34</v>
      </c>
      <c r="AY48" s="1">
        <v>25600</v>
      </c>
      <c r="AZ48" s="1">
        <v>34</v>
      </c>
      <c r="BA48" s="1">
        <v>24020</v>
      </c>
      <c r="BB48" s="1">
        <v>34</v>
      </c>
      <c r="BC48" s="1">
        <v>18932</v>
      </c>
      <c r="BD48" s="1">
        <v>34</v>
      </c>
      <c r="BE48" s="1">
        <v>21688</v>
      </c>
      <c r="BF48" s="1">
        <v>34</v>
      </c>
      <c r="BG48" s="1">
        <v>20871</v>
      </c>
      <c r="BH48" s="1">
        <v>34</v>
      </c>
      <c r="BI48" s="1">
        <v>25600</v>
      </c>
    </row>
    <row r="49" spans="1:61" x14ac:dyDescent="0.3">
      <c r="A49" s="9" t="s">
        <v>55</v>
      </c>
      <c r="B49" s="4">
        <v>58</v>
      </c>
      <c r="C49" s="4">
        <v>4</v>
      </c>
      <c r="D49" s="45">
        <v>35</v>
      </c>
      <c r="E49" s="56">
        <v>35</v>
      </c>
      <c r="F49" s="45">
        <v>10</v>
      </c>
      <c r="G49" s="56">
        <v>35</v>
      </c>
      <c r="H49" s="15">
        <v>8</v>
      </c>
      <c r="I49" s="56">
        <v>35</v>
      </c>
      <c r="J49" s="15">
        <v>20</v>
      </c>
      <c r="K49" s="56">
        <v>35</v>
      </c>
      <c r="L49" s="15">
        <v>20</v>
      </c>
      <c r="M49" s="56">
        <v>35</v>
      </c>
      <c r="N49" s="15">
        <v>21</v>
      </c>
      <c r="O49" s="56">
        <v>35</v>
      </c>
      <c r="P49" s="45">
        <v>8</v>
      </c>
      <c r="Q49" s="56">
        <v>35</v>
      </c>
      <c r="R49" s="15">
        <v>8</v>
      </c>
      <c r="S49" s="56">
        <v>35</v>
      </c>
      <c r="T49" s="15">
        <v>9</v>
      </c>
      <c r="U49" s="56">
        <v>35</v>
      </c>
      <c r="V49" s="15">
        <v>18</v>
      </c>
      <c r="W49" s="56">
        <v>35</v>
      </c>
      <c r="X49" s="15">
        <v>9</v>
      </c>
      <c r="Y49" s="77">
        <v>35</v>
      </c>
      <c r="Z49" s="56">
        <v>37.9</v>
      </c>
      <c r="AA49" s="4">
        <v>37</v>
      </c>
      <c r="AB49" s="4">
        <v>8.3000000000000007</v>
      </c>
      <c r="AC49" s="15">
        <v>20.78</v>
      </c>
      <c r="AD49" s="56">
        <v>36.700000000000003</v>
      </c>
      <c r="AE49" s="4">
        <v>35</v>
      </c>
      <c r="AF49" s="4">
        <v>4.9000000000000004</v>
      </c>
      <c r="AG49" s="15">
        <v>0.3</v>
      </c>
      <c r="AH49" s="56">
        <f t="shared" si="4"/>
        <v>35.9</v>
      </c>
      <c r="AI49" s="4">
        <f t="shared" si="5"/>
        <v>35</v>
      </c>
      <c r="AJ49" s="17">
        <f t="shared" si="6"/>
        <v>2.5714285714285672E-2</v>
      </c>
      <c r="AK49" s="15">
        <f t="shared" si="11"/>
        <v>19.712299999999999</v>
      </c>
      <c r="AL49" s="55">
        <f t="shared" si="7"/>
        <v>35</v>
      </c>
      <c r="AM49" s="12">
        <f t="shared" si="8"/>
        <v>35</v>
      </c>
      <c r="AN49" s="18">
        <f t="shared" si="9"/>
        <v>0</v>
      </c>
      <c r="AO49" s="16">
        <f t="shared" si="10"/>
        <v>1.3099999999999999E-2</v>
      </c>
      <c r="AP49" s="1">
        <v>36</v>
      </c>
      <c r="AQ49" s="1">
        <v>20525</v>
      </c>
      <c r="AR49" s="1">
        <v>36</v>
      </c>
      <c r="AS49" s="1">
        <v>23200</v>
      </c>
      <c r="AT49" s="1">
        <v>36</v>
      </c>
      <c r="AU49" s="1">
        <v>19797</v>
      </c>
      <c r="AV49" s="1">
        <v>36</v>
      </c>
      <c r="AW49" s="1">
        <v>17232</v>
      </c>
      <c r="AX49" s="1">
        <v>36</v>
      </c>
      <c r="AY49" s="1">
        <v>18014</v>
      </c>
      <c r="AZ49" s="1">
        <v>36</v>
      </c>
      <c r="BA49" s="1">
        <v>19835</v>
      </c>
      <c r="BB49" s="1">
        <v>35</v>
      </c>
      <c r="BC49" s="1">
        <v>9219</v>
      </c>
      <c r="BD49" s="1">
        <v>36</v>
      </c>
      <c r="BE49" s="1">
        <v>23200</v>
      </c>
      <c r="BF49" s="1">
        <v>36</v>
      </c>
      <c r="BG49" s="1">
        <v>22901</v>
      </c>
      <c r="BH49" s="1">
        <v>36</v>
      </c>
      <c r="BI49" s="1">
        <v>23200</v>
      </c>
    </row>
    <row r="50" spans="1:61" x14ac:dyDescent="0.3">
      <c r="A50" s="9" t="s">
        <v>56</v>
      </c>
      <c r="B50" s="4">
        <v>61</v>
      </c>
      <c r="C50" s="4">
        <v>4</v>
      </c>
      <c r="D50" s="45">
        <v>21</v>
      </c>
      <c r="E50" s="92">
        <v>24</v>
      </c>
      <c r="F50" s="45">
        <v>21954</v>
      </c>
      <c r="G50" s="92">
        <v>24</v>
      </c>
      <c r="H50" s="15">
        <v>21737</v>
      </c>
      <c r="I50" s="92">
        <v>24</v>
      </c>
      <c r="J50" s="15">
        <v>21791</v>
      </c>
      <c r="K50" s="92">
        <v>24</v>
      </c>
      <c r="L50" s="15">
        <v>21734</v>
      </c>
      <c r="M50" s="92">
        <v>24</v>
      </c>
      <c r="N50" s="15">
        <v>21733</v>
      </c>
      <c r="O50" s="92">
        <v>24</v>
      </c>
      <c r="P50" s="45">
        <v>21342</v>
      </c>
      <c r="Q50" s="92">
        <v>24</v>
      </c>
      <c r="R50" s="15">
        <v>21758</v>
      </c>
      <c r="S50" s="92">
        <v>24</v>
      </c>
      <c r="T50" s="15">
        <v>21802</v>
      </c>
      <c r="U50" s="92">
        <v>24</v>
      </c>
      <c r="V50" s="15">
        <v>21466</v>
      </c>
      <c r="W50" s="92">
        <v>24</v>
      </c>
      <c r="X50" s="15">
        <v>21800</v>
      </c>
      <c r="Y50" s="87">
        <v>24</v>
      </c>
      <c r="Z50" s="56">
        <v>24.6</v>
      </c>
      <c r="AA50" s="4">
        <v>24</v>
      </c>
      <c r="AB50" s="4">
        <v>17.100000000000001</v>
      </c>
      <c r="AC50" s="15">
        <v>15.57</v>
      </c>
      <c r="AD50" s="56">
        <v>24.6</v>
      </c>
      <c r="AE50" s="4">
        <v>24</v>
      </c>
      <c r="AF50" s="4">
        <v>17.100000000000001</v>
      </c>
      <c r="AG50" s="15">
        <v>5.14</v>
      </c>
      <c r="AH50" s="56">
        <f t="shared" si="4"/>
        <v>23</v>
      </c>
      <c r="AI50" s="23">
        <f t="shared" si="5"/>
        <v>23</v>
      </c>
      <c r="AJ50" s="17">
        <f t="shared" si="6"/>
        <v>9.5238095238095233E-2</v>
      </c>
      <c r="AK50" s="15">
        <f t="shared" si="11"/>
        <v>24.4</v>
      </c>
      <c r="AL50" s="55">
        <f t="shared" si="7"/>
        <v>24</v>
      </c>
      <c r="AM50" s="106">
        <f t="shared" si="8"/>
        <v>24</v>
      </c>
      <c r="AN50" s="18">
        <f t="shared" si="9"/>
        <v>0.14285714285714285</v>
      </c>
      <c r="AO50" s="16">
        <f t="shared" si="10"/>
        <v>21.7117</v>
      </c>
      <c r="AP50" s="1">
        <v>23</v>
      </c>
      <c r="AQ50" s="1">
        <v>24400</v>
      </c>
      <c r="AR50" s="1">
        <v>23</v>
      </c>
      <c r="AS50" s="1">
        <v>24400</v>
      </c>
      <c r="AT50" s="1">
        <v>23</v>
      </c>
      <c r="AU50" s="1">
        <v>24400</v>
      </c>
      <c r="AV50" s="1">
        <v>23</v>
      </c>
      <c r="AW50" s="1">
        <v>24400</v>
      </c>
      <c r="AX50" s="1">
        <v>23</v>
      </c>
      <c r="AY50" s="1">
        <v>24400</v>
      </c>
      <c r="AZ50" s="1">
        <v>23</v>
      </c>
      <c r="BA50" s="1">
        <v>24400</v>
      </c>
      <c r="BB50" s="1">
        <v>23</v>
      </c>
      <c r="BC50" s="1">
        <v>24400</v>
      </c>
      <c r="BD50" s="1">
        <v>23</v>
      </c>
      <c r="BE50" s="1">
        <v>24400</v>
      </c>
      <c r="BF50" s="1">
        <v>23</v>
      </c>
      <c r="BG50" s="1">
        <v>24400</v>
      </c>
      <c r="BH50" s="1">
        <v>23</v>
      </c>
      <c r="BI50" s="1">
        <v>24400</v>
      </c>
    </row>
    <row r="51" spans="1:61" x14ac:dyDescent="0.3">
      <c r="A51" s="9" t="s">
        <v>57</v>
      </c>
      <c r="B51" s="4">
        <v>54</v>
      </c>
      <c r="C51" s="4">
        <v>4</v>
      </c>
      <c r="D51" s="45">
        <v>44</v>
      </c>
      <c r="E51" s="56">
        <v>44</v>
      </c>
      <c r="F51" s="45">
        <v>794</v>
      </c>
      <c r="G51" s="56">
        <v>44</v>
      </c>
      <c r="H51" s="15">
        <v>839</v>
      </c>
      <c r="I51" s="56">
        <v>44</v>
      </c>
      <c r="J51" s="15">
        <v>577</v>
      </c>
      <c r="K51" s="56">
        <v>44</v>
      </c>
      <c r="L51" s="15">
        <v>2171</v>
      </c>
      <c r="M51" s="56">
        <v>44</v>
      </c>
      <c r="N51" s="15">
        <v>5645</v>
      </c>
      <c r="O51" s="56">
        <v>44</v>
      </c>
      <c r="P51" s="45">
        <v>2300</v>
      </c>
      <c r="Q51" s="56">
        <v>44</v>
      </c>
      <c r="R51" s="15">
        <v>2469</v>
      </c>
      <c r="S51" s="56">
        <v>44</v>
      </c>
      <c r="T51" s="15">
        <v>342</v>
      </c>
      <c r="U51" s="56">
        <v>44</v>
      </c>
      <c r="V51" s="15">
        <v>511</v>
      </c>
      <c r="W51" s="56">
        <v>44</v>
      </c>
      <c r="X51" s="15">
        <v>413</v>
      </c>
      <c r="Y51" s="77">
        <v>44</v>
      </c>
      <c r="Z51" s="56">
        <v>45.1</v>
      </c>
      <c r="AA51" s="4">
        <v>44</v>
      </c>
      <c r="AB51" s="4">
        <v>2.5</v>
      </c>
      <c r="AC51" s="15">
        <v>21.54</v>
      </c>
      <c r="AD51" s="56">
        <v>46.6</v>
      </c>
      <c r="AE51" s="4">
        <v>46</v>
      </c>
      <c r="AF51" s="4">
        <v>5.9</v>
      </c>
      <c r="AG51" s="15">
        <v>17.72</v>
      </c>
      <c r="AH51" s="56">
        <f t="shared" si="4"/>
        <v>44.1</v>
      </c>
      <c r="AI51" s="4">
        <f t="shared" si="5"/>
        <v>44</v>
      </c>
      <c r="AJ51" s="21">
        <f t="shared" si="6"/>
        <v>2.2727272727273051E-3</v>
      </c>
      <c r="AK51" s="15">
        <f t="shared" si="11"/>
        <v>3.0088000000000004</v>
      </c>
      <c r="AL51" s="55">
        <f t="shared" si="7"/>
        <v>44</v>
      </c>
      <c r="AM51" s="12">
        <f t="shared" si="8"/>
        <v>44</v>
      </c>
      <c r="AN51" s="18">
        <f t="shared" si="9"/>
        <v>0</v>
      </c>
      <c r="AO51" s="16">
        <f t="shared" si="10"/>
        <v>1.6060999999999999</v>
      </c>
      <c r="AP51" s="1">
        <v>44</v>
      </c>
      <c r="AQ51" s="1">
        <v>2020</v>
      </c>
      <c r="AR51" s="1">
        <v>44</v>
      </c>
      <c r="AS51" s="1">
        <v>3682</v>
      </c>
      <c r="AT51" s="1">
        <v>44</v>
      </c>
      <c r="AU51" s="1">
        <v>900</v>
      </c>
      <c r="AV51" s="1">
        <v>44</v>
      </c>
      <c r="AW51" s="1">
        <v>1524</v>
      </c>
      <c r="AX51" s="1">
        <v>44</v>
      </c>
      <c r="AY51" s="1">
        <v>969</v>
      </c>
      <c r="AZ51" s="1">
        <v>44</v>
      </c>
      <c r="BA51" s="1">
        <v>345</v>
      </c>
      <c r="BB51" s="1">
        <v>44</v>
      </c>
      <c r="BC51" s="1">
        <v>1041</v>
      </c>
      <c r="BD51" s="1">
        <v>45</v>
      </c>
      <c r="BE51" s="1">
        <v>17458</v>
      </c>
      <c r="BF51" s="1">
        <v>44</v>
      </c>
      <c r="BG51" s="1">
        <v>1436</v>
      </c>
      <c r="BH51" s="1">
        <v>44</v>
      </c>
      <c r="BI51" s="1">
        <v>713</v>
      </c>
    </row>
    <row r="52" spans="1:61" ht="15" thickBot="1" x14ac:dyDescent="0.35">
      <c r="A52" s="13" t="s">
        <v>58</v>
      </c>
      <c r="B52" s="7">
        <v>34</v>
      </c>
      <c r="C52" s="7">
        <v>4</v>
      </c>
      <c r="D52" s="46">
        <v>21</v>
      </c>
      <c r="E52" s="59">
        <v>21</v>
      </c>
      <c r="F52" s="46">
        <v>279</v>
      </c>
      <c r="G52" s="59">
        <v>21</v>
      </c>
      <c r="H52" s="65">
        <v>1568</v>
      </c>
      <c r="I52" s="59">
        <v>21</v>
      </c>
      <c r="J52" s="65">
        <v>524</v>
      </c>
      <c r="K52" s="57">
        <v>21</v>
      </c>
      <c r="L52" s="65">
        <v>162</v>
      </c>
      <c r="M52" s="57">
        <v>21</v>
      </c>
      <c r="N52" s="65">
        <v>1764</v>
      </c>
      <c r="O52" s="59">
        <v>21</v>
      </c>
      <c r="P52" s="46">
        <v>2452</v>
      </c>
      <c r="Q52" s="59">
        <v>21</v>
      </c>
      <c r="R52" s="65">
        <v>96</v>
      </c>
      <c r="S52" s="59">
        <v>21</v>
      </c>
      <c r="T52" s="65">
        <v>27</v>
      </c>
      <c r="U52" s="57">
        <v>21</v>
      </c>
      <c r="V52" s="65">
        <v>585</v>
      </c>
      <c r="W52" s="57">
        <v>21</v>
      </c>
      <c r="X52" s="65">
        <v>206</v>
      </c>
      <c r="Y52" s="19">
        <v>21</v>
      </c>
      <c r="Z52" s="57">
        <v>21.9</v>
      </c>
      <c r="AA52" s="7">
        <v>21</v>
      </c>
      <c r="AB52" s="7">
        <v>4.3</v>
      </c>
      <c r="AC52" s="65">
        <v>5.03</v>
      </c>
      <c r="AD52" s="57">
        <v>23.5</v>
      </c>
      <c r="AE52" s="7">
        <v>22</v>
      </c>
      <c r="AF52" s="7">
        <v>11.9</v>
      </c>
      <c r="AG52" s="65">
        <v>8.7899999999999991</v>
      </c>
      <c r="AH52" s="57">
        <f t="shared" si="4"/>
        <v>22.9</v>
      </c>
      <c r="AI52" s="4">
        <f t="shared" si="5"/>
        <v>21</v>
      </c>
      <c r="AJ52" s="35">
        <f t="shared" si="6"/>
        <v>9.0476190476190405E-2</v>
      </c>
      <c r="AK52" s="20">
        <f t="shared" si="11"/>
        <v>11.4308</v>
      </c>
      <c r="AL52" s="101">
        <f t="shared" si="7"/>
        <v>21</v>
      </c>
      <c r="AM52" s="102">
        <f t="shared" si="8"/>
        <v>21</v>
      </c>
      <c r="AN52" s="103">
        <f t="shared" si="9"/>
        <v>0</v>
      </c>
      <c r="AO52" s="104">
        <f t="shared" si="10"/>
        <v>0.76629999999999998</v>
      </c>
      <c r="AP52" s="42">
        <v>22</v>
      </c>
      <c r="AQ52" s="42">
        <v>13600</v>
      </c>
      <c r="AR52" s="42">
        <v>33</v>
      </c>
      <c r="AS52" s="42">
        <v>13600</v>
      </c>
      <c r="AT52" s="42">
        <v>22</v>
      </c>
      <c r="AU52" s="42">
        <v>13600</v>
      </c>
      <c r="AV52" s="42">
        <v>21</v>
      </c>
      <c r="AW52" s="42">
        <v>2054</v>
      </c>
      <c r="AX52" s="42">
        <v>22</v>
      </c>
      <c r="AY52" s="42">
        <v>13600</v>
      </c>
      <c r="AZ52" s="42">
        <v>22</v>
      </c>
      <c r="BA52" s="42">
        <v>13600</v>
      </c>
      <c r="BB52" s="42">
        <v>22</v>
      </c>
      <c r="BC52" s="42">
        <v>13600</v>
      </c>
      <c r="BD52" s="42">
        <v>22</v>
      </c>
      <c r="BE52" s="42">
        <v>13600</v>
      </c>
      <c r="BF52" s="42">
        <v>21</v>
      </c>
      <c r="BG52" s="42">
        <v>3454</v>
      </c>
      <c r="BH52" s="42">
        <v>22</v>
      </c>
      <c r="BI52" s="42">
        <v>13600</v>
      </c>
    </row>
    <row r="53" spans="1:61" ht="15" thickBot="1" x14ac:dyDescent="0.35">
      <c r="A53" s="8" t="s">
        <v>59</v>
      </c>
      <c r="B53" s="5">
        <v>146</v>
      </c>
      <c r="C53" s="5">
        <v>8</v>
      </c>
      <c r="D53" s="47">
        <v>48</v>
      </c>
      <c r="E53" s="91">
        <v>52</v>
      </c>
      <c r="F53" s="47">
        <v>220304</v>
      </c>
      <c r="G53" s="91">
        <v>52</v>
      </c>
      <c r="H53" s="14">
        <v>233400</v>
      </c>
      <c r="I53" s="91">
        <v>52</v>
      </c>
      <c r="J53" s="14">
        <v>218390</v>
      </c>
      <c r="K53" s="90">
        <v>52</v>
      </c>
      <c r="L53" s="14">
        <v>223725</v>
      </c>
      <c r="M53" s="90">
        <v>52</v>
      </c>
      <c r="N53" s="14">
        <v>232351</v>
      </c>
      <c r="O53" s="91">
        <v>52</v>
      </c>
      <c r="P53" s="47">
        <v>212998</v>
      </c>
      <c r="Q53" s="91">
        <v>52</v>
      </c>
      <c r="R53" s="14">
        <v>214233</v>
      </c>
      <c r="S53" s="91">
        <v>52</v>
      </c>
      <c r="T53" s="14">
        <v>209425</v>
      </c>
      <c r="U53" s="90">
        <v>52</v>
      </c>
      <c r="V53" s="14">
        <v>213155</v>
      </c>
      <c r="W53" s="90">
        <v>52</v>
      </c>
      <c r="X53" s="14">
        <v>211365</v>
      </c>
      <c r="Y53" s="86">
        <v>52</v>
      </c>
      <c r="Z53" s="58">
        <v>60.4</v>
      </c>
      <c r="AA53" s="5">
        <v>57</v>
      </c>
      <c r="AB53" s="5">
        <v>25.8</v>
      </c>
      <c r="AC53" s="14">
        <v>197.87</v>
      </c>
      <c r="AD53" s="58">
        <v>55.9</v>
      </c>
      <c r="AE53" s="5">
        <v>53</v>
      </c>
      <c r="AF53" s="5">
        <v>16.5</v>
      </c>
      <c r="AG53" s="14">
        <v>116.8</v>
      </c>
      <c r="AH53" s="58">
        <f t="shared" si="4"/>
        <v>55.7</v>
      </c>
      <c r="AI53" s="5">
        <f t="shared" si="5"/>
        <v>53</v>
      </c>
      <c r="AJ53" s="18">
        <f t="shared" si="6"/>
        <v>0.16041666666666674</v>
      </c>
      <c r="AK53" s="14">
        <f t="shared" si="11"/>
        <v>116.8</v>
      </c>
      <c r="AL53" s="58">
        <f t="shared" si="7"/>
        <v>52</v>
      </c>
      <c r="AM53" s="105">
        <f t="shared" si="8"/>
        <v>52</v>
      </c>
      <c r="AN53" s="100">
        <f t="shared" si="9"/>
        <v>8.3333333333333329E-2</v>
      </c>
      <c r="AO53" s="14">
        <f t="shared" si="10"/>
        <v>218.93460000000002</v>
      </c>
      <c r="AP53" s="1">
        <v>56</v>
      </c>
      <c r="AQ53" s="1">
        <v>116800</v>
      </c>
      <c r="AR53" s="1">
        <v>56</v>
      </c>
      <c r="AS53" s="1">
        <v>116800</v>
      </c>
      <c r="AT53" s="1">
        <v>56</v>
      </c>
      <c r="AU53" s="1">
        <v>116800</v>
      </c>
      <c r="AV53" s="1">
        <v>56</v>
      </c>
      <c r="AW53" s="1">
        <v>116800</v>
      </c>
      <c r="AX53" s="1">
        <v>53</v>
      </c>
      <c r="AY53" s="40">
        <v>116800</v>
      </c>
      <c r="AZ53" s="40">
        <v>56</v>
      </c>
      <c r="BA53" s="40">
        <v>116800</v>
      </c>
      <c r="BB53" s="40">
        <v>56</v>
      </c>
      <c r="BC53" s="40">
        <v>116800</v>
      </c>
      <c r="BD53" s="40">
        <v>56</v>
      </c>
      <c r="BE53" s="40">
        <v>116800</v>
      </c>
      <c r="BF53" s="40">
        <v>56</v>
      </c>
      <c r="BG53" s="40">
        <v>116800</v>
      </c>
      <c r="BH53" s="1">
        <v>56</v>
      </c>
      <c r="BI53" s="1">
        <v>116800</v>
      </c>
    </row>
    <row r="54" spans="1:61" x14ac:dyDescent="0.3">
      <c r="A54" s="9" t="s">
        <v>60</v>
      </c>
      <c r="B54" s="4">
        <v>144</v>
      </c>
      <c r="C54" s="4">
        <v>8</v>
      </c>
      <c r="D54" s="45">
        <v>32</v>
      </c>
      <c r="E54" s="56">
        <v>35</v>
      </c>
      <c r="F54" s="45">
        <v>209262</v>
      </c>
      <c r="G54" s="56">
        <v>35</v>
      </c>
      <c r="H54" s="15">
        <v>217364</v>
      </c>
      <c r="I54" s="56">
        <v>35</v>
      </c>
      <c r="J54" s="15">
        <v>202608</v>
      </c>
      <c r="K54" s="56">
        <v>35</v>
      </c>
      <c r="L54" s="15">
        <v>195414</v>
      </c>
      <c r="M54" s="56">
        <v>35</v>
      </c>
      <c r="N54" s="15">
        <v>212935</v>
      </c>
      <c r="O54" s="56">
        <v>35</v>
      </c>
      <c r="P54" s="45">
        <v>201885</v>
      </c>
      <c r="Q54" s="56">
        <v>35</v>
      </c>
      <c r="R54" s="15">
        <v>193637</v>
      </c>
      <c r="S54" s="91">
        <v>34</v>
      </c>
      <c r="T54" s="15">
        <v>198145</v>
      </c>
      <c r="U54" s="56">
        <v>35</v>
      </c>
      <c r="V54" s="15">
        <v>193887</v>
      </c>
      <c r="W54" s="90">
        <v>34</v>
      </c>
      <c r="X54" s="15">
        <v>203311</v>
      </c>
      <c r="Y54" s="77">
        <v>35</v>
      </c>
      <c r="Z54" s="56">
        <v>39.6</v>
      </c>
      <c r="AA54" s="4">
        <v>39</v>
      </c>
      <c r="AB54" s="4">
        <v>23.8</v>
      </c>
      <c r="AC54" s="15">
        <v>136.94999999999999</v>
      </c>
      <c r="AD54" s="56">
        <v>35</v>
      </c>
      <c r="AE54" s="4">
        <v>35</v>
      </c>
      <c r="AF54" s="4">
        <v>9.4</v>
      </c>
      <c r="AG54" s="15">
        <v>115.2</v>
      </c>
      <c r="AH54" s="56">
        <f t="shared" si="4"/>
        <v>35.9</v>
      </c>
      <c r="AI54" s="4">
        <f t="shared" si="5"/>
        <v>35</v>
      </c>
      <c r="AJ54" s="17">
        <f t="shared" si="6"/>
        <v>0.12187499999999996</v>
      </c>
      <c r="AK54" s="15">
        <f t="shared" si="11"/>
        <v>115.2</v>
      </c>
      <c r="AL54" s="55">
        <f t="shared" si="7"/>
        <v>34.799999999999997</v>
      </c>
      <c r="AM54" s="107">
        <f t="shared" si="8"/>
        <v>34</v>
      </c>
      <c r="AN54" s="18">
        <f t="shared" si="9"/>
        <v>8.7499999999999911E-2</v>
      </c>
      <c r="AO54" s="16">
        <f t="shared" si="10"/>
        <v>202.84479999999999</v>
      </c>
      <c r="AP54" s="1">
        <v>36</v>
      </c>
      <c r="AQ54" s="1">
        <v>115200</v>
      </c>
      <c r="AR54" s="1">
        <v>36</v>
      </c>
      <c r="AS54" s="1">
        <v>115200</v>
      </c>
      <c r="AT54" s="1">
        <v>35</v>
      </c>
      <c r="AU54" s="1">
        <v>115200</v>
      </c>
      <c r="AV54" s="1">
        <v>36</v>
      </c>
      <c r="AW54" s="1">
        <v>115200</v>
      </c>
      <c r="AX54" s="1">
        <v>36</v>
      </c>
      <c r="AY54" s="1">
        <v>115200</v>
      </c>
      <c r="AZ54" s="1">
        <v>35</v>
      </c>
      <c r="BA54" s="1">
        <v>115200</v>
      </c>
      <c r="BB54" s="1">
        <v>36</v>
      </c>
      <c r="BC54" s="1">
        <v>115200</v>
      </c>
      <c r="BD54" s="1">
        <v>36</v>
      </c>
      <c r="BE54" s="1">
        <v>115200</v>
      </c>
      <c r="BF54" s="1">
        <v>37</v>
      </c>
      <c r="BG54" s="1">
        <v>115200</v>
      </c>
      <c r="BH54" s="1">
        <v>36</v>
      </c>
      <c r="BI54" s="1">
        <v>115200</v>
      </c>
    </row>
    <row r="55" spans="1:61" x14ac:dyDescent="0.3">
      <c r="A55" s="9" t="s">
        <v>61</v>
      </c>
      <c r="B55" s="4">
        <v>87</v>
      </c>
      <c r="C55" s="4">
        <v>8</v>
      </c>
      <c r="D55" s="45">
        <v>32</v>
      </c>
      <c r="E55" s="56">
        <v>33</v>
      </c>
      <c r="F55" s="45">
        <v>90242</v>
      </c>
      <c r="G55" s="89">
        <v>32</v>
      </c>
      <c r="H55" s="15">
        <v>5582</v>
      </c>
      <c r="I55" s="56">
        <v>33</v>
      </c>
      <c r="J55" s="15">
        <v>89739</v>
      </c>
      <c r="K55" s="89">
        <v>32</v>
      </c>
      <c r="L55" s="15">
        <v>9985</v>
      </c>
      <c r="M55" s="56">
        <v>33</v>
      </c>
      <c r="N55" s="15">
        <v>88998</v>
      </c>
      <c r="O55" s="56">
        <v>33</v>
      </c>
      <c r="P55" s="45">
        <v>90190</v>
      </c>
      <c r="Q55" s="56">
        <v>33</v>
      </c>
      <c r="R55" s="15">
        <v>92169</v>
      </c>
      <c r="S55" s="56">
        <v>33</v>
      </c>
      <c r="T55" s="15">
        <v>86758</v>
      </c>
      <c r="U55" s="56">
        <v>33</v>
      </c>
      <c r="V55" s="15">
        <v>88900</v>
      </c>
      <c r="W55" s="56">
        <v>33</v>
      </c>
      <c r="X55" s="15">
        <v>89307</v>
      </c>
      <c r="Y55" s="77">
        <v>33</v>
      </c>
      <c r="Z55" s="56">
        <v>37.5</v>
      </c>
      <c r="AA55" s="4">
        <v>37</v>
      </c>
      <c r="AB55" s="4">
        <v>17.2</v>
      </c>
      <c r="AC55" s="15">
        <v>52.3</v>
      </c>
      <c r="AD55" s="56">
        <v>34.9</v>
      </c>
      <c r="AE55" s="4">
        <v>34</v>
      </c>
      <c r="AF55" s="4">
        <v>9.1</v>
      </c>
      <c r="AG55" s="15">
        <v>69.599999999999994</v>
      </c>
      <c r="AH55" s="56">
        <f t="shared" si="4"/>
        <v>34.9</v>
      </c>
      <c r="AI55" s="23">
        <f t="shared" si="5"/>
        <v>33</v>
      </c>
      <c r="AJ55" s="17">
        <f t="shared" si="6"/>
        <v>9.0624999999999956E-2</v>
      </c>
      <c r="AK55" s="15">
        <f t="shared" si="11"/>
        <v>69.599999999999994</v>
      </c>
      <c r="AL55" s="55">
        <f t="shared" si="7"/>
        <v>32.799999999999997</v>
      </c>
      <c r="AM55" s="107">
        <f t="shared" si="8"/>
        <v>32</v>
      </c>
      <c r="AN55" s="18">
        <f t="shared" si="9"/>
        <v>2.4999999999999911E-2</v>
      </c>
      <c r="AO55" s="16">
        <f t="shared" si="10"/>
        <v>73.186999999999998</v>
      </c>
      <c r="AP55" s="1">
        <v>35</v>
      </c>
      <c r="AQ55" s="1">
        <v>69600</v>
      </c>
      <c r="AR55" s="1">
        <v>36</v>
      </c>
      <c r="AS55" s="1">
        <v>69600</v>
      </c>
      <c r="AT55" s="1">
        <v>33</v>
      </c>
      <c r="AU55" s="1">
        <v>69600</v>
      </c>
      <c r="AV55" s="1">
        <v>36</v>
      </c>
      <c r="AW55" s="1">
        <v>69600</v>
      </c>
      <c r="AX55" s="1">
        <v>34</v>
      </c>
      <c r="AY55" s="1">
        <v>69600</v>
      </c>
      <c r="AZ55" s="1">
        <v>35</v>
      </c>
      <c r="BA55" s="1">
        <v>69600</v>
      </c>
      <c r="BB55" s="1">
        <v>36</v>
      </c>
      <c r="BC55" s="1">
        <v>69600</v>
      </c>
      <c r="BD55" s="1">
        <v>33</v>
      </c>
      <c r="BE55" s="1">
        <v>69600</v>
      </c>
      <c r="BF55" s="1">
        <v>35</v>
      </c>
      <c r="BG55" s="1">
        <v>69600</v>
      </c>
      <c r="BH55" s="1">
        <v>36</v>
      </c>
      <c r="BI55" s="1">
        <v>69600</v>
      </c>
    </row>
    <row r="56" spans="1:61" x14ac:dyDescent="0.3">
      <c r="A56" s="9" t="s">
        <v>62</v>
      </c>
      <c r="B56" s="4">
        <v>161</v>
      </c>
      <c r="C56" s="4">
        <v>8</v>
      </c>
      <c r="D56" s="45">
        <v>108</v>
      </c>
      <c r="E56" s="89">
        <v>111</v>
      </c>
      <c r="F56" s="45">
        <v>251393</v>
      </c>
      <c r="G56" s="89">
        <v>111</v>
      </c>
      <c r="H56" s="15">
        <v>245898</v>
      </c>
      <c r="I56" s="89">
        <v>111</v>
      </c>
      <c r="J56" s="15">
        <v>256274</v>
      </c>
      <c r="K56" s="89">
        <v>111</v>
      </c>
      <c r="L56" s="15">
        <v>256118</v>
      </c>
      <c r="M56" s="89">
        <v>111</v>
      </c>
      <c r="N56" s="15">
        <v>286433</v>
      </c>
      <c r="O56" s="89">
        <v>111</v>
      </c>
      <c r="P56" s="45">
        <v>266613</v>
      </c>
      <c r="Q56" s="89">
        <v>111</v>
      </c>
      <c r="R56" s="15">
        <v>249653</v>
      </c>
      <c r="S56" s="56">
        <v>114</v>
      </c>
      <c r="T56" s="15">
        <v>238446</v>
      </c>
      <c r="U56" s="89">
        <v>111</v>
      </c>
      <c r="V56" s="15">
        <v>249667</v>
      </c>
      <c r="W56" s="89">
        <v>111</v>
      </c>
      <c r="X56" s="15">
        <v>238882</v>
      </c>
      <c r="Y56" s="86">
        <v>111</v>
      </c>
      <c r="Z56" s="56">
        <v>129.9</v>
      </c>
      <c r="AA56" s="4">
        <v>126</v>
      </c>
      <c r="AB56" s="4">
        <v>20.3</v>
      </c>
      <c r="AC56" s="15">
        <v>462.42</v>
      </c>
      <c r="AD56" s="56">
        <v>120.3</v>
      </c>
      <c r="AE56" s="4">
        <v>120</v>
      </c>
      <c r="AF56" s="4">
        <v>11.4</v>
      </c>
      <c r="AG56" s="15">
        <v>128.80000000000001</v>
      </c>
      <c r="AH56" s="56">
        <f t="shared" si="4"/>
        <v>115.8</v>
      </c>
      <c r="AI56" s="23">
        <f t="shared" si="5"/>
        <v>114</v>
      </c>
      <c r="AJ56" s="17">
        <f t="shared" si="6"/>
        <v>7.2222222222222202E-2</v>
      </c>
      <c r="AK56" s="15">
        <f t="shared" si="11"/>
        <v>128.80000000000001</v>
      </c>
      <c r="AL56" s="55">
        <f t="shared" si="7"/>
        <v>111.3</v>
      </c>
      <c r="AM56" s="107">
        <f t="shared" si="8"/>
        <v>111</v>
      </c>
      <c r="AN56" s="18">
        <f t="shared" si="9"/>
        <v>3.055555555555553E-2</v>
      </c>
      <c r="AO56" s="16">
        <f t="shared" si="10"/>
        <v>253.93770000000001</v>
      </c>
      <c r="AP56" s="1">
        <v>120</v>
      </c>
      <c r="AQ56" s="1">
        <v>128800</v>
      </c>
      <c r="AR56" s="1">
        <v>120</v>
      </c>
      <c r="AS56" s="1">
        <v>128800</v>
      </c>
      <c r="AT56" s="1">
        <v>117</v>
      </c>
      <c r="AU56" s="1">
        <v>128800</v>
      </c>
      <c r="AV56" s="1">
        <v>114</v>
      </c>
      <c r="AW56" s="1">
        <v>128800</v>
      </c>
      <c r="AX56" s="1">
        <v>114</v>
      </c>
      <c r="AY56" s="1">
        <v>128800</v>
      </c>
      <c r="AZ56" s="1">
        <v>114</v>
      </c>
      <c r="BA56" s="1">
        <v>128800</v>
      </c>
      <c r="BB56" s="1">
        <v>114</v>
      </c>
      <c r="BC56" s="1">
        <v>128800</v>
      </c>
      <c r="BD56" s="1">
        <v>117</v>
      </c>
      <c r="BE56" s="1">
        <v>128800</v>
      </c>
      <c r="BF56" s="1">
        <v>114</v>
      </c>
      <c r="BG56" s="1">
        <v>128800</v>
      </c>
      <c r="BH56" s="1">
        <v>114</v>
      </c>
      <c r="BI56" s="1">
        <v>128800</v>
      </c>
    </row>
    <row r="57" spans="1:61" x14ac:dyDescent="0.3">
      <c r="A57" s="9" t="s">
        <v>63</v>
      </c>
      <c r="B57" s="4">
        <v>117</v>
      </c>
      <c r="C57" s="4">
        <v>8</v>
      </c>
      <c r="D57" s="45">
        <v>78</v>
      </c>
      <c r="E57" s="56">
        <v>78</v>
      </c>
      <c r="F57" s="45">
        <v>75</v>
      </c>
      <c r="G57" s="56">
        <v>78</v>
      </c>
      <c r="H57" s="15">
        <v>17</v>
      </c>
      <c r="I57" s="56">
        <v>78</v>
      </c>
      <c r="J57" s="15">
        <v>18</v>
      </c>
      <c r="K57" s="56">
        <v>78</v>
      </c>
      <c r="L57" s="15">
        <v>74</v>
      </c>
      <c r="M57" s="56">
        <v>78</v>
      </c>
      <c r="N57" s="15">
        <v>18</v>
      </c>
      <c r="O57" s="56">
        <v>78</v>
      </c>
      <c r="P57" s="45">
        <v>20</v>
      </c>
      <c r="Q57" s="56">
        <v>78</v>
      </c>
      <c r="R57" s="15">
        <v>74</v>
      </c>
      <c r="S57" s="56">
        <v>78</v>
      </c>
      <c r="T57" s="15">
        <v>21</v>
      </c>
      <c r="U57" s="56">
        <v>78</v>
      </c>
      <c r="V57" s="15">
        <v>20</v>
      </c>
      <c r="W57" s="56">
        <v>78</v>
      </c>
      <c r="X57" s="15">
        <v>18</v>
      </c>
      <c r="Y57" s="77">
        <v>78</v>
      </c>
      <c r="Z57" s="56">
        <v>87.2</v>
      </c>
      <c r="AA57" s="4">
        <v>85</v>
      </c>
      <c r="AB57" s="4">
        <v>11.8</v>
      </c>
      <c r="AC57" s="15">
        <v>182.59</v>
      </c>
      <c r="AD57" s="56">
        <v>78</v>
      </c>
      <c r="AE57" s="4">
        <v>78</v>
      </c>
      <c r="AF57" s="4">
        <v>0</v>
      </c>
      <c r="AG57" s="15">
        <v>0</v>
      </c>
      <c r="AH57" s="56">
        <f t="shared" si="4"/>
        <v>78</v>
      </c>
      <c r="AI57" s="4">
        <f t="shared" si="5"/>
        <v>78</v>
      </c>
      <c r="AJ57" s="17">
        <f t="shared" si="6"/>
        <v>0</v>
      </c>
      <c r="AK57" s="15">
        <f t="shared" si="11"/>
        <v>0.44260000000000005</v>
      </c>
      <c r="AL57" s="55">
        <f t="shared" si="7"/>
        <v>78</v>
      </c>
      <c r="AM57" s="12">
        <f t="shared" si="8"/>
        <v>78</v>
      </c>
      <c r="AN57" s="18">
        <f t="shared" si="9"/>
        <v>0</v>
      </c>
      <c r="AO57" s="16">
        <f t="shared" si="10"/>
        <v>3.5499999999999997E-2</v>
      </c>
      <c r="AP57" s="1">
        <v>78</v>
      </c>
      <c r="AQ57" s="1">
        <v>432</v>
      </c>
      <c r="AR57" s="1">
        <v>78</v>
      </c>
      <c r="AS57" s="1">
        <v>438</v>
      </c>
      <c r="AT57" s="1">
        <v>78</v>
      </c>
      <c r="AU57" s="1">
        <v>493</v>
      </c>
      <c r="AV57" s="1">
        <v>78</v>
      </c>
      <c r="AW57" s="1">
        <v>439</v>
      </c>
      <c r="AX57" s="1">
        <v>78</v>
      </c>
      <c r="AY57" s="1">
        <v>429</v>
      </c>
      <c r="AZ57" s="1">
        <v>78</v>
      </c>
      <c r="BA57" s="1">
        <v>465</v>
      </c>
      <c r="BB57" s="1">
        <v>78</v>
      </c>
      <c r="BC57" s="1">
        <v>421</v>
      </c>
      <c r="BD57" s="1">
        <v>78</v>
      </c>
      <c r="BE57" s="1">
        <v>449</v>
      </c>
      <c r="BF57" s="1">
        <v>78</v>
      </c>
      <c r="BG57" s="1">
        <v>428</v>
      </c>
      <c r="BH57" s="1">
        <v>78</v>
      </c>
      <c r="BI57" s="1">
        <v>432</v>
      </c>
    </row>
    <row r="58" spans="1:61" x14ac:dyDescent="0.3">
      <c r="A58" s="9" t="s">
        <v>64</v>
      </c>
      <c r="B58" s="4">
        <v>99</v>
      </c>
      <c r="C58" s="4">
        <v>8</v>
      </c>
      <c r="D58" s="45">
        <v>63</v>
      </c>
      <c r="E58" s="56">
        <v>63</v>
      </c>
      <c r="F58" s="45">
        <v>65</v>
      </c>
      <c r="G58" s="56">
        <v>63</v>
      </c>
      <c r="H58" s="15">
        <v>1187</v>
      </c>
      <c r="I58" s="56">
        <v>63</v>
      </c>
      <c r="J58" s="15">
        <v>1167</v>
      </c>
      <c r="K58" s="56">
        <v>63</v>
      </c>
      <c r="L58" s="15">
        <v>184</v>
      </c>
      <c r="M58" s="56">
        <v>63</v>
      </c>
      <c r="N58" s="15">
        <v>1267</v>
      </c>
      <c r="O58" s="56">
        <v>63</v>
      </c>
      <c r="P58" s="45">
        <v>1186</v>
      </c>
      <c r="Q58" s="56">
        <v>63</v>
      </c>
      <c r="R58" s="15">
        <v>116</v>
      </c>
      <c r="S58" s="56">
        <v>63</v>
      </c>
      <c r="T58" s="15">
        <v>53</v>
      </c>
      <c r="U58" s="56">
        <v>63</v>
      </c>
      <c r="V58" s="15">
        <v>15</v>
      </c>
      <c r="W58" s="56">
        <v>63</v>
      </c>
      <c r="X58" s="15">
        <v>1269</v>
      </c>
      <c r="Y58" s="77">
        <v>63</v>
      </c>
      <c r="Z58" s="56">
        <v>71.900000000000006</v>
      </c>
      <c r="AA58" s="4">
        <v>70</v>
      </c>
      <c r="AB58" s="4">
        <v>14.1</v>
      </c>
      <c r="AC58" s="15">
        <v>111.58</v>
      </c>
      <c r="AD58" s="56">
        <v>64.3</v>
      </c>
      <c r="AE58" s="4">
        <v>64</v>
      </c>
      <c r="AF58" s="4">
        <v>2.1</v>
      </c>
      <c r="AG58" s="15">
        <v>79.2</v>
      </c>
      <c r="AH58" s="56">
        <f t="shared" si="4"/>
        <v>64</v>
      </c>
      <c r="AI58" s="23">
        <f t="shared" si="5"/>
        <v>63</v>
      </c>
      <c r="AJ58" s="17">
        <f t="shared" si="6"/>
        <v>1.5873015873015872E-2</v>
      </c>
      <c r="AK58" s="15">
        <f t="shared" si="11"/>
        <v>71.307600000000008</v>
      </c>
      <c r="AL58" s="55">
        <f t="shared" si="7"/>
        <v>63</v>
      </c>
      <c r="AM58" s="12">
        <f t="shared" si="8"/>
        <v>63</v>
      </c>
      <c r="AN58" s="18">
        <f t="shared" si="9"/>
        <v>0</v>
      </c>
      <c r="AO58" s="16">
        <f t="shared" si="10"/>
        <v>0.65089999999999992</v>
      </c>
      <c r="AP58" s="1">
        <v>64</v>
      </c>
      <c r="AQ58" s="1">
        <v>79200</v>
      </c>
      <c r="AR58" s="1">
        <v>64</v>
      </c>
      <c r="AS58" s="1">
        <v>79200</v>
      </c>
      <c r="AT58" s="1">
        <v>64</v>
      </c>
      <c r="AU58" s="1">
        <v>79200</v>
      </c>
      <c r="AV58" s="1">
        <v>64</v>
      </c>
      <c r="AW58" s="1">
        <v>79200</v>
      </c>
      <c r="AX58" s="1">
        <v>65</v>
      </c>
      <c r="AY58" s="1">
        <v>79200</v>
      </c>
      <c r="AZ58" s="1">
        <v>64</v>
      </c>
      <c r="BA58" s="1">
        <v>79200</v>
      </c>
      <c r="BB58" s="1">
        <v>64</v>
      </c>
      <c r="BC58" s="1">
        <v>79200</v>
      </c>
      <c r="BD58" s="1">
        <v>63</v>
      </c>
      <c r="BE58" s="1">
        <v>276</v>
      </c>
      <c r="BF58" s="1">
        <v>64</v>
      </c>
      <c r="BG58" s="1">
        <v>79200</v>
      </c>
      <c r="BH58" s="1">
        <v>64</v>
      </c>
      <c r="BI58" s="1">
        <v>79200</v>
      </c>
    </row>
    <row r="59" spans="1:61" x14ac:dyDescent="0.3">
      <c r="A59" s="9" t="s">
        <v>65</v>
      </c>
      <c r="B59" s="4">
        <v>84</v>
      </c>
      <c r="C59" s="4">
        <v>8</v>
      </c>
      <c r="D59" s="45">
        <v>36</v>
      </c>
      <c r="E59" s="56">
        <v>36</v>
      </c>
      <c r="F59" s="45">
        <v>43</v>
      </c>
      <c r="G59" s="56">
        <v>36</v>
      </c>
      <c r="H59" s="15">
        <v>949</v>
      </c>
      <c r="I59" s="56">
        <v>36</v>
      </c>
      <c r="J59" s="15">
        <v>278</v>
      </c>
      <c r="K59" s="56">
        <v>36</v>
      </c>
      <c r="L59" s="15">
        <v>41</v>
      </c>
      <c r="M59" s="56">
        <v>36</v>
      </c>
      <c r="N59" s="15">
        <v>43</v>
      </c>
      <c r="O59" s="56">
        <v>36</v>
      </c>
      <c r="P59" s="45">
        <v>13</v>
      </c>
      <c r="Q59" s="56">
        <v>36</v>
      </c>
      <c r="R59" s="15">
        <v>1865</v>
      </c>
      <c r="S59" s="56">
        <v>36</v>
      </c>
      <c r="T59" s="15">
        <v>48</v>
      </c>
      <c r="U59" s="56">
        <v>36</v>
      </c>
      <c r="V59" s="15">
        <v>12</v>
      </c>
      <c r="W59" s="56">
        <v>36</v>
      </c>
      <c r="X59" s="15">
        <v>40</v>
      </c>
      <c r="Y59" s="77">
        <v>36</v>
      </c>
      <c r="Z59" s="56">
        <v>40.200000000000003</v>
      </c>
      <c r="AA59" s="4">
        <v>39</v>
      </c>
      <c r="AB59" s="4">
        <v>11.7</v>
      </c>
      <c r="AC59" s="15">
        <v>52.84</v>
      </c>
      <c r="AD59" s="56">
        <v>36.299999999999997</v>
      </c>
      <c r="AE59" s="4">
        <v>36</v>
      </c>
      <c r="AF59" s="4">
        <v>0.8</v>
      </c>
      <c r="AG59" s="15">
        <v>26.88</v>
      </c>
      <c r="AH59" s="56">
        <f t="shared" si="4"/>
        <v>37.200000000000003</v>
      </c>
      <c r="AI59" s="4">
        <f t="shared" si="5"/>
        <v>36</v>
      </c>
      <c r="AJ59" s="17">
        <f t="shared" si="6"/>
        <v>3.3333333333333409E-2</v>
      </c>
      <c r="AK59" s="15">
        <f t="shared" si="11"/>
        <v>61.836100000000002</v>
      </c>
      <c r="AL59" s="55">
        <f t="shared" si="7"/>
        <v>36</v>
      </c>
      <c r="AM59" s="12">
        <f t="shared" si="8"/>
        <v>36</v>
      </c>
      <c r="AN59" s="18">
        <f t="shared" si="9"/>
        <v>0</v>
      </c>
      <c r="AO59" s="16">
        <f t="shared" si="10"/>
        <v>0.3332</v>
      </c>
      <c r="AP59" s="1">
        <v>37</v>
      </c>
      <c r="AQ59" s="1">
        <v>67200</v>
      </c>
      <c r="AR59" s="1">
        <v>38</v>
      </c>
      <c r="AS59" s="1">
        <v>67200</v>
      </c>
      <c r="AT59" s="1">
        <v>37</v>
      </c>
      <c r="AU59" s="1">
        <v>67200</v>
      </c>
      <c r="AV59" s="1">
        <v>37</v>
      </c>
      <c r="AW59" s="1">
        <v>67200</v>
      </c>
      <c r="AX59" s="1">
        <v>37</v>
      </c>
      <c r="AY59" s="1">
        <v>67200</v>
      </c>
      <c r="AZ59" s="1">
        <v>36</v>
      </c>
      <c r="BA59" s="1">
        <v>13561</v>
      </c>
      <c r="BB59" s="1">
        <v>38</v>
      </c>
      <c r="BC59" s="1">
        <v>67200</v>
      </c>
      <c r="BD59" s="1">
        <v>37</v>
      </c>
      <c r="BE59" s="1">
        <v>67200</v>
      </c>
      <c r="BF59" s="1">
        <v>37</v>
      </c>
      <c r="BG59" s="1">
        <v>67200</v>
      </c>
      <c r="BH59" s="1">
        <v>38</v>
      </c>
      <c r="BI59" s="1">
        <v>67200</v>
      </c>
    </row>
    <row r="60" spans="1:61" x14ac:dyDescent="0.3">
      <c r="A60" s="9" t="s">
        <v>66</v>
      </c>
      <c r="B60" s="4">
        <v>110</v>
      </c>
      <c r="C60" s="4">
        <v>8</v>
      </c>
      <c r="D60" s="45">
        <v>55</v>
      </c>
      <c r="E60" s="56">
        <v>58</v>
      </c>
      <c r="F60" s="45">
        <v>122355</v>
      </c>
      <c r="G60" s="56">
        <v>58</v>
      </c>
      <c r="H60" s="15">
        <v>115062</v>
      </c>
      <c r="I60" s="56">
        <v>58</v>
      </c>
      <c r="J60" s="15">
        <v>123856</v>
      </c>
      <c r="K60" s="56">
        <v>58</v>
      </c>
      <c r="L60" s="15">
        <v>112071</v>
      </c>
      <c r="M60" s="56">
        <v>58</v>
      </c>
      <c r="N60" s="15">
        <v>117125</v>
      </c>
      <c r="O60" s="56">
        <v>58</v>
      </c>
      <c r="P60" s="45">
        <v>113918</v>
      </c>
      <c r="Q60" s="56">
        <v>58</v>
      </c>
      <c r="R60" s="15">
        <v>113457</v>
      </c>
      <c r="S60" s="56">
        <v>58</v>
      </c>
      <c r="T60" s="15">
        <v>115994</v>
      </c>
      <c r="U60" s="56">
        <v>58</v>
      </c>
      <c r="V60" s="15">
        <v>115697</v>
      </c>
      <c r="W60" s="56">
        <v>58</v>
      </c>
      <c r="X60" s="15">
        <v>120919</v>
      </c>
      <c r="Y60" s="77">
        <v>58</v>
      </c>
      <c r="Z60" s="56">
        <v>68.099999999999994</v>
      </c>
      <c r="AA60" s="4">
        <v>66</v>
      </c>
      <c r="AB60" s="4">
        <v>23.8</v>
      </c>
      <c r="AC60" s="15">
        <v>131.49</v>
      </c>
      <c r="AD60" s="56">
        <v>64.3</v>
      </c>
      <c r="AE60" s="4">
        <v>59</v>
      </c>
      <c r="AF60" s="4">
        <v>16.899999999999999</v>
      </c>
      <c r="AG60" s="15">
        <v>88</v>
      </c>
      <c r="AH60" s="56">
        <f t="shared" si="4"/>
        <v>59.9</v>
      </c>
      <c r="AI60" s="23">
        <f t="shared" si="5"/>
        <v>58</v>
      </c>
      <c r="AJ60" s="17">
        <f t="shared" si="6"/>
        <v>8.9090909090909068E-2</v>
      </c>
      <c r="AK60" s="15">
        <f t="shared" si="11"/>
        <v>88</v>
      </c>
      <c r="AL60" s="55">
        <f t="shared" si="7"/>
        <v>58</v>
      </c>
      <c r="AM60" s="12">
        <f t="shared" si="8"/>
        <v>58</v>
      </c>
      <c r="AN60" s="18">
        <f t="shared" si="9"/>
        <v>5.4545454545454543E-2</v>
      </c>
      <c r="AO60" s="16">
        <f t="shared" si="10"/>
        <v>117.0454</v>
      </c>
      <c r="AP60" s="1">
        <v>60</v>
      </c>
      <c r="AQ60" s="1">
        <v>88000</v>
      </c>
      <c r="AR60" s="1">
        <v>59</v>
      </c>
      <c r="AS60" s="1">
        <v>88000</v>
      </c>
      <c r="AT60" s="1">
        <v>61</v>
      </c>
      <c r="AU60" s="1">
        <v>88000</v>
      </c>
      <c r="AV60" s="1">
        <v>62</v>
      </c>
      <c r="AW60" s="1">
        <v>88000</v>
      </c>
      <c r="AX60" s="1">
        <v>59</v>
      </c>
      <c r="AY60" s="1">
        <v>88000</v>
      </c>
      <c r="AZ60" s="1">
        <v>58</v>
      </c>
      <c r="BA60" s="1">
        <v>88000</v>
      </c>
      <c r="BB60" s="1">
        <v>59</v>
      </c>
      <c r="BC60" s="1">
        <v>88000</v>
      </c>
      <c r="BD60" s="1">
        <v>60</v>
      </c>
      <c r="BE60" s="1">
        <v>88000</v>
      </c>
      <c r="BF60" s="1">
        <v>59</v>
      </c>
      <c r="BG60" s="1">
        <v>88000</v>
      </c>
      <c r="BH60" s="1">
        <v>62</v>
      </c>
      <c r="BI60" s="1">
        <v>88000</v>
      </c>
    </row>
    <row r="61" spans="1:61" x14ac:dyDescent="0.3">
      <c r="A61" s="9" t="s">
        <v>67</v>
      </c>
      <c r="B61" s="4">
        <v>128</v>
      </c>
      <c r="C61" s="4">
        <v>8</v>
      </c>
      <c r="D61" s="45">
        <v>42</v>
      </c>
      <c r="E61" s="89">
        <v>42</v>
      </c>
      <c r="F61" s="45">
        <v>1980</v>
      </c>
      <c r="G61" s="89">
        <v>42</v>
      </c>
      <c r="H61" s="15">
        <v>1816</v>
      </c>
      <c r="I61" s="89">
        <v>42</v>
      </c>
      <c r="J61" s="15">
        <v>94</v>
      </c>
      <c r="K61" s="89">
        <v>42</v>
      </c>
      <c r="L61" s="15">
        <v>19</v>
      </c>
      <c r="M61" s="89">
        <v>42</v>
      </c>
      <c r="N61" s="15">
        <v>159</v>
      </c>
      <c r="O61" s="56">
        <v>43</v>
      </c>
      <c r="P61" s="45">
        <v>154862</v>
      </c>
      <c r="Q61" s="89">
        <v>42</v>
      </c>
      <c r="R61" s="15">
        <v>17812</v>
      </c>
      <c r="S61" s="89">
        <v>42</v>
      </c>
      <c r="T61" s="15">
        <v>1892</v>
      </c>
      <c r="U61" s="89">
        <v>42</v>
      </c>
      <c r="V61" s="15">
        <v>73893</v>
      </c>
      <c r="W61" s="89">
        <v>42</v>
      </c>
      <c r="X61" s="15">
        <v>23542</v>
      </c>
      <c r="Y61" s="86">
        <v>42</v>
      </c>
      <c r="Z61" s="56">
        <v>49.1</v>
      </c>
      <c r="AA61" s="4">
        <v>48</v>
      </c>
      <c r="AB61" s="4">
        <v>16.899999999999999</v>
      </c>
      <c r="AC61" s="15">
        <v>131.34</v>
      </c>
      <c r="AD61" s="56">
        <v>43.6</v>
      </c>
      <c r="AE61" s="4">
        <v>43</v>
      </c>
      <c r="AF61" s="4">
        <v>3.8</v>
      </c>
      <c r="AG61" s="15">
        <v>61.44</v>
      </c>
      <c r="AH61" s="56">
        <f t="shared" si="4"/>
        <v>45.3</v>
      </c>
      <c r="AI61" s="34">
        <f t="shared" si="5"/>
        <v>44</v>
      </c>
      <c r="AJ61" s="17">
        <f t="shared" si="6"/>
        <v>7.85714285714285E-2</v>
      </c>
      <c r="AK61" s="15">
        <f t="shared" si="11"/>
        <v>102.4</v>
      </c>
      <c r="AL61" s="55">
        <f t="shared" si="7"/>
        <v>42.1</v>
      </c>
      <c r="AM61" s="107">
        <f t="shared" si="8"/>
        <v>42</v>
      </c>
      <c r="AN61" s="18">
        <f t="shared" si="9"/>
        <v>2.380952380952415E-3</v>
      </c>
      <c r="AO61" s="16">
        <f t="shared" si="10"/>
        <v>27.606900000000003</v>
      </c>
      <c r="AP61" s="1">
        <v>46</v>
      </c>
      <c r="AQ61" s="1">
        <v>102400</v>
      </c>
      <c r="AR61" s="1">
        <v>44</v>
      </c>
      <c r="AS61" s="1">
        <v>102400</v>
      </c>
      <c r="AT61" s="1">
        <v>46</v>
      </c>
      <c r="AU61" s="1">
        <v>102400</v>
      </c>
      <c r="AV61" s="1">
        <v>44</v>
      </c>
      <c r="AW61" s="1">
        <v>102400</v>
      </c>
      <c r="AX61" s="1">
        <v>46</v>
      </c>
      <c r="AY61" s="1">
        <v>102400</v>
      </c>
      <c r="AZ61" s="1">
        <v>46</v>
      </c>
      <c r="BA61" s="1">
        <v>102400</v>
      </c>
      <c r="BB61" s="1">
        <v>45</v>
      </c>
      <c r="BC61" s="1">
        <v>102400</v>
      </c>
      <c r="BD61" s="1">
        <v>45</v>
      </c>
      <c r="BE61" s="1">
        <v>102400</v>
      </c>
      <c r="BF61" s="1">
        <v>46</v>
      </c>
      <c r="BG61" s="1">
        <v>102400</v>
      </c>
      <c r="BH61" s="1">
        <v>45</v>
      </c>
      <c r="BI61" s="1">
        <v>102400</v>
      </c>
    </row>
    <row r="62" spans="1:61" x14ac:dyDescent="0.3">
      <c r="A62" s="9" t="s">
        <v>68</v>
      </c>
      <c r="B62" s="4">
        <v>90</v>
      </c>
      <c r="C62" s="4">
        <v>8</v>
      </c>
      <c r="D62" s="45">
        <v>32</v>
      </c>
      <c r="E62" s="56">
        <v>34</v>
      </c>
      <c r="F62" s="45">
        <v>81674</v>
      </c>
      <c r="G62" s="56">
        <v>34</v>
      </c>
      <c r="H62" s="15">
        <v>85197</v>
      </c>
      <c r="I62" s="56">
        <v>34</v>
      </c>
      <c r="J62" s="15">
        <v>79696</v>
      </c>
      <c r="K62" s="56">
        <v>34</v>
      </c>
      <c r="L62" s="15">
        <v>80238</v>
      </c>
      <c r="M62" s="56">
        <v>34</v>
      </c>
      <c r="N62" s="15">
        <v>79055</v>
      </c>
      <c r="O62" s="56">
        <v>34</v>
      </c>
      <c r="P62" s="45">
        <v>80975</v>
      </c>
      <c r="Q62" s="56">
        <v>34</v>
      </c>
      <c r="R62" s="15">
        <v>83644</v>
      </c>
      <c r="S62" s="56">
        <v>34</v>
      </c>
      <c r="T62" s="15">
        <v>86016</v>
      </c>
      <c r="U62" s="56">
        <v>34</v>
      </c>
      <c r="V62" s="15">
        <v>82571</v>
      </c>
      <c r="W62" s="56">
        <v>34</v>
      </c>
      <c r="X62" s="15">
        <v>79510</v>
      </c>
      <c r="Y62" s="77">
        <v>34</v>
      </c>
      <c r="Z62" s="56">
        <v>38.799999999999997</v>
      </c>
      <c r="AA62" s="4">
        <v>38</v>
      </c>
      <c r="AB62" s="4">
        <v>21.3</v>
      </c>
      <c r="AC62" s="15">
        <v>56.64</v>
      </c>
      <c r="AD62" s="56">
        <v>37.299999999999997</v>
      </c>
      <c r="AE62" s="4">
        <v>36</v>
      </c>
      <c r="AF62" s="4">
        <v>16.600000000000001</v>
      </c>
      <c r="AG62" s="15">
        <v>72</v>
      </c>
      <c r="AH62" s="56">
        <f t="shared" si="4"/>
        <v>35.200000000000003</v>
      </c>
      <c r="AI62" s="23">
        <f t="shared" si="5"/>
        <v>34</v>
      </c>
      <c r="AJ62" s="17">
        <f t="shared" si="6"/>
        <v>0.10000000000000009</v>
      </c>
      <c r="AK62" s="15">
        <f t="shared" si="11"/>
        <v>72</v>
      </c>
      <c r="AL62" s="55">
        <f t="shared" si="7"/>
        <v>34</v>
      </c>
      <c r="AM62" s="12">
        <f t="shared" si="8"/>
        <v>34</v>
      </c>
      <c r="AN62" s="18">
        <f t="shared" si="9"/>
        <v>6.25E-2</v>
      </c>
      <c r="AO62" s="16">
        <f t="shared" si="10"/>
        <v>81.857600000000005</v>
      </c>
      <c r="AP62" s="1">
        <v>35</v>
      </c>
      <c r="AQ62" s="1">
        <v>72000</v>
      </c>
      <c r="AR62" s="1">
        <v>36</v>
      </c>
      <c r="AS62" s="1">
        <v>72000</v>
      </c>
      <c r="AT62" s="1">
        <v>36</v>
      </c>
      <c r="AU62" s="1">
        <v>72000</v>
      </c>
      <c r="AV62" s="1">
        <v>34</v>
      </c>
      <c r="AW62" s="1">
        <v>72000</v>
      </c>
      <c r="AX62" s="1">
        <v>35</v>
      </c>
      <c r="AY62" s="1">
        <v>72000</v>
      </c>
      <c r="AZ62" s="1">
        <v>36</v>
      </c>
      <c r="BA62" s="1">
        <v>72000</v>
      </c>
      <c r="BB62" s="1">
        <v>36</v>
      </c>
      <c r="BC62" s="1">
        <v>72000</v>
      </c>
      <c r="BD62" s="1">
        <v>34</v>
      </c>
      <c r="BE62" s="1">
        <v>72000</v>
      </c>
      <c r="BF62" s="1">
        <v>34</v>
      </c>
      <c r="BG62" s="1">
        <v>72000</v>
      </c>
      <c r="BH62" s="1">
        <v>36</v>
      </c>
      <c r="BI62" s="1">
        <v>72000</v>
      </c>
    </row>
    <row r="63" spans="1:61" x14ac:dyDescent="0.3">
      <c r="A63" s="9" t="s">
        <v>69</v>
      </c>
      <c r="B63" s="4">
        <v>102</v>
      </c>
      <c r="C63" s="4">
        <v>8</v>
      </c>
      <c r="D63" s="45">
        <v>45</v>
      </c>
      <c r="E63" s="56">
        <v>45</v>
      </c>
      <c r="F63" s="45">
        <v>17</v>
      </c>
      <c r="G63" s="56">
        <v>45</v>
      </c>
      <c r="H63" s="15">
        <v>16</v>
      </c>
      <c r="I63" s="56">
        <v>45</v>
      </c>
      <c r="J63" s="15">
        <v>16</v>
      </c>
      <c r="K63" s="56">
        <v>45</v>
      </c>
      <c r="L63" s="15">
        <v>17</v>
      </c>
      <c r="M63" s="56">
        <v>45</v>
      </c>
      <c r="N63" s="15">
        <v>14</v>
      </c>
      <c r="O63" s="56">
        <v>45</v>
      </c>
      <c r="P63" s="45">
        <v>18</v>
      </c>
      <c r="Q63" s="56">
        <v>45</v>
      </c>
      <c r="R63" s="15">
        <v>16</v>
      </c>
      <c r="S63" s="56">
        <v>45</v>
      </c>
      <c r="T63" s="15">
        <v>16</v>
      </c>
      <c r="U63" s="56">
        <v>45</v>
      </c>
      <c r="V63" s="15">
        <v>17</v>
      </c>
      <c r="W63" s="56">
        <v>45</v>
      </c>
      <c r="X63" s="15">
        <v>14</v>
      </c>
      <c r="Y63" s="77">
        <v>45</v>
      </c>
      <c r="Z63" s="56">
        <v>47.8</v>
      </c>
      <c r="AA63" s="4">
        <v>47</v>
      </c>
      <c r="AB63" s="4">
        <v>6.2</v>
      </c>
      <c r="AC63" s="15">
        <v>83.84</v>
      </c>
      <c r="AD63" s="56">
        <v>45</v>
      </c>
      <c r="AE63" s="4">
        <v>45</v>
      </c>
      <c r="AF63" s="4">
        <v>0</v>
      </c>
      <c r="AG63" s="15">
        <v>0</v>
      </c>
      <c r="AH63" s="56">
        <f t="shared" si="4"/>
        <v>45</v>
      </c>
      <c r="AI63" s="4">
        <f t="shared" si="5"/>
        <v>45</v>
      </c>
      <c r="AJ63" s="17">
        <f t="shared" si="6"/>
        <v>0</v>
      </c>
      <c r="AK63" s="15">
        <f t="shared" si="11"/>
        <v>0.29170000000000001</v>
      </c>
      <c r="AL63" s="55">
        <f t="shared" si="7"/>
        <v>45</v>
      </c>
      <c r="AM63" s="12">
        <f t="shared" si="8"/>
        <v>45</v>
      </c>
      <c r="AN63" s="18">
        <f t="shared" si="9"/>
        <v>0</v>
      </c>
      <c r="AO63" s="16">
        <f t="shared" si="10"/>
        <v>1.61E-2</v>
      </c>
      <c r="AP63" s="1">
        <v>45</v>
      </c>
      <c r="AQ63" s="1">
        <v>284</v>
      </c>
      <c r="AR63" s="1">
        <v>45</v>
      </c>
      <c r="AS63" s="1">
        <v>300</v>
      </c>
      <c r="AT63" s="1">
        <v>45</v>
      </c>
      <c r="AU63" s="1">
        <v>287</v>
      </c>
      <c r="AV63" s="1">
        <v>45</v>
      </c>
      <c r="AW63" s="1">
        <v>294</v>
      </c>
      <c r="AX63" s="1">
        <v>45</v>
      </c>
      <c r="AY63" s="1">
        <v>300</v>
      </c>
      <c r="AZ63" s="1">
        <v>45</v>
      </c>
      <c r="BA63" s="1">
        <v>291</v>
      </c>
      <c r="BB63" s="1">
        <v>45</v>
      </c>
      <c r="BC63" s="1">
        <v>289</v>
      </c>
      <c r="BD63" s="1">
        <v>45</v>
      </c>
      <c r="BE63" s="1">
        <v>294</v>
      </c>
      <c r="BF63" s="1">
        <v>45</v>
      </c>
      <c r="BG63" s="1">
        <v>284</v>
      </c>
      <c r="BH63" s="1">
        <v>45</v>
      </c>
      <c r="BI63" s="1">
        <v>294</v>
      </c>
    </row>
    <row r="64" spans="1:61" x14ac:dyDescent="0.3">
      <c r="A64" s="9" t="s">
        <v>70</v>
      </c>
      <c r="B64" s="4">
        <v>92</v>
      </c>
      <c r="C64" s="4">
        <v>8</v>
      </c>
      <c r="D64" s="45">
        <v>60</v>
      </c>
      <c r="E64" s="89">
        <v>60</v>
      </c>
      <c r="F64" s="45">
        <v>74065</v>
      </c>
      <c r="G64" s="56">
        <v>61</v>
      </c>
      <c r="H64" s="15">
        <v>87043</v>
      </c>
      <c r="I64" s="89">
        <v>60</v>
      </c>
      <c r="J64" s="15">
        <v>3167</v>
      </c>
      <c r="K64" s="89">
        <v>60</v>
      </c>
      <c r="L64" s="15">
        <v>15263</v>
      </c>
      <c r="M64" s="89">
        <v>60</v>
      </c>
      <c r="N64" s="15">
        <v>12358</v>
      </c>
      <c r="O64" s="89">
        <v>60</v>
      </c>
      <c r="P64" s="45">
        <v>13295</v>
      </c>
      <c r="Q64" s="89">
        <v>60</v>
      </c>
      <c r="R64" s="15">
        <v>10249</v>
      </c>
      <c r="S64" s="56">
        <v>61</v>
      </c>
      <c r="T64" s="15">
        <v>86762</v>
      </c>
      <c r="U64" s="89">
        <v>60</v>
      </c>
      <c r="V64" s="15">
        <v>3562</v>
      </c>
      <c r="W64" s="89">
        <v>60</v>
      </c>
      <c r="X64" s="15">
        <v>2976</v>
      </c>
      <c r="Y64" s="86">
        <v>60</v>
      </c>
      <c r="Z64" s="56">
        <v>68.8</v>
      </c>
      <c r="AA64" s="4">
        <v>67</v>
      </c>
      <c r="AB64" s="4">
        <v>14.7</v>
      </c>
      <c r="AC64" s="15">
        <v>93.43</v>
      </c>
      <c r="AD64" s="56">
        <v>62.8</v>
      </c>
      <c r="AE64" s="4">
        <v>61</v>
      </c>
      <c r="AF64" s="4">
        <v>4.7</v>
      </c>
      <c r="AG64" s="15">
        <v>73.599999999999994</v>
      </c>
      <c r="AH64" s="56">
        <f t="shared" si="4"/>
        <v>62.8</v>
      </c>
      <c r="AI64" s="4">
        <f t="shared" si="5"/>
        <v>61</v>
      </c>
      <c r="AJ64" s="17">
        <f t="shared" si="6"/>
        <v>4.666666666666662E-2</v>
      </c>
      <c r="AK64" s="15">
        <f t="shared" si="11"/>
        <v>73.599999999999994</v>
      </c>
      <c r="AL64" s="55">
        <f t="shared" si="7"/>
        <v>60.2</v>
      </c>
      <c r="AM64" s="107">
        <f t="shared" si="8"/>
        <v>60</v>
      </c>
      <c r="AN64" s="18">
        <f t="shared" si="9"/>
        <v>3.3333333333333808E-3</v>
      </c>
      <c r="AO64" s="16">
        <f t="shared" si="10"/>
        <v>30.873999999999999</v>
      </c>
      <c r="AP64" s="1">
        <v>63</v>
      </c>
      <c r="AQ64" s="1">
        <v>73600</v>
      </c>
      <c r="AR64" s="1">
        <v>63</v>
      </c>
      <c r="AS64" s="1">
        <v>73600</v>
      </c>
      <c r="AT64" s="1">
        <v>64</v>
      </c>
      <c r="AU64" s="1">
        <v>73600</v>
      </c>
      <c r="AV64" s="1">
        <v>63</v>
      </c>
      <c r="AW64" s="1">
        <v>73600</v>
      </c>
      <c r="AX64" s="1">
        <v>61</v>
      </c>
      <c r="AY64" s="1">
        <v>73600</v>
      </c>
      <c r="AZ64" s="1">
        <v>63</v>
      </c>
      <c r="BA64" s="1">
        <v>73600</v>
      </c>
      <c r="BB64" s="1">
        <v>63</v>
      </c>
      <c r="BC64" s="1">
        <v>73600</v>
      </c>
      <c r="BD64" s="1">
        <v>64</v>
      </c>
      <c r="BE64" s="1">
        <v>73600</v>
      </c>
      <c r="BF64" s="1">
        <v>62</v>
      </c>
      <c r="BG64" s="1">
        <v>73600</v>
      </c>
      <c r="BH64" s="1">
        <v>62</v>
      </c>
      <c r="BI64" s="1">
        <v>73600</v>
      </c>
    </row>
    <row r="65" spans="1:61" x14ac:dyDescent="0.3">
      <c r="A65" s="9" t="s">
        <v>71</v>
      </c>
      <c r="B65" s="4">
        <v>101</v>
      </c>
      <c r="C65" s="4">
        <v>8</v>
      </c>
      <c r="D65" s="45">
        <v>35</v>
      </c>
      <c r="E65" s="56">
        <v>36</v>
      </c>
      <c r="F65" s="45">
        <v>98807</v>
      </c>
      <c r="G65" s="56">
        <v>36</v>
      </c>
      <c r="H65" s="15">
        <v>101236</v>
      </c>
      <c r="I65" s="56">
        <v>36</v>
      </c>
      <c r="J65" s="15">
        <v>96951</v>
      </c>
      <c r="K65" s="56">
        <v>36</v>
      </c>
      <c r="L65" s="15">
        <v>103718</v>
      </c>
      <c r="M65" s="56">
        <v>36</v>
      </c>
      <c r="N65" s="15">
        <v>102399</v>
      </c>
      <c r="O65" s="56">
        <v>36</v>
      </c>
      <c r="P65" s="45">
        <v>90951</v>
      </c>
      <c r="Q65" s="56">
        <v>36</v>
      </c>
      <c r="R65" s="15">
        <v>94249</v>
      </c>
      <c r="S65" s="56">
        <v>36</v>
      </c>
      <c r="T65" s="15">
        <v>97058</v>
      </c>
      <c r="U65" s="56">
        <v>36</v>
      </c>
      <c r="V65" s="15">
        <v>97463</v>
      </c>
      <c r="W65" s="56">
        <v>36</v>
      </c>
      <c r="X65" s="15">
        <v>93198</v>
      </c>
      <c r="Y65" s="77">
        <v>36</v>
      </c>
      <c r="Z65" s="56">
        <v>41.6</v>
      </c>
      <c r="AA65" s="4">
        <v>41</v>
      </c>
      <c r="AB65" s="4">
        <v>18.899999999999999</v>
      </c>
      <c r="AC65" s="15">
        <v>73.63</v>
      </c>
      <c r="AD65" s="56">
        <v>38.1</v>
      </c>
      <c r="AE65" s="4">
        <v>36</v>
      </c>
      <c r="AF65" s="4">
        <v>8.9</v>
      </c>
      <c r="AG65" s="15">
        <v>80.8</v>
      </c>
      <c r="AH65" s="56">
        <f t="shared" si="4"/>
        <v>37.799999999999997</v>
      </c>
      <c r="AI65" s="4">
        <f t="shared" si="5"/>
        <v>36</v>
      </c>
      <c r="AJ65" s="17">
        <f t="shared" si="6"/>
        <v>7.9999999999999918E-2</v>
      </c>
      <c r="AK65" s="15">
        <f t="shared" si="11"/>
        <v>80.8</v>
      </c>
      <c r="AL65" s="55">
        <f t="shared" si="7"/>
        <v>36</v>
      </c>
      <c r="AM65" s="12">
        <f t="shared" si="8"/>
        <v>36</v>
      </c>
      <c r="AN65" s="18">
        <f t="shared" si="9"/>
        <v>2.8571428571428571E-2</v>
      </c>
      <c r="AO65" s="16">
        <f t="shared" si="10"/>
        <v>97.602999999999994</v>
      </c>
      <c r="AP65" s="1">
        <v>36</v>
      </c>
      <c r="AQ65" s="1">
        <v>80800</v>
      </c>
      <c r="AR65" s="1">
        <v>39</v>
      </c>
      <c r="AS65" s="1">
        <v>80800</v>
      </c>
      <c r="AT65" s="1">
        <v>37</v>
      </c>
      <c r="AU65" s="1">
        <v>80800</v>
      </c>
      <c r="AV65" s="1">
        <v>38</v>
      </c>
      <c r="AW65" s="1">
        <v>80800</v>
      </c>
      <c r="AX65" s="1">
        <v>38</v>
      </c>
      <c r="AY65" s="1">
        <v>80800</v>
      </c>
      <c r="AZ65" s="1">
        <v>38</v>
      </c>
      <c r="BA65" s="1">
        <v>80800</v>
      </c>
      <c r="BB65" s="1">
        <v>38</v>
      </c>
      <c r="BC65" s="1">
        <v>80800</v>
      </c>
      <c r="BD65" s="1">
        <v>38</v>
      </c>
      <c r="BE65" s="1">
        <v>80800</v>
      </c>
      <c r="BF65" s="1">
        <v>38</v>
      </c>
      <c r="BG65" s="1">
        <v>80800</v>
      </c>
      <c r="BH65" s="1">
        <v>38</v>
      </c>
      <c r="BI65" s="1">
        <v>80800</v>
      </c>
    </row>
    <row r="66" spans="1:61" x14ac:dyDescent="0.3">
      <c r="A66" s="9" t="s">
        <v>72</v>
      </c>
      <c r="B66" s="4">
        <v>72</v>
      </c>
      <c r="C66" s="4">
        <v>8</v>
      </c>
      <c r="D66" s="45">
        <v>84</v>
      </c>
      <c r="E66" s="56">
        <v>84</v>
      </c>
      <c r="F66" s="45">
        <v>12</v>
      </c>
      <c r="G66" s="56">
        <v>84</v>
      </c>
      <c r="H66" s="15">
        <v>12</v>
      </c>
      <c r="I66" s="56">
        <v>84</v>
      </c>
      <c r="J66" s="15">
        <v>36</v>
      </c>
      <c r="K66" s="56">
        <v>84</v>
      </c>
      <c r="L66" s="15">
        <v>32</v>
      </c>
      <c r="M66" s="56">
        <v>84</v>
      </c>
      <c r="N66" s="15">
        <v>34</v>
      </c>
      <c r="O66" s="56">
        <v>84</v>
      </c>
      <c r="P66" s="45">
        <v>11</v>
      </c>
      <c r="Q66" s="56">
        <v>84</v>
      </c>
      <c r="R66" s="15">
        <v>12</v>
      </c>
      <c r="S66" s="56">
        <v>84</v>
      </c>
      <c r="T66" s="15">
        <v>12</v>
      </c>
      <c r="U66" s="56">
        <v>84</v>
      </c>
      <c r="V66" s="15">
        <v>11</v>
      </c>
      <c r="W66" s="56">
        <v>84</v>
      </c>
      <c r="X66" s="15">
        <v>32</v>
      </c>
      <c r="Y66" s="77">
        <v>84</v>
      </c>
      <c r="Z66" s="56">
        <v>93.9</v>
      </c>
      <c r="AA66" s="4">
        <v>92</v>
      </c>
      <c r="AB66" s="4">
        <v>11.8</v>
      </c>
      <c r="AC66" s="15">
        <v>78.31</v>
      </c>
      <c r="AD66" s="56">
        <v>85.1</v>
      </c>
      <c r="AE66" s="4">
        <v>84</v>
      </c>
      <c r="AF66" s="4">
        <v>1.3</v>
      </c>
      <c r="AG66" s="15">
        <v>28.8</v>
      </c>
      <c r="AH66" s="56">
        <f t="shared" si="4"/>
        <v>85.3</v>
      </c>
      <c r="AI66" s="4">
        <f t="shared" si="5"/>
        <v>84</v>
      </c>
      <c r="AJ66" s="17">
        <f t="shared" si="6"/>
        <v>1.5476190476190442E-2</v>
      </c>
      <c r="AK66" s="15">
        <f t="shared" si="11"/>
        <v>40.368400000000001</v>
      </c>
      <c r="AL66" s="55">
        <f t="shared" si="7"/>
        <v>84</v>
      </c>
      <c r="AM66" s="12">
        <f t="shared" si="8"/>
        <v>84</v>
      </c>
      <c r="AN66" s="18">
        <f t="shared" si="9"/>
        <v>0</v>
      </c>
      <c r="AO66" s="16">
        <f t="shared" si="10"/>
        <v>2.0399999999999998E-2</v>
      </c>
      <c r="AP66" s="1">
        <v>87</v>
      </c>
      <c r="AQ66" s="1">
        <v>57600</v>
      </c>
      <c r="AR66" s="1">
        <v>86</v>
      </c>
      <c r="AS66" s="1">
        <v>57600</v>
      </c>
      <c r="AT66" s="1">
        <v>85</v>
      </c>
      <c r="AU66" s="1">
        <v>57600</v>
      </c>
      <c r="AV66" s="1">
        <v>86</v>
      </c>
      <c r="AW66" s="1">
        <v>57600</v>
      </c>
      <c r="AX66" s="1">
        <v>84</v>
      </c>
      <c r="AY66" s="1">
        <v>166</v>
      </c>
      <c r="AZ66" s="1">
        <v>85</v>
      </c>
      <c r="BA66" s="1">
        <v>57600</v>
      </c>
      <c r="BB66" s="1">
        <v>84</v>
      </c>
      <c r="BC66" s="1">
        <v>178</v>
      </c>
      <c r="BD66" s="1">
        <v>87</v>
      </c>
      <c r="BE66" s="1">
        <v>57600</v>
      </c>
      <c r="BF66" s="1">
        <v>85</v>
      </c>
      <c r="BG66" s="1">
        <v>57600</v>
      </c>
      <c r="BH66" s="1">
        <v>84</v>
      </c>
      <c r="BI66" s="1">
        <v>140</v>
      </c>
    </row>
    <row r="67" spans="1:61" x14ac:dyDescent="0.3">
      <c r="A67" s="9" t="s">
        <v>73</v>
      </c>
      <c r="B67" s="4">
        <v>100</v>
      </c>
      <c r="C67" s="4">
        <v>8</v>
      </c>
      <c r="D67" s="45">
        <v>60</v>
      </c>
      <c r="E67" s="89">
        <v>60</v>
      </c>
      <c r="F67" s="45">
        <v>12269</v>
      </c>
      <c r="G67" s="89">
        <v>60</v>
      </c>
      <c r="H67" s="15">
        <v>9442</v>
      </c>
      <c r="I67" s="89">
        <v>60</v>
      </c>
      <c r="J67" s="15">
        <v>19971</v>
      </c>
      <c r="K67" s="89">
        <v>60</v>
      </c>
      <c r="L67" s="15">
        <v>10231</v>
      </c>
      <c r="M67" s="89">
        <v>60</v>
      </c>
      <c r="N67" s="15">
        <v>14913</v>
      </c>
      <c r="O67" s="89">
        <v>60</v>
      </c>
      <c r="P67" s="45">
        <v>18035</v>
      </c>
      <c r="Q67" s="89">
        <v>60</v>
      </c>
      <c r="R67" s="15">
        <v>2531</v>
      </c>
      <c r="S67" s="89">
        <v>60</v>
      </c>
      <c r="T67" s="15">
        <v>1000</v>
      </c>
      <c r="U67" s="89">
        <v>60</v>
      </c>
      <c r="V67" s="15">
        <v>55</v>
      </c>
      <c r="W67" s="89">
        <v>60</v>
      </c>
      <c r="X67" s="15">
        <v>79955</v>
      </c>
      <c r="Y67" s="86">
        <v>60</v>
      </c>
      <c r="Z67" s="56">
        <v>69.3</v>
      </c>
      <c r="AA67" s="4">
        <v>68</v>
      </c>
      <c r="AB67" s="4">
        <v>15.5</v>
      </c>
      <c r="AC67" s="15">
        <v>113.01</v>
      </c>
      <c r="AD67" s="56">
        <v>61.9</v>
      </c>
      <c r="AE67" s="4">
        <v>61</v>
      </c>
      <c r="AF67" s="4">
        <v>3.2</v>
      </c>
      <c r="AG67" s="15">
        <v>32</v>
      </c>
      <c r="AH67" s="56">
        <f t="shared" si="4"/>
        <v>62.4</v>
      </c>
      <c r="AI67" s="34">
        <f t="shared" si="5"/>
        <v>62</v>
      </c>
      <c r="AJ67" s="17">
        <f t="shared" si="6"/>
        <v>3.9999999999999973E-2</v>
      </c>
      <c r="AK67" s="15">
        <f t="shared" ref="AK67:AK102" si="12">AVERAGE(AQ67,AS67,AU67,AW67,AY67,BA67,BC67,BE67,BG67,BI67)/1000</f>
        <v>80</v>
      </c>
      <c r="AL67" s="55">
        <f t="shared" si="7"/>
        <v>60</v>
      </c>
      <c r="AM67" s="107">
        <f t="shared" si="8"/>
        <v>60</v>
      </c>
      <c r="AN67" s="18">
        <f t="shared" si="9"/>
        <v>0</v>
      </c>
      <c r="AO67" s="16">
        <f t="shared" si="10"/>
        <v>16.840199999999999</v>
      </c>
      <c r="AP67" s="1">
        <v>63</v>
      </c>
      <c r="AQ67" s="1">
        <v>80000</v>
      </c>
      <c r="AR67" s="1">
        <v>62</v>
      </c>
      <c r="AS67" s="1">
        <v>80000</v>
      </c>
      <c r="AT67" s="1">
        <v>62</v>
      </c>
      <c r="AU67" s="1">
        <v>80000</v>
      </c>
      <c r="AV67" s="1">
        <v>63</v>
      </c>
      <c r="AW67" s="1">
        <v>80000</v>
      </c>
      <c r="AX67" s="1">
        <v>62</v>
      </c>
      <c r="AY67" s="1">
        <v>80000</v>
      </c>
      <c r="AZ67" s="1">
        <v>63</v>
      </c>
      <c r="BA67" s="1">
        <v>80000</v>
      </c>
      <c r="BB67" s="1">
        <v>62</v>
      </c>
      <c r="BC67" s="1">
        <v>80000</v>
      </c>
      <c r="BD67" s="1">
        <v>62</v>
      </c>
      <c r="BE67" s="1">
        <v>80000</v>
      </c>
      <c r="BF67" s="1">
        <v>63</v>
      </c>
      <c r="BG67" s="1">
        <v>80000</v>
      </c>
      <c r="BH67" s="1">
        <v>62</v>
      </c>
      <c r="BI67" s="1">
        <v>80000</v>
      </c>
    </row>
    <row r="68" spans="1:61" x14ac:dyDescent="0.3">
      <c r="A68" s="9" t="s">
        <v>74</v>
      </c>
      <c r="B68" s="4">
        <v>81</v>
      </c>
      <c r="C68" s="4">
        <v>8</v>
      </c>
      <c r="D68" s="45">
        <v>70</v>
      </c>
      <c r="E68" s="89">
        <v>75</v>
      </c>
      <c r="F68" s="45">
        <v>68779</v>
      </c>
      <c r="G68" s="89">
        <v>75</v>
      </c>
      <c r="H68" s="15">
        <v>69714</v>
      </c>
      <c r="I68" s="89">
        <v>75</v>
      </c>
      <c r="J68" s="15">
        <v>68274</v>
      </c>
      <c r="K68" s="89">
        <v>75</v>
      </c>
      <c r="L68" s="15">
        <v>68657</v>
      </c>
      <c r="M68" s="89">
        <v>75</v>
      </c>
      <c r="N68" s="15">
        <v>69913</v>
      </c>
      <c r="O68" s="89">
        <v>75</v>
      </c>
      <c r="P68" s="45">
        <v>76827</v>
      </c>
      <c r="Q68" s="89">
        <v>75</v>
      </c>
      <c r="R68" s="15">
        <v>68975</v>
      </c>
      <c r="S68" s="89">
        <v>75</v>
      </c>
      <c r="T68" s="15">
        <v>70110</v>
      </c>
      <c r="U68" s="89">
        <v>75</v>
      </c>
      <c r="V68" s="15">
        <v>71338</v>
      </c>
      <c r="W68" s="89">
        <v>75</v>
      </c>
      <c r="X68" s="15">
        <v>74718</v>
      </c>
      <c r="Y68" s="86">
        <v>75</v>
      </c>
      <c r="Z68" s="56">
        <v>84.4</v>
      </c>
      <c r="AA68" s="4">
        <v>83</v>
      </c>
      <c r="AB68" s="4">
        <v>20.6</v>
      </c>
      <c r="AC68" s="15">
        <v>86.98</v>
      </c>
      <c r="AD68" s="56">
        <v>76.2</v>
      </c>
      <c r="AE68" s="4">
        <v>76</v>
      </c>
      <c r="AF68" s="4">
        <v>8.9</v>
      </c>
      <c r="AG68" s="15">
        <v>64.8</v>
      </c>
      <c r="AH68" s="56">
        <f t="shared" si="4"/>
        <v>76.5</v>
      </c>
      <c r="AI68" s="4">
        <f t="shared" si="5"/>
        <v>76</v>
      </c>
      <c r="AJ68" s="17">
        <f t="shared" si="6"/>
        <v>9.285714285714286E-2</v>
      </c>
      <c r="AK68" s="15">
        <f t="shared" si="12"/>
        <v>64.8</v>
      </c>
      <c r="AL68" s="55">
        <f t="shared" si="7"/>
        <v>75</v>
      </c>
      <c r="AM68" s="107">
        <f t="shared" si="8"/>
        <v>75</v>
      </c>
      <c r="AN68" s="18">
        <f t="shared" si="9"/>
        <v>7.1428571428571425E-2</v>
      </c>
      <c r="AO68" s="16">
        <f t="shared" si="10"/>
        <v>70.730500000000006</v>
      </c>
      <c r="AP68" s="1">
        <v>76</v>
      </c>
      <c r="AQ68" s="1">
        <v>64800</v>
      </c>
      <c r="AR68" s="1">
        <v>76</v>
      </c>
      <c r="AS68" s="1">
        <v>64800</v>
      </c>
      <c r="AT68" s="1">
        <v>76</v>
      </c>
      <c r="AU68" s="1">
        <v>64800</v>
      </c>
      <c r="AV68" s="1">
        <v>77</v>
      </c>
      <c r="AW68" s="1">
        <v>64800</v>
      </c>
      <c r="AX68" s="1">
        <v>78</v>
      </c>
      <c r="AY68" s="1">
        <v>64800</v>
      </c>
      <c r="AZ68" s="1">
        <v>77</v>
      </c>
      <c r="BA68" s="1">
        <v>64800</v>
      </c>
      <c r="BB68" s="1">
        <v>77</v>
      </c>
      <c r="BC68" s="1">
        <v>64800</v>
      </c>
      <c r="BD68" s="1">
        <v>76</v>
      </c>
      <c r="BE68" s="1">
        <v>64800</v>
      </c>
      <c r="BF68" s="1">
        <v>76</v>
      </c>
      <c r="BG68" s="1">
        <v>64800</v>
      </c>
      <c r="BH68" s="1">
        <v>76</v>
      </c>
      <c r="BI68" s="1">
        <v>64800</v>
      </c>
    </row>
    <row r="69" spans="1:61" x14ac:dyDescent="0.3">
      <c r="A69" s="9" t="s">
        <v>75</v>
      </c>
      <c r="B69" s="4">
        <v>100</v>
      </c>
      <c r="C69" s="4">
        <v>8</v>
      </c>
      <c r="D69" s="45">
        <v>60</v>
      </c>
      <c r="E69" s="56">
        <v>60</v>
      </c>
      <c r="F69" s="45">
        <v>56</v>
      </c>
      <c r="G69" s="56">
        <v>60</v>
      </c>
      <c r="H69" s="15">
        <v>60</v>
      </c>
      <c r="I69" s="56">
        <v>60</v>
      </c>
      <c r="J69" s="15">
        <v>57</v>
      </c>
      <c r="K69" s="56">
        <v>60</v>
      </c>
      <c r="L69" s="15">
        <v>57</v>
      </c>
      <c r="M69" s="56">
        <v>60</v>
      </c>
      <c r="N69" s="15">
        <v>15</v>
      </c>
      <c r="O69" s="56">
        <v>60</v>
      </c>
      <c r="P69" s="45">
        <v>16</v>
      </c>
      <c r="Q69" s="56">
        <v>60</v>
      </c>
      <c r="R69" s="15">
        <v>57</v>
      </c>
      <c r="S69" s="56">
        <v>60</v>
      </c>
      <c r="T69" s="15">
        <v>14</v>
      </c>
      <c r="U69" s="56">
        <v>60</v>
      </c>
      <c r="V69" s="15">
        <v>57</v>
      </c>
      <c r="W69" s="56">
        <v>60</v>
      </c>
      <c r="X69" s="15">
        <v>15</v>
      </c>
      <c r="Y69" s="77">
        <v>60</v>
      </c>
      <c r="Z69" s="56">
        <v>65.5</v>
      </c>
      <c r="AA69" s="4">
        <v>64</v>
      </c>
      <c r="AB69" s="4">
        <v>9.1999999999999993</v>
      </c>
      <c r="AC69" s="15">
        <v>107.35</v>
      </c>
      <c r="AD69" s="56">
        <v>60.2</v>
      </c>
      <c r="AE69" s="4">
        <v>60</v>
      </c>
      <c r="AF69" s="4">
        <v>0.3</v>
      </c>
      <c r="AG69" s="15">
        <v>16</v>
      </c>
      <c r="AH69" s="56">
        <f t="shared" si="4"/>
        <v>61</v>
      </c>
      <c r="AI69" s="4">
        <f t="shared" si="5"/>
        <v>60</v>
      </c>
      <c r="AJ69" s="17">
        <f t="shared" si="6"/>
        <v>1.6666666666666666E-2</v>
      </c>
      <c r="AK69" s="15">
        <f t="shared" si="12"/>
        <v>72.0291</v>
      </c>
      <c r="AL69" s="55">
        <f t="shared" si="7"/>
        <v>60</v>
      </c>
      <c r="AM69" s="12">
        <f t="shared" si="8"/>
        <v>60</v>
      </c>
      <c r="AN69" s="18">
        <f t="shared" si="9"/>
        <v>0</v>
      </c>
      <c r="AO69" s="16">
        <f t="shared" si="10"/>
        <v>4.0399999999999998E-2</v>
      </c>
      <c r="AP69" s="1">
        <v>61</v>
      </c>
      <c r="AQ69" s="1">
        <v>80000</v>
      </c>
      <c r="AR69" s="1">
        <v>61</v>
      </c>
      <c r="AS69" s="1">
        <v>80000</v>
      </c>
      <c r="AT69" s="1">
        <v>62</v>
      </c>
      <c r="AU69" s="1">
        <v>80000</v>
      </c>
      <c r="AV69" s="1">
        <v>61</v>
      </c>
      <c r="AW69" s="1">
        <v>80000</v>
      </c>
      <c r="AX69" s="1">
        <v>61</v>
      </c>
      <c r="AY69" s="1">
        <v>80000</v>
      </c>
      <c r="AZ69" s="1">
        <v>61</v>
      </c>
      <c r="BA69" s="1">
        <v>80000</v>
      </c>
      <c r="BB69" s="1">
        <v>60</v>
      </c>
      <c r="BC69" s="1">
        <v>291</v>
      </c>
      <c r="BD69" s="1">
        <v>61</v>
      </c>
      <c r="BE69" s="1">
        <v>80000</v>
      </c>
      <c r="BF69" s="1">
        <v>61</v>
      </c>
      <c r="BG69" s="1">
        <v>80000</v>
      </c>
      <c r="BH69" s="1">
        <v>61</v>
      </c>
      <c r="BI69" s="1">
        <v>80000</v>
      </c>
    </row>
    <row r="70" spans="1:61" x14ac:dyDescent="0.3">
      <c r="A70" s="9" t="s">
        <v>76</v>
      </c>
      <c r="B70" s="4">
        <v>106</v>
      </c>
      <c r="C70" s="4">
        <v>8</v>
      </c>
      <c r="D70" s="45">
        <v>56</v>
      </c>
      <c r="E70" s="56">
        <v>56</v>
      </c>
      <c r="F70" s="45">
        <v>63</v>
      </c>
      <c r="G70" s="56">
        <v>56</v>
      </c>
      <c r="H70" s="15">
        <v>20</v>
      </c>
      <c r="I70" s="56">
        <v>56</v>
      </c>
      <c r="J70" s="15">
        <v>15</v>
      </c>
      <c r="K70" s="56">
        <v>56</v>
      </c>
      <c r="L70" s="15">
        <v>18</v>
      </c>
      <c r="M70" s="56">
        <v>56</v>
      </c>
      <c r="N70" s="15">
        <v>16</v>
      </c>
      <c r="O70" s="56">
        <v>56</v>
      </c>
      <c r="P70" s="45">
        <v>64</v>
      </c>
      <c r="Q70" s="56">
        <v>56</v>
      </c>
      <c r="R70" s="15">
        <v>19</v>
      </c>
      <c r="S70" s="56">
        <v>56</v>
      </c>
      <c r="T70" s="15">
        <v>15</v>
      </c>
      <c r="U70" s="56">
        <v>56</v>
      </c>
      <c r="V70" s="15">
        <v>62</v>
      </c>
      <c r="W70" s="56">
        <v>56</v>
      </c>
      <c r="X70" s="15">
        <v>16</v>
      </c>
      <c r="Y70" s="77">
        <v>56</v>
      </c>
      <c r="Z70" s="56">
        <v>62.6</v>
      </c>
      <c r="AA70" s="4">
        <v>62</v>
      </c>
      <c r="AB70" s="4">
        <v>11.8</v>
      </c>
      <c r="AC70" s="15">
        <v>112.9</v>
      </c>
      <c r="AD70" s="56">
        <v>58</v>
      </c>
      <c r="AE70" s="4">
        <v>56</v>
      </c>
      <c r="AF70" s="4">
        <v>3.6</v>
      </c>
      <c r="AG70" s="15">
        <v>25.44</v>
      </c>
      <c r="AH70" s="56">
        <f t="shared" si="4"/>
        <v>59.2</v>
      </c>
      <c r="AI70" s="34">
        <f t="shared" si="5"/>
        <v>58</v>
      </c>
      <c r="AJ70" s="17">
        <f t="shared" si="6"/>
        <v>5.7142857142857197E-2</v>
      </c>
      <c r="AK70" s="15">
        <f t="shared" si="12"/>
        <v>84.8</v>
      </c>
      <c r="AL70" s="55">
        <f t="shared" si="7"/>
        <v>56</v>
      </c>
      <c r="AM70" s="12">
        <f t="shared" si="8"/>
        <v>56</v>
      </c>
      <c r="AN70" s="18">
        <f t="shared" si="9"/>
        <v>0</v>
      </c>
      <c r="AO70" s="16">
        <f t="shared" si="10"/>
        <v>3.0800000000000001E-2</v>
      </c>
      <c r="AP70" s="1">
        <v>58</v>
      </c>
      <c r="AQ70" s="1">
        <v>84800</v>
      </c>
      <c r="AR70" s="1">
        <v>60</v>
      </c>
      <c r="AS70" s="1">
        <v>84800</v>
      </c>
      <c r="AT70" s="1">
        <v>58</v>
      </c>
      <c r="AU70" s="1">
        <v>84800</v>
      </c>
      <c r="AV70" s="1">
        <v>60</v>
      </c>
      <c r="AW70" s="1">
        <v>84800</v>
      </c>
      <c r="AX70" s="1">
        <v>58</v>
      </c>
      <c r="AY70" s="1">
        <v>84800</v>
      </c>
      <c r="AZ70" s="1">
        <v>60</v>
      </c>
      <c r="BA70" s="1">
        <v>84800</v>
      </c>
      <c r="BB70" s="1">
        <v>60</v>
      </c>
      <c r="BC70" s="1">
        <v>84800</v>
      </c>
      <c r="BD70" s="1">
        <v>60</v>
      </c>
      <c r="BE70" s="1">
        <v>84800</v>
      </c>
      <c r="BF70" s="1">
        <v>58</v>
      </c>
      <c r="BG70" s="1">
        <v>84800</v>
      </c>
      <c r="BH70" s="1">
        <v>60</v>
      </c>
      <c r="BI70" s="1">
        <v>84800</v>
      </c>
    </row>
    <row r="71" spans="1:61" x14ac:dyDescent="0.3">
      <c r="A71" s="9" t="s">
        <v>77</v>
      </c>
      <c r="B71" s="4">
        <v>108</v>
      </c>
      <c r="C71" s="4">
        <v>8</v>
      </c>
      <c r="D71" s="45">
        <v>75</v>
      </c>
      <c r="E71" s="56">
        <v>78</v>
      </c>
      <c r="F71" s="45">
        <v>113393</v>
      </c>
      <c r="G71" s="89">
        <v>75</v>
      </c>
      <c r="H71" s="15">
        <v>8501</v>
      </c>
      <c r="I71" s="56">
        <v>78</v>
      </c>
      <c r="J71" s="15">
        <v>116801</v>
      </c>
      <c r="K71" s="89">
        <v>75</v>
      </c>
      <c r="L71" s="15">
        <v>12607</v>
      </c>
      <c r="M71" s="56">
        <v>78</v>
      </c>
      <c r="N71" s="15">
        <v>111668</v>
      </c>
      <c r="O71" s="56">
        <v>78</v>
      </c>
      <c r="P71" s="45">
        <v>116367</v>
      </c>
      <c r="Q71" s="89">
        <v>75</v>
      </c>
      <c r="R71" s="15">
        <v>13849</v>
      </c>
      <c r="S71" s="56">
        <v>78</v>
      </c>
      <c r="T71" s="15">
        <v>119766</v>
      </c>
      <c r="U71" s="56">
        <v>78</v>
      </c>
      <c r="V71" s="15">
        <v>115106</v>
      </c>
      <c r="W71" s="56">
        <v>78</v>
      </c>
      <c r="X71" s="15">
        <v>115051</v>
      </c>
      <c r="Y71" s="77">
        <v>78</v>
      </c>
      <c r="Z71" s="56">
        <v>84.3</v>
      </c>
      <c r="AA71" s="4">
        <v>81</v>
      </c>
      <c r="AB71" s="4">
        <v>12.4</v>
      </c>
      <c r="AC71" s="15">
        <v>150.22999999999999</v>
      </c>
      <c r="AD71" s="56">
        <v>78</v>
      </c>
      <c r="AE71" s="4">
        <v>78</v>
      </c>
      <c r="AF71" s="4">
        <v>4</v>
      </c>
      <c r="AG71" s="15">
        <v>86.4</v>
      </c>
      <c r="AH71" s="56">
        <f t="shared" si="4"/>
        <v>79.8</v>
      </c>
      <c r="AI71" s="4">
        <f t="shared" si="5"/>
        <v>78</v>
      </c>
      <c r="AJ71" s="17">
        <f t="shared" si="6"/>
        <v>6.399999999999996E-2</v>
      </c>
      <c r="AK71" s="15">
        <f t="shared" si="12"/>
        <v>84.6</v>
      </c>
      <c r="AL71" s="55">
        <f t="shared" si="7"/>
        <v>77.099999999999994</v>
      </c>
      <c r="AM71" s="107">
        <f t="shared" si="8"/>
        <v>75</v>
      </c>
      <c r="AN71" s="18">
        <f t="shared" si="9"/>
        <v>2.7999999999999924E-2</v>
      </c>
      <c r="AO71" s="16">
        <f t="shared" si="10"/>
        <v>84.31089999999999</v>
      </c>
      <c r="AP71" s="1">
        <v>81</v>
      </c>
      <c r="AQ71" s="1">
        <v>84600</v>
      </c>
      <c r="AR71" s="1">
        <v>78</v>
      </c>
      <c r="AS71" s="1">
        <v>84600</v>
      </c>
      <c r="AT71" s="1">
        <v>81</v>
      </c>
      <c r="AU71" s="1">
        <v>84600</v>
      </c>
      <c r="AV71" s="40">
        <v>78</v>
      </c>
      <c r="AW71" s="40">
        <v>84600</v>
      </c>
      <c r="AX71" s="40">
        <v>81</v>
      </c>
      <c r="AY71" s="40">
        <v>84600</v>
      </c>
      <c r="AZ71" s="40">
        <v>81</v>
      </c>
      <c r="BA71" s="40">
        <v>84600</v>
      </c>
      <c r="BB71" s="40">
        <v>81</v>
      </c>
      <c r="BC71" s="40">
        <v>84600</v>
      </c>
      <c r="BD71" s="40">
        <v>78</v>
      </c>
      <c r="BE71" s="40">
        <v>84600</v>
      </c>
      <c r="BF71" s="40">
        <v>78</v>
      </c>
      <c r="BG71" s="40">
        <v>84600</v>
      </c>
      <c r="BH71" s="40">
        <v>81</v>
      </c>
      <c r="BI71" s="40">
        <v>84600</v>
      </c>
    </row>
    <row r="72" spans="1:61" x14ac:dyDescent="0.3">
      <c r="A72" s="9" t="s">
        <v>78</v>
      </c>
      <c r="B72" s="4">
        <v>105</v>
      </c>
      <c r="C72" s="4">
        <v>8</v>
      </c>
      <c r="D72" s="45">
        <v>49</v>
      </c>
      <c r="E72" s="56">
        <v>49</v>
      </c>
      <c r="F72" s="45">
        <v>62</v>
      </c>
      <c r="G72" s="56">
        <v>49</v>
      </c>
      <c r="H72" s="15">
        <v>61</v>
      </c>
      <c r="I72" s="56">
        <v>49</v>
      </c>
      <c r="J72" s="15">
        <v>2495</v>
      </c>
      <c r="K72" s="56">
        <v>49</v>
      </c>
      <c r="L72" s="15">
        <v>69</v>
      </c>
      <c r="M72" s="56">
        <v>49</v>
      </c>
      <c r="N72" s="15">
        <v>419</v>
      </c>
      <c r="O72" s="56">
        <v>49</v>
      </c>
      <c r="P72" s="45">
        <v>63</v>
      </c>
      <c r="Q72" s="56">
        <v>49</v>
      </c>
      <c r="R72" s="15">
        <v>64</v>
      </c>
      <c r="S72" s="56">
        <v>49</v>
      </c>
      <c r="T72" s="15">
        <v>62</v>
      </c>
      <c r="U72" s="56">
        <v>49</v>
      </c>
      <c r="V72" s="15">
        <v>65</v>
      </c>
      <c r="W72" s="56">
        <v>49</v>
      </c>
      <c r="X72" s="15">
        <v>336</v>
      </c>
      <c r="Y72" s="77">
        <v>49</v>
      </c>
      <c r="Z72" s="56">
        <v>55.5</v>
      </c>
      <c r="AA72" s="4">
        <v>53</v>
      </c>
      <c r="AB72" s="4">
        <v>13.3</v>
      </c>
      <c r="AC72" s="15">
        <v>99.38</v>
      </c>
      <c r="AD72" s="56">
        <v>49.9</v>
      </c>
      <c r="AE72" s="4">
        <v>49</v>
      </c>
      <c r="AF72" s="4">
        <v>1.8</v>
      </c>
      <c r="AG72" s="15">
        <v>25.2</v>
      </c>
      <c r="AH72" s="56">
        <f t="shared" si="4"/>
        <v>50.4</v>
      </c>
      <c r="AI72" s="4">
        <f t="shared" si="5"/>
        <v>49</v>
      </c>
      <c r="AJ72" s="17">
        <f t="shared" si="6"/>
        <v>2.8571428571428543E-2</v>
      </c>
      <c r="AK72" s="15">
        <f t="shared" si="12"/>
        <v>75.628699999999995</v>
      </c>
      <c r="AL72" s="55">
        <f t="shared" si="7"/>
        <v>49</v>
      </c>
      <c r="AM72" s="12">
        <f t="shared" si="8"/>
        <v>49</v>
      </c>
      <c r="AN72" s="18">
        <f t="shared" si="9"/>
        <v>0</v>
      </c>
      <c r="AO72" s="16">
        <f t="shared" si="10"/>
        <v>0.36960000000000004</v>
      </c>
      <c r="AP72" s="1">
        <v>52</v>
      </c>
      <c r="AQ72" s="1">
        <v>84000</v>
      </c>
      <c r="AR72" s="1">
        <v>50</v>
      </c>
      <c r="AS72" s="1">
        <v>84000</v>
      </c>
      <c r="AT72" s="1">
        <v>50</v>
      </c>
      <c r="AU72" s="1">
        <v>84000</v>
      </c>
      <c r="AV72" s="1">
        <v>50</v>
      </c>
      <c r="AW72" s="1">
        <v>84000</v>
      </c>
      <c r="AX72" s="1">
        <v>49</v>
      </c>
      <c r="AY72" s="1">
        <v>287</v>
      </c>
      <c r="AZ72" s="1">
        <v>50</v>
      </c>
      <c r="BA72" s="1">
        <v>84000</v>
      </c>
      <c r="BB72" s="1">
        <v>50</v>
      </c>
      <c r="BC72" s="1">
        <v>84000</v>
      </c>
      <c r="BD72" s="1">
        <v>52</v>
      </c>
      <c r="BE72" s="1">
        <v>84000</v>
      </c>
      <c r="BF72" s="1">
        <v>51</v>
      </c>
      <c r="BG72" s="1">
        <v>84000</v>
      </c>
      <c r="BH72" s="1">
        <v>50</v>
      </c>
      <c r="BI72" s="1">
        <v>84000</v>
      </c>
    </row>
    <row r="73" spans="1:61" x14ac:dyDescent="0.3">
      <c r="A73" s="9" t="s">
        <v>79</v>
      </c>
      <c r="B73" s="4">
        <v>152</v>
      </c>
      <c r="C73" s="4">
        <v>8</v>
      </c>
      <c r="D73" s="45">
        <v>42</v>
      </c>
      <c r="E73" s="56">
        <v>42</v>
      </c>
      <c r="F73" s="45">
        <v>157</v>
      </c>
      <c r="G73" s="56">
        <v>42</v>
      </c>
      <c r="H73" s="15">
        <v>27</v>
      </c>
      <c r="I73" s="56">
        <v>42</v>
      </c>
      <c r="J73" s="15">
        <v>157</v>
      </c>
      <c r="K73" s="56">
        <v>42</v>
      </c>
      <c r="L73" s="15">
        <v>156</v>
      </c>
      <c r="M73" s="56">
        <v>42</v>
      </c>
      <c r="N73" s="15">
        <v>163</v>
      </c>
      <c r="O73" s="56">
        <v>42</v>
      </c>
      <c r="P73" s="45">
        <v>163</v>
      </c>
      <c r="Q73" s="56">
        <v>42</v>
      </c>
      <c r="R73" s="15">
        <v>183</v>
      </c>
      <c r="S73" s="56">
        <v>42</v>
      </c>
      <c r="T73" s="15">
        <v>193</v>
      </c>
      <c r="U73" s="56">
        <v>42</v>
      </c>
      <c r="V73" s="15">
        <v>160</v>
      </c>
      <c r="W73" s="56">
        <v>42</v>
      </c>
      <c r="X73" s="15">
        <v>30</v>
      </c>
      <c r="Y73" s="77">
        <v>42</v>
      </c>
      <c r="Z73" s="56">
        <v>47.3</v>
      </c>
      <c r="AA73" s="4">
        <v>46</v>
      </c>
      <c r="AB73" s="4">
        <v>12.6</v>
      </c>
      <c r="AC73" s="15">
        <v>172.21</v>
      </c>
      <c r="AD73" s="56">
        <v>42.5</v>
      </c>
      <c r="AE73" s="4">
        <v>42</v>
      </c>
      <c r="AF73" s="4">
        <v>1.2</v>
      </c>
      <c r="AG73" s="15">
        <v>36.479999999999997</v>
      </c>
      <c r="AH73" s="56">
        <f t="shared" si="4"/>
        <v>43</v>
      </c>
      <c r="AI73" s="4">
        <f t="shared" si="5"/>
        <v>42</v>
      </c>
      <c r="AJ73" s="17">
        <f t="shared" si="6"/>
        <v>2.3809523809523808E-2</v>
      </c>
      <c r="AK73" s="15">
        <f t="shared" si="12"/>
        <v>109.4706</v>
      </c>
      <c r="AL73" s="55">
        <f t="shared" si="7"/>
        <v>42</v>
      </c>
      <c r="AM73" s="12">
        <f t="shared" si="8"/>
        <v>42</v>
      </c>
      <c r="AN73" s="18">
        <f t="shared" si="9"/>
        <v>0</v>
      </c>
      <c r="AO73" s="16">
        <f t="shared" si="10"/>
        <v>0.1389</v>
      </c>
      <c r="AP73" s="1">
        <v>43</v>
      </c>
      <c r="AQ73" s="1">
        <v>121600</v>
      </c>
      <c r="AR73" s="1">
        <v>43</v>
      </c>
      <c r="AS73" s="1">
        <v>121600</v>
      </c>
      <c r="AT73" s="1">
        <v>43</v>
      </c>
      <c r="AU73" s="1">
        <v>121600</v>
      </c>
      <c r="AV73" s="1">
        <v>42</v>
      </c>
      <c r="AW73" s="1">
        <v>306</v>
      </c>
      <c r="AX73" s="1">
        <v>44</v>
      </c>
      <c r="AY73" s="1">
        <v>121600</v>
      </c>
      <c r="AZ73" s="1">
        <v>43</v>
      </c>
      <c r="BA73" s="1">
        <v>121600</v>
      </c>
      <c r="BB73" s="1">
        <v>43</v>
      </c>
      <c r="BC73" s="1">
        <v>121600</v>
      </c>
      <c r="BD73" s="1">
        <v>43</v>
      </c>
      <c r="BE73" s="1">
        <v>121600</v>
      </c>
      <c r="BF73" s="1">
        <v>43</v>
      </c>
      <c r="BG73" s="1">
        <v>121600</v>
      </c>
      <c r="BH73" s="1">
        <v>43</v>
      </c>
      <c r="BI73" s="1">
        <v>121600</v>
      </c>
    </row>
    <row r="74" spans="1:61" x14ac:dyDescent="0.3">
      <c r="A74" s="9" t="s">
        <v>80</v>
      </c>
      <c r="B74" s="4">
        <v>104</v>
      </c>
      <c r="C74" s="4">
        <v>8</v>
      </c>
      <c r="D74" s="45">
        <v>30</v>
      </c>
      <c r="E74" s="56">
        <v>30</v>
      </c>
      <c r="F74" s="45">
        <v>16</v>
      </c>
      <c r="G74" s="56">
        <v>30</v>
      </c>
      <c r="H74" s="15">
        <v>15</v>
      </c>
      <c r="I74" s="56">
        <v>30</v>
      </c>
      <c r="J74" s="15">
        <v>18</v>
      </c>
      <c r="K74" s="56">
        <v>30</v>
      </c>
      <c r="L74" s="15">
        <v>18</v>
      </c>
      <c r="M74" s="56">
        <v>30</v>
      </c>
      <c r="N74" s="15">
        <v>15</v>
      </c>
      <c r="O74" s="56">
        <v>30</v>
      </c>
      <c r="P74" s="45">
        <v>16</v>
      </c>
      <c r="Q74" s="56">
        <v>30</v>
      </c>
      <c r="R74" s="15">
        <v>15</v>
      </c>
      <c r="S74" s="56">
        <v>30</v>
      </c>
      <c r="T74" s="15">
        <v>18</v>
      </c>
      <c r="U74" s="56">
        <v>30</v>
      </c>
      <c r="V74" s="15">
        <v>18</v>
      </c>
      <c r="W74" s="56">
        <v>30</v>
      </c>
      <c r="X74" s="15">
        <v>15</v>
      </c>
      <c r="Y74" s="77">
        <v>30</v>
      </c>
      <c r="Z74" s="56">
        <v>31</v>
      </c>
      <c r="AA74" s="4">
        <v>30</v>
      </c>
      <c r="AB74" s="4">
        <v>3.3</v>
      </c>
      <c r="AC74" s="15">
        <v>62.61</v>
      </c>
      <c r="AD74" s="56">
        <v>30</v>
      </c>
      <c r="AE74" s="4">
        <v>30</v>
      </c>
      <c r="AF74" s="4">
        <v>0</v>
      </c>
      <c r="AG74" s="15">
        <v>0</v>
      </c>
      <c r="AH74" s="56">
        <f t="shared" si="4"/>
        <v>30</v>
      </c>
      <c r="AI74" s="4">
        <f t="shared" si="5"/>
        <v>30</v>
      </c>
      <c r="AJ74" s="17">
        <f t="shared" si="6"/>
        <v>0</v>
      </c>
      <c r="AK74" s="15">
        <f t="shared" si="12"/>
        <v>0.9516</v>
      </c>
      <c r="AL74" s="55">
        <f t="shared" si="7"/>
        <v>30</v>
      </c>
      <c r="AM74" s="12">
        <f t="shared" si="8"/>
        <v>30</v>
      </c>
      <c r="AN74" s="18">
        <f t="shared" si="9"/>
        <v>0</v>
      </c>
      <c r="AO74" s="16">
        <f t="shared" si="10"/>
        <v>1.6399999999999998E-2</v>
      </c>
      <c r="AP74" s="1">
        <v>30</v>
      </c>
      <c r="AQ74" s="1">
        <v>264</v>
      </c>
      <c r="AR74" s="1">
        <v>30</v>
      </c>
      <c r="AS74" s="1">
        <v>3717</v>
      </c>
      <c r="AT74" s="1">
        <v>30</v>
      </c>
      <c r="AU74" s="1">
        <v>304</v>
      </c>
      <c r="AV74" s="1">
        <v>30</v>
      </c>
      <c r="AW74" s="1">
        <v>262</v>
      </c>
      <c r="AX74" s="1">
        <v>30</v>
      </c>
      <c r="AY74" s="1">
        <v>266</v>
      </c>
      <c r="AZ74" s="1">
        <v>30</v>
      </c>
      <c r="BA74" s="1">
        <v>1645</v>
      </c>
      <c r="BB74" s="1">
        <v>30</v>
      </c>
      <c r="BC74" s="1">
        <v>277</v>
      </c>
      <c r="BD74" s="1">
        <v>30</v>
      </c>
      <c r="BE74" s="1">
        <v>283</v>
      </c>
      <c r="BF74" s="1">
        <v>30</v>
      </c>
      <c r="BG74" s="1">
        <v>2231</v>
      </c>
      <c r="BH74" s="1">
        <v>30</v>
      </c>
      <c r="BI74" s="1">
        <v>267</v>
      </c>
    </row>
    <row r="75" spans="1:61" x14ac:dyDescent="0.3">
      <c r="A75" s="9" t="s">
        <v>81</v>
      </c>
      <c r="B75" s="4">
        <v>97</v>
      </c>
      <c r="C75" s="4">
        <v>8</v>
      </c>
      <c r="D75" s="45">
        <v>75</v>
      </c>
      <c r="E75" s="56">
        <v>75</v>
      </c>
      <c r="F75" s="45">
        <v>18</v>
      </c>
      <c r="G75" s="56">
        <v>75</v>
      </c>
      <c r="H75" s="15">
        <v>18</v>
      </c>
      <c r="I75" s="56">
        <v>75</v>
      </c>
      <c r="J75" s="15">
        <v>14</v>
      </c>
      <c r="K75" s="56">
        <v>75</v>
      </c>
      <c r="L75" s="15">
        <v>17</v>
      </c>
      <c r="M75" s="56">
        <v>75</v>
      </c>
      <c r="N75" s="15">
        <v>15</v>
      </c>
      <c r="O75" s="56">
        <v>75</v>
      </c>
      <c r="P75" s="45">
        <v>18</v>
      </c>
      <c r="Q75" s="56">
        <v>75</v>
      </c>
      <c r="R75" s="15">
        <v>18</v>
      </c>
      <c r="S75" s="56">
        <v>75</v>
      </c>
      <c r="T75" s="15">
        <v>14</v>
      </c>
      <c r="U75" s="56">
        <v>75</v>
      </c>
      <c r="V75" s="15">
        <v>17</v>
      </c>
      <c r="W75" s="56">
        <v>75</v>
      </c>
      <c r="X75" s="15">
        <v>15</v>
      </c>
      <c r="Y75" s="77">
        <v>75</v>
      </c>
      <c r="Z75" s="56">
        <v>77.400000000000006</v>
      </c>
      <c r="AA75" s="4">
        <v>75</v>
      </c>
      <c r="AB75" s="4">
        <v>3.2</v>
      </c>
      <c r="AC75" s="15">
        <v>113.77</v>
      </c>
      <c r="AD75" s="56">
        <v>75</v>
      </c>
      <c r="AE75" s="4">
        <v>75</v>
      </c>
      <c r="AF75" s="4">
        <v>0</v>
      </c>
      <c r="AG75" s="15">
        <v>0</v>
      </c>
      <c r="AH75" s="56">
        <f t="shared" si="4"/>
        <v>75</v>
      </c>
      <c r="AI75" s="4">
        <f t="shared" si="5"/>
        <v>75</v>
      </c>
      <c r="AJ75" s="17">
        <f t="shared" si="6"/>
        <v>0</v>
      </c>
      <c r="AK75" s="15">
        <f t="shared" si="12"/>
        <v>0.32339999999999997</v>
      </c>
      <c r="AL75" s="55">
        <f t="shared" si="7"/>
        <v>75</v>
      </c>
      <c r="AM75" s="12">
        <f t="shared" si="8"/>
        <v>75</v>
      </c>
      <c r="AN75" s="18">
        <f t="shared" si="9"/>
        <v>0</v>
      </c>
      <c r="AO75" s="16">
        <f t="shared" si="10"/>
        <v>1.6399999999999998E-2</v>
      </c>
      <c r="AP75" s="1">
        <v>75</v>
      </c>
      <c r="AQ75" s="1">
        <v>220</v>
      </c>
      <c r="AR75" s="1">
        <v>75</v>
      </c>
      <c r="AS75" s="1">
        <v>229</v>
      </c>
      <c r="AT75" s="1">
        <v>75</v>
      </c>
      <c r="AU75" s="1">
        <v>225</v>
      </c>
      <c r="AV75" s="1">
        <v>75</v>
      </c>
      <c r="AW75" s="1">
        <v>225</v>
      </c>
      <c r="AX75" s="1">
        <v>75</v>
      </c>
      <c r="AY75" s="1">
        <v>230</v>
      </c>
      <c r="AZ75" s="1">
        <v>75</v>
      </c>
      <c r="BA75" s="1">
        <v>224</v>
      </c>
      <c r="BB75" s="1">
        <v>75</v>
      </c>
      <c r="BC75" s="1">
        <v>228</v>
      </c>
      <c r="BD75" s="1">
        <v>75</v>
      </c>
      <c r="BE75" s="1">
        <v>531</v>
      </c>
      <c r="BF75" s="1">
        <v>75</v>
      </c>
      <c r="BG75" s="1">
        <v>799</v>
      </c>
      <c r="BH75" s="1">
        <v>75</v>
      </c>
      <c r="BI75" s="1">
        <v>323</v>
      </c>
    </row>
    <row r="76" spans="1:61" x14ac:dyDescent="0.3">
      <c r="A76" s="9" t="s">
        <v>82</v>
      </c>
      <c r="B76" s="4">
        <v>104</v>
      </c>
      <c r="C76" s="4">
        <v>8</v>
      </c>
      <c r="D76" s="45">
        <v>35</v>
      </c>
      <c r="E76" s="56">
        <v>36</v>
      </c>
      <c r="F76" s="45">
        <v>113828</v>
      </c>
      <c r="G76" s="56">
        <v>36</v>
      </c>
      <c r="H76" s="15">
        <v>109714</v>
      </c>
      <c r="I76" s="56">
        <v>36</v>
      </c>
      <c r="J76" s="15">
        <v>116082</v>
      </c>
      <c r="K76" s="56">
        <v>36</v>
      </c>
      <c r="L76" s="15">
        <v>120082</v>
      </c>
      <c r="M76" s="56">
        <v>36</v>
      </c>
      <c r="N76" s="15">
        <v>110714</v>
      </c>
      <c r="O76" s="56">
        <v>36</v>
      </c>
      <c r="P76" s="45">
        <v>116372</v>
      </c>
      <c r="Q76" s="56">
        <v>36</v>
      </c>
      <c r="R76" s="15">
        <v>120280</v>
      </c>
      <c r="S76" s="56">
        <v>36</v>
      </c>
      <c r="T76" s="15">
        <v>120862</v>
      </c>
      <c r="U76" s="56">
        <v>36</v>
      </c>
      <c r="V76" s="15">
        <v>113872</v>
      </c>
      <c r="W76" s="56">
        <v>36</v>
      </c>
      <c r="X76" s="15">
        <v>116812</v>
      </c>
      <c r="Y76" s="77">
        <v>36</v>
      </c>
      <c r="Z76" s="56">
        <v>42.2</v>
      </c>
      <c r="AA76" s="4">
        <v>41</v>
      </c>
      <c r="AB76" s="4">
        <v>20.6</v>
      </c>
      <c r="AC76" s="15">
        <v>78.83</v>
      </c>
      <c r="AD76" s="56">
        <v>38</v>
      </c>
      <c r="AE76" s="4">
        <v>36</v>
      </c>
      <c r="AF76" s="4">
        <v>8.6</v>
      </c>
      <c r="AG76" s="15">
        <v>83.2</v>
      </c>
      <c r="AH76" s="56">
        <f t="shared" si="4"/>
        <v>37.4</v>
      </c>
      <c r="AI76" s="34">
        <f t="shared" si="5"/>
        <v>37</v>
      </c>
      <c r="AJ76" s="21">
        <f t="shared" si="6"/>
        <v>6.8571428571428533E-2</v>
      </c>
      <c r="AK76" s="15">
        <f t="shared" si="12"/>
        <v>83.2</v>
      </c>
      <c r="AL76" s="55">
        <f t="shared" si="7"/>
        <v>36</v>
      </c>
      <c r="AM76" s="12">
        <f t="shared" si="8"/>
        <v>36</v>
      </c>
      <c r="AN76" s="18">
        <f t="shared" si="9"/>
        <v>2.8571428571428571E-2</v>
      </c>
      <c r="AO76" s="16">
        <f t="shared" si="10"/>
        <v>115.8618</v>
      </c>
      <c r="AP76" s="1">
        <v>37</v>
      </c>
      <c r="AQ76" s="1">
        <v>83200</v>
      </c>
      <c r="AR76" s="1">
        <v>37</v>
      </c>
      <c r="AS76" s="1">
        <v>83200</v>
      </c>
      <c r="AT76" s="1">
        <v>37</v>
      </c>
      <c r="AU76" s="1">
        <v>83200</v>
      </c>
      <c r="AV76" s="1">
        <v>38</v>
      </c>
      <c r="AW76" s="1">
        <v>83200</v>
      </c>
      <c r="AX76" s="1">
        <v>38</v>
      </c>
      <c r="AY76" s="1">
        <v>83200</v>
      </c>
      <c r="AZ76" s="1">
        <v>37</v>
      </c>
      <c r="BA76" s="1">
        <v>83200</v>
      </c>
      <c r="BB76" s="1">
        <v>38</v>
      </c>
      <c r="BC76" s="1">
        <v>83200</v>
      </c>
      <c r="BD76" s="1">
        <v>38</v>
      </c>
      <c r="BE76" s="1">
        <v>83200</v>
      </c>
      <c r="BF76" s="1">
        <v>37</v>
      </c>
      <c r="BG76" s="1">
        <v>83200</v>
      </c>
      <c r="BH76" s="1">
        <v>37</v>
      </c>
      <c r="BI76" s="1">
        <v>83200</v>
      </c>
    </row>
    <row r="77" spans="1:61" ht="15" thickBot="1" x14ac:dyDescent="0.35">
      <c r="A77" s="13" t="s">
        <v>83</v>
      </c>
      <c r="B77" s="7">
        <v>101</v>
      </c>
      <c r="C77" s="7">
        <v>8</v>
      </c>
      <c r="D77" s="46">
        <v>35</v>
      </c>
      <c r="E77" s="57">
        <v>36</v>
      </c>
      <c r="F77" s="46">
        <v>98789</v>
      </c>
      <c r="G77" s="57">
        <v>36</v>
      </c>
      <c r="H77" s="65">
        <v>100554</v>
      </c>
      <c r="I77" s="57">
        <v>36</v>
      </c>
      <c r="J77" s="65">
        <v>101725</v>
      </c>
      <c r="K77" s="57">
        <v>36</v>
      </c>
      <c r="L77" s="65">
        <v>100867</v>
      </c>
      <c r="M77" s="57">
        <v>36</v>
      </c>
      <c r="N77" s="65">
        <v>97188</v>
      </c>
      <c r="O77" s="57">
        <v>36</v>
      </c>
      <c r="P77" s="46">
        <v>95419</v>
      </c>
      <c r="Q77" s="57">
        <v>36</v>
      </c>
      <c r="R77" s="65">
        <v>95762</v>
      </c>
      <c r="S77" s="57">
        <v>36</v>
      </c>
      <c r="T77" s="65">
        <v>96876</v>
      </c>
      <c r="U77" s="57">
        <v>36</v>
      </c>
      <c r="V77" s="65">
        <v>100340</v>
      </c>
      <c r="W77" s="57">
        <v>36</v>
      </c>
      <c r="X77" s="65">
        <v>98490</v>
      </c>
      <c r="Y77" s="20">
        <v>36</v>
      </c>
      <c r="Z77" s="57">
        <v>41.6</v>
      </c>
      <c r="AA77" s="7">
        <v>40</v>
      </c>
      <c r="AB77" s="7">
        <v>18.899999999999999</v>
      </c>
      <c r="AC77" s="65">
        <v>73.739999999999995</v>
      </c>
      <c r="AD77" s="57">
        <v>37.200000000000003</v>
      </c>
      <c r="AE77" s="7">
        <v>36</v>
      </c>
      <c r="AF77" s="7">
        <v>6.3</v>
      </c>
      <c r="AG77" s="65">
        <v>80.8</v>
      </c>
      <c r="AH77" s="57">
        <f t="shared" si="4"/>
        <v>38.5</v>
      </c>
      <c r="AI77" s="34">
        <f t="shared" si="5"/>
        <v>38</v>
      </c>
      <c r="AJ77" s="22">
        <f t="shared" si="6"/>
        <v>0.1</v>
      </c>
      <c r="AK77" s="20">
        <f t="shared" si="12"/>
        <v>80.8</v>
      </c>
      <c r="AL77" s="101">
        <f t="shared" si="7"/>
        <v>36</v>
      </c>
      <c r="AM77" s="102">
        <f t="shared" si="8"/>
        <v>36</v>
      </c>
      <c r="AN77" s="103">
        <f t="shared" si="9"/>
        <v>2.8571428571428571E-2</v>
      </c>
      <c r="AO77" s="104">
        <f t="shared" si="10"/>
        <v>98.600999999999999</v>
      </c>
      <c r="AP77" s="43">
        <v>39</v>
      </c>
      <c r="AQ77" s="42">
        <v>80800</v>
      </c>
      <c r="AR77" s="42">
        <v>39</v>
      </c>
      <c r="AS77" s="42">
        <v>80800</v>
      </c>
      <c r="AT77" s="42">
        <v>38</v>
      </c>
      <c r="AU77" s="42">
        <v>80800</v>
      </c>
      <c r="AV77" s="42">
        <v>39</v>
      </c>
      <c r="AW77" s="42">
        <v>80800</v>
      </c>
      <c r="AX77" s="42">
        <v>39</v>
      </c>
      <c r="AY77" s="42">
        <v>80800</v>
      </c>
      <c r="AZ77" s="42">
        <v>38</v>
      </c>
      <c r="BA77" s="42">
        <v>80800</v>
      </c>
      <c r="BB77" s="42">
        <v>38</v>
      </c>
      <c r="BC77" s="42">
        <v>80800</v>
      </c>
      <c r="BD77" s="42">
        <v>38</v>
      </c>
      <c r="BE77" s="42">
        <v>80800</v>
      </c>
      <c r="BF77" s="42">
        <v>38</v>
      </c>
      <c r="BG77" s="42">
        <v>80800</v>
      </c>
      <c r="BH77" s="42">
        <v>39</v>
      </c>
      <c r="BI77" s="42">
        <v>80800</v>
      </c>
    </row>
    <row r="78" spans="1:61" x14ac:dyDescent="0.3">
      <c r="A78" s="8" t="s">
        <v>84</v>
      </c>
      <c r="B78" s="5">
        <v>88</v>
      </c>
      <c r="C78" s="5">
        <v>16</v>
      </c>
      <c r="D78" s="47">
        <v>135</v>
      </c>
      <c r="E78" s="58">
        <v>144</v>
      </c>
      <c r="F78" s="47">
        <v>249009</v>
      </c>
      <c r="G78" s="58">
        <v>144</v>
      </c>
      <c r="H78" s="14">
        <v>247869</v>
      </c>
      <c r="I78" s="58">
        <v>144</v>
      </c>
      <c r="J78" s="14">
        <v>241936</v>
      </c>
      <c r="K78" s="58">
        <v>144</v>
      </c>
      <c r="L78" s="14">
        <v>238050</v>
      </c>
      <c r="M78" s="58">
        <v>144</v>
      </c>
      <c r="N78" s="14">
        <v>245683</v>
      </c>
      <c r="O78" s="58">
        <v>144</v>
      </c>
      <c r="P78" s="47">
        <v>249138</v>
      </c>
      <c r="Q78" s="58">
        <v>144</v>
      </c>
      <c r="R78" s="14">
        <v>249201</v>
      </c>
      <c r="S78" s="58">
        <v>144</v>
      </c>
      <c r="T78" s="14">
        <v>253117</v>
      </c>
      <c r="U78" s="58">
        <v>144</v>
      </c>
      <c r="V78" s="14">
        <v>244223</v>
      </c>
      <c r="W78" s="58">
        <v>144</v>
      </c>
      <c r="X78" s="14">
        <v>248920</v>
      </c>
      <c r="Y78" s="78">
        <v>144</v>
      </c>
      <c r="Z78" s="58">
        <v>162.6</v>
      </c>
      <c r="AA78" s="5">
        <v>159</v>
      </c>
      <c r="AB78" s="5">
        <v>20.399999999999999</v>
      </c>
      <c r="AC78" s="14">
        <v>211.3</v>
      </c>
      <c r="AD78" s="58">
        <v>144.6</v>
      </c>
      <c r="AE78" s="5">
        <v>144</v>
      </c>
      <c r="AF78" s="5">
        <v>7.1</v>
      </c>
      <c r="AG78" s="14">
        <v>140.80000000000001</v>
      </c>
      <c r="AH78" s="58">
        <f t="shared" si="4"/>
        <v>147.30000000000001</v>
      </c>
      <c r="AI78" s="5">
        <f t="shared" si="5"/>
        <v>144</v>
      </c>
      <c r="AJ78" s="18">
        <f t="shared" si="6"/>
        <v>9.1111111111111198E-2</v>
      </c>
      <c r="AK78" s="14">
        <f t="shared" si="12"/>
        <v>140.80000000000001</v>
      </c>
      <c r="AL78" s="58">
        <f t="shared" si="7"/>
        <v>144</v>
      </c>
      <c r="AM78" s="5">
        <f t="shared" si="8"/>
        <v>144</v>
      </c>
      <c r="AN78" s="100">
        <f t="shared" si="9"/>
        <v>6.6666666666666666E-2</v>
      </c>
      <c r="AO78" s="14">
        <f t="shared" si="10"/>
        <v>246.71460000000002</v>
      </c>
      <c r="AP78" s="1">
        <v>144</v>
      </c>
      <c r="AQ78" s="1">
        <v>140800</v>
      </c>
      <c r="AR78" s="1">
        <v>147</v>
      </c>
      <c r="AS78" s="1">
        <v>140800</v>
      </c>
      <c r="AT78" s="1">
        <v>147</v>
      </c>
      <c r="AU78" s="1">
        <v>140800</v>
      </c>
      <c r="AV78" s="1">
        <v>150</v>
      </c>
      <c r="AW78" s="1">
        <v>140800</v>
      </c>
      <c r="AX78" s="1">
        <v>150</v>
      </c>
      <c r="AY78" s="1">
        <v>140800</v>
      </c>
      <c r="AZ78" s="1">
        <v>147</v>
      </c>
      <c r="BA78" s="1">
        <v>140800</v>
      </c>
      <c r="BB78" s="1">
        <v>144</v>
      </c>
      <c r="BC78" s="1">
        <v>140800</v>
      </c>
      <c r="BD78" s="1">
        <v>147</v>
      </c>
      <c r="BE78" s="1">
        <v>140800</v>
      </c>
      <c r="BF78" s="1">
        <v>150</v>
      </c>
      <c r="BG78" s="1">
        <v>140800</v>
      </c>
      <c r="BH78" s="1">
        <v>147</v>
      </c>
      <c r="BI78" s="1">
        <v>140800</v>
      </c>
    </row>
    <row r="79" spans="1:61" x14ac:dyDescent="0.3">
      <c r="A79" s="9" t="s">
        <v>85</v>
      </c>
      <c r="B79" s="4">
        <v>102</v>
      </c>
      <c r="C79" s="4">
        <v>16</v>
      </c>
      <c r="D79" s="45">
        <v>99</v>
      </c>
      <c r="E79" s="56">
        <v>99</v>
      </c>
      <c r="F79" s="45">
        <v>106</v>
      </c>
      <c r="G79" s="56">
        <v>99</v>
      </c>
      <c r="H79" s="15">
        <v>25372</v>
      </c>
      <c r="I79" s="56">
        <v>99</v>
      </c>
      <c r="J79" s="15">
        <v>4238</v>
      </c>
      <c r="K79" s="56">
        <v>99</v>
      </c>
      <c r="L79" s="15">
        <v>106</v>
      </c>
      <c r="M79" s="56">
        <v>99</v>
      </c>
      <c r="N79" s="15">
        <v>20999</v>
      </c>
      <c r="O79" s="56">
        <v>99</v>
      </c>
      <c r="P79" s="45">
        <v>16447</v>
      </c>
      <c r="Q79" s="56">
        <v>99</v>
      </c>
      <c r="R79" s="15">
        <v>9753</v>
      </c>
      <c r="S79" s="56">
        <v>99</v>
      </c>
      <c r="T79" s="15">
        <v>29</v>
      </c>
      <c r="U79" s="56">
        <v>99</v>
      </c>
      <c r="V79" s="15">
        <v>4145</v>
      </c>
      <c r="W79" s="56">
        <v>99</v>
      </c>
      <c r="X79" s="15">
        <v>4261</v>
      </c>
      <c r="Y79" s="77">
        <v>99</v>
      </c>
      <c r="Z79" s="56">
        <v>112.7</v>
      </c>
      <c r="AA79" s="4">
        <v>111</v>
      </c>
      <c r="AB79" s="4">
        <v>13.8</v>
      </c>
      <c r="AC79" s="15">
        <v>215.08</v>
      </c>
      <c r="AD79" s="56">
        <v>100</v>
      </c>
      <c r="AE79" s="4">
        <v>99</v>
      </c>
      <c r="AF79" s="4">
        <v>1</v>
      </c>
      <c r="AG79" s="15">
        <v>16.32</v>
      </c>
      <c r="AH79" s="56">
        <f t="shared" si="4"/>
        <v>100.3</v>
      </c>
      <c r="AI79" s="34">
        <f t="shared" si="5"/>
        <v>100</v>
      </c>
      <c r="AJ79" s="17">
        <f t="shared" si="6"/>
        <v>1.3131313131313103E-2</v>
      </c>
      <c r="AK79" s="15">
        <f t="shared" si="12"/>
        <v>163.19999999999999</v>
      </c>
      <c r="AL79" s="55">
        <f t="shared" si="7"/>
        <v>99</v>
      </c>
      <c r="AM79" s="12">
        <f t="shared" si="8"/>
        <v>99</v>
      </c>
      <c r="AN79" s="18">
        <f t="shared" si="9"/>
        <v>0</v>
      </c>
      <c r="AO79" s="16">
        <f t="shared" si="10"/>
        <v>8.5456000000000003</v>
      </c>
      <c r="AP79" s="1">
        <v>100</v>
      </c>
      <c r="AQ79" s="1">
        <v>163200</v>
      </c>
      <c r="AR79" s="1">
        <v>101</v>
      </c>
      <c r="AS79" s="1">
        <v>163200</v>
      </c>
      <c r="AT79" s="1">
        <v>100</v>
      </c>
      <c r="AU79" s="1">
        <v>163200</v>
      </c>
      <c r="AV79" s="1">
        <v>100</v>
      </c>
      <c r="AW79" s="1">
        <v>163200</v>
      </c>
      <c r="AX79" s="1">
        <v>100</v>
      </c>
      <c r="AY79" s="1">
        <v>163200</v>
      </c>
      <c r="AZ79" s="1">
        <v>101</v>
      </c>
      <c r="BA79" s="1">
        <v>163200</v>
      </c>
      <c r="BB79" s="1">
        <v>100</v>
      </c>
      <c r="BC79" s="1">
        <v>163200</v>
      </c>
      <c r="BD79" s="1">
        <v>100</v>
      </c>
      <c r="BE79" s="1">
        <v>163200</v>
      </c>
      <c r="BF79" s="1">
        <v>100</v>
      </c>
      <c r="BG79" s="1">
        <v>163200</v>
      </c>
      <c r="BH79" s="1">
        <v>101</v>
      </c>
      <c r="BI79" s="1">
        <v>163200</v>
      </c>
    </row>
    <row r="80" spans="1:61" x14ac:dyDescent="0.3">
      <c r="A80" s="9" t="s">
        <v>86</v>
      </c>
      <c r="B80" s="4">
        <v>99</v>
      </c>
      <c r="C80" s="4">
        <v>16</v>
      </c>
      <c r="D80" s="45">
        <v>140</v>
      </c>
      <c r="E80" s="89">
        <v>143</v>
      </c>
      <c r="F80" s="45">
        <v>278024</v>
      </c>
      <c r="G80" s="89">
        <v>143</v>
      </c>
      <c r="H80" s="15">
        <v>279390</v>
      </c>
      <c r="I80" s="89">
        <v>143</v>
      </c>
      <c r="J80" s="15">
        <v>276102</v>
      </c>
      <c r="K80" s="89">
        <v>143</v>
      </c>
      <c r="L80" s="15">
        <v>278560</v>
      </c>
      <c r="M80" s="89">
        <v>143</v>
      </c>
      <c r="N80" s="15">
        <v>273336</v>
      </c>
      <c r="O80" s="89">
        <v>143</v>
      </c>
      <c r="P80" s="45">
        <v>284472</v>
      </c>
      <c r="Q80" s="89">
        <v>143</v>
      </c>
      <c r="R80" s="15">
        <v>289892</v>
      </c>
      <c r="S80" s="89">
        <v>143</v>
      </c>
      <c r="T80" s="15">
        <v>285611</v>
      </c>
      <c r="U80" s="89">
        <v>143</v>
      </c>
      <c r="V80" s="15">
        <v>273841</v>
      </c>
      <c r="W80" s="89">
        <v>143</v>
      </c>
      <c r="X80" s="15">
        <v>281752</v>
      </c>
      <c r="Y80" s="77">
        <v>144</v>
      </c>
      <c r="Z80" s="56">
        <v>164.7</v>
      </c>
      <c r="AA80" s="4">
        <v>163</v>
      </c>
      <c r="AB80" s="4">
        <v>17.600000000000001</v>
      </c>
      <c r="AC80" s="15">
        <v>272.12</v>
      </c>
      <c r="AD80" s="56">
        <v>146.19999999999999</v>
      </c>
      <c r="AE80" s="4">
        <v>144</v>
      </c>
      <c r="AF80" s="4">
        <v>4.4000000000000004</v>
      </c>
      <c r="AG80" s="15">
        <v>158.4</v>
      </c>
      <c r="AH80" s="56">
        <f t="shared" si="4"/>
        <v>144.80000000000001</v>
      </c>
      <c r="AI80" s="4">
        <f t="shared" si="5"/>
        <v>144</v>
      </c>
      <c r="AJ80" s="17">
        <f t="shared" si="6"/>
        <v>3.4285714285714364E-2</v>
      </c>
      <c r="AK80" s="15">
        <f t="shared" si="12"/>
        <v>158.4</v>
      </c>
      <c r="AL80" s="55">
        <f t="shared" si="7"/>
        <v>143</v>
      </c>
      <c r="AM80" s="107">
        <f t="shared" si="8"/>
        <v>143</v>
      </c>
      <c r="AN80" s="18">
        <f t="shared" si="9"/>
        <v>2.1428571428571429E-2</v>
      </c>
      <c r="AO80" s="16">
        <f t="shared" si="10"/>
        <v>280.09800000000001</v>
      </c>
      <c r="AP80" s="1">
        <v>144</v>
      </c>
      <c r="AQ80" s="1">
        <v>158400</v>
      </c>
      <c r="AR80" s="1">
        <v>144</v>
      </c>
      <c r="AS80" s="1">
        <v>158400</v>
      </c>
      <c r="AT80" s="1">
        <v>144</v>
      </c>
      <c r="AU80" s="1">
        <v>158400</v>
      </c>
      <c r="AV80" s="1">
        <v>145</v>
      </c>
      <c r="AW80" s="1">
        <v>158400</v>
      </c>
      <c r="AX80" s="1">
        <v>146</v>
      </c>
      <c r="AY80" s="1">
        <v>158400</v>
      </c>
      <c r="AZ80" s="1">
        <v>144</v>
      </c>
      <c r="BA80" s="1">
        <v>158400</v>
      </c>
      <c r="BB80" s="1">
        <v>145</v>
      </c>
      <c r="BC80" s="1">
        <v>158400</v>
      </c>
      <c r="BD80" s="1">
        <v>145</v>
      </c>
      <c r="BE80" s="1">
        <v>158400</v>
      </c>
      <c r="BF80" s="1">
        <v>145</v>
      </c>
      <c r="BG80" s="1">
        <v>158400</v>
      </c>
      <c r="BH80" s="1">
        <v>146</v>
      </c>
      <c r="BI80" s="1">
        <v>158400</v>
      </c>
    </row>
    <row r="81" spans="1:61" x14ac:dyDescent="0.3">
      <c r="A81" s="9" t="s">
        <v>87</v>
      </c>
      <c r="B81" s="4">
        <v>90</v>
      </c>
      <c r="C81" s="4">
        <v>16</v>
      </c>
      <c r="D81" s="45">
        <v>104</v>
      </c>
      <c r="E81" s="92">
        <v>107</v>
      </c>
      <c r="F81" s="45">
        <v>239626</v>
      </c>
      <c r="G81" s="92">
        <v>107</v>
      </c>
      <c r="H81" s="15">
        <v>238888</v>
      </c>
      <c r="I81" s="92">
        <v>107</v>
      </c>
      <c r="J81" s="15">
        <v>242620</v>
      </c>
      <c r="K81" s="92">
        <v>107</v>
      </c>
      <c r="L81" s="15">
        <v>235889</v>
      </c>
      <c r="M81" s="92">
        <v>107</v>
      </c>
      <c r="N81" s="15">
        <v>233460</v>
      </c>
      <c r="O81" s="92">
        <v>108</v>
      </c>
      <c r="P81" s="45">
        <v>237557</v>
      </c>
      <c r="Q81" s="92">
        <v>107</v>
      </c>
      <c r="R81" s="15">
        <v>240872</v>
      </c>
      <c r="S81" s="92">
        <v>108</v>
      </c>
      <c r="T81" s="15">
        <v>234445</v>
      </c>
      <c r="U81" s="92">
        <v>108</v>
      </c>
      <c r="V81" s="15">
        <v>243069</v>
      </c>
      <c r="W81" s="92">
        <v>107</v>
      </c>
      <c r="X81" s="15">
        <v>237445</v>
      </c>
      <c r="Y81" s="77">
        <v>106</v>
      </c>
      <c r="Z81" s="56">
        <v>125.9</v>
      </c>
      <c r="AA81" s="4">
        <v>124</v>
      </c>
      <c r="AB81" s="4">
        <v>21.1</v>
      </c>
      <c r="AC81" s="15">
        <v>184.49</v>
      </c>
      <c r="AD81" s="56">
        <v>108.2</v>
      </c>
      <c r="AE81" s="4">
        <v>106</v>
      </c>
      <c r="AF81" s="4">
        <v>4</v>
      </c>
      <c r="AG81" s="15">
        <v>144</v>
      </c>
      <c r="AH81" s="56">
        <f t="shared" si="4"/>
        <v>108.6</v>
      </c>
      <c r="AI81" s="34">
        <f t="shared" si="5"/>
        <v>107</v>
      </c>
      <c r="AJ81" s="17">
        <f t="shared" si="6"/>
        <v>4.4230769230769178E-2</v>
      </c>
      <c r="AK81" s="15">
        <f t="shared" si="12"/>
        <v>144</v>
      </c>
      <c r="AL81" s="55">
        <f t="shared" si="7"/>
        <v>107.3</v>
      </c>
      <c r="AM81" s="106">
        <f t="shared" si="8"/>
        <v>107</v>
      </c>
      <c r="AN81" s="18">
        <f t="shared" si="9"/>
        <v>3.1730769230769201E-2</v>
      </c>
      <c r="AO81" s="16">
        <f t="shared" si="10"/>
        <v>238.3871</v>
      </c>
      <c r="AP81" s="1">
        <v>107</v>
      </c>
      <c r="AQ81" s="1">
        <v>144000</v>
      </c>
      <c r="AR81" s="1">
        <v>110</v>
      </c>
      <c r="AS81" s="1">
        <v>144000</v>
      </c>
      <c r="AT81" s="1">
        <v>110</v>
      </c>
      <c r="AU81" s="1">
        <v>144000</v>
      </c>
      <c r="AV81" s="1">
        <v>107</v>
      </c>
      <c r="AW81" s="1">
        <v>144000</v>
      </c>
      <c r="AX81" s="1">
        <v>108</v>
      </c>
      <c r="AY81" s="40">
        <v>144000</v>
      </c>
      <c r="AZ81" s="1">
        <v>108</v>
      </c>
      <c r="BA81" s="1">
        <v>144000</v>
      </c>
      <c r="BB81" s="1">
        <v>110</v>
      </c>
      <c r="BC81" s="1">
        <v>144000</v>
      </c>
      <c r="BD81" s="1">
        <v>110</v>
      </c>
      <c r="BE81" s="1">
        <v>144000</v>
      </c>
      <c r="BF81" s="1">
        <v>107</v>
      </c>
      <c r="BG81" s="1">
        <v>144000</v>
      </c>
      <c r="BH81" s="1">
        <v>109</v>
      </c>
      <c r="BI81" s="1">
        <v>144000</v>
      </c>
    </row>
    <row r="82" spans="1:61" x14ac:dyDescent="0.3">
      <c r="A82" s="9" t="s">
        <v>88</v>
      </c>
      <c r="B82" s="4">
        <v>96</v>
      </c>
      <c r="C82" s="4">
        <v>16</v>
      </c>
      <c r="D82" s="45">
        <v>100</v>
      </c>
      <c r="E82" s="56">
        <v>104</v>
      </c>
      <c r="F82" s="45">
        <v>297189</v>
      </c>
      <c r="G82" s="56">
        <v>104</v>
      </c>
      <c r="H82" s="15">
        <v>298546</v>
      </c>
      <c r="I82" s="56">
        <v>104</v>
      </c>
      <c r="J82" s="15">
        <v>289673</v>
      </c>
      <c r="K82" s="56">
        <v>104</v>
      </c>
      <c r="L82" s="15">
        <v>295110</v>
      </c>
      <c r="M82" s="56">
        <v>104</v>
      </c>
      <c r="N82" s="15">
        <v>296811</v>
      </c>
      <c r="O82" s="56">
        <v>104</v>
      </c>
      <c r="P82" s="45">
        <v>291032</v>
      </c>
      <c r="Q82" s="56">
        <v>104</v>
      </c>
      <c r="R82" s="15">
        <v>293665</v>
      </c>
      <c r="S82" s="56">
        <v>104</v>
      </c>
      <c r="T82" s="15">
        <v>305279</v>
      </c>
      <c r="U82" s="56">
        <v>104</v>
      </c>
      <c r="V82" s="15">
        <v>288723</v>
      </c>
      <c r="W82" s="56">
        <v>104</v>
      </c>
      <c r="X82" s="15">
        <v>290679</v>
      </c>
      <c r="Y82" s="77">
        <v>104</v>
      </c>
      <c r="Z82" s="56">
        <v>119.8</v>
      </c>
      <c r="AA82" s="4">
        <v>118</v>
      </c>
      <c r="AB82" s="4">
        <v>19.8</v>
      </c>
      <c r="AC82" s="15">
        <v>201.75</v>
      </c>
      <c r="AD82" s="56">
        <v>108.2</v>
      </c>
      <c r="AE82" s="4">
        <v>104</v>
      </c>
      <c r="AF82" s="4">
        <v>8.1999999999999993</v>
      </c>
      <c r="AG82" s="15">
        <v>153.6</v>
      </c>
      <c r="AH82" s="56">
        <f t="shared" si="4"/>
        <v>108.1</v>
      </c>
      <c r="AI82" s="34">
        <f t="shared" si="5"/>
        <v>106</v>
      </c>
      <c r="AJ82" s="17">
        <f t="shared" si="6"/>
        <v>8.0999999999999947E-2</v>
      </c>
      <c r="AK82" s="15">
        <f t="shared" si="12"/>
        <v>153.6</v>
      </c>
      <c r="AL82" s="55">
        <f t="shared" si="7"/>
        <v>104</v>
      </c>
      <c r="AM82" s="12">
        <f t="shared" si="8"/>
        <v>104</v>
      </c>
      <c r="AN82" s="18">
        <f t="shared" si="9"/>
        <v>0.04</v>
      </c>
      <c r="AO82" s="16">
        <f t="shared" si="10"/>
        <v>294.67070000000001</v>
      </c>
      <c r="AP82" s="1">
        <v>106</v>
      </c>
      <c r="AQ82" s="1">
        <v>153600</v>
      </c>
      <c r="AR82" s="1">
        <v>108</v>
      </c>
      <c r="AS82" s="1">
        <v>153600</v>
      </c>
      <c r="AT82" s="1">
        <v>108</v>
      </c>
      <c r="AU82" s="1">
        <v>153600</v>
      </c>
      <c r="AV82" s="1">
        <v>108</v>
      </c>
      <c r="AW82" s="1">
        <v>153600</v>
      </c>
      <c r="AX82" s="1">
        <v>108</v>
      </c>
      <c r="AY82" s="1">
        <v>153600</v>
      </c>
      <c r="AZ82" s="1">
        <v>106</v>
      </c>
      <c r="BA82" s="1">
        <v>153600</v>
      </c>
      <c r="BB82" s="1">
        <v>108</v>
      </c>
      <c r="BC82" s="1">
        <v>153600</v>
      </c>
      <c r="BD82" s="1">
        <v>108</v>
      </c>
      <c r="BE82" s="1">
        <v>153600</v>
      </c>
      <c r="BF82" s="1">
        <v>111</v>
      </c>
      <c r="BG82" s="1">
        <v>153600</v>
      </c>
      <c r="BH82" s="1">
        <v>110</v>
      </c>
      <c r="BI82" s="1">
        <v>153600</v>
      </c>
    </row>
    <row r="83" spans="1:61" x14ac:dyDescent="0.3">
      <c r="A83" s="9" t="s">
        <v>89</v>
      </c>
      <c r="B83" s="4">
        <v>104</v>
      </c>
      <c r="C83" s="4">
        <v>16</v>
      </c>
      <c r="D83" s="45">
        <v>143</v>
      </c>
      <c r="E83" s="89">
        <v>144</v>
      </c>
      <c r="F83" s="45">
        <v>322890</v>
      </c>
      <c r="G83" s="89">
        <v>144</v>
      </c>
      <c r="H83" s="15">
        <v>317800</v>
      </c>
      <c r="I83" s="89">
        <v>144</v>
      </c>
      <c r="J83" s="15">
        <v>307956</v>
      </c>
      <c r="K83" s="89">
        <v>144</v>
      </c>
      <c r="L83" s="15">
        <v>320793</v>
      </c>
      <c r="M83" s="89">
        <v>144</v>
      </c>
      <c r="N83" s="15">
        <v>309822</v>
      </c>
      <c r="O83" s="89">
        <v>144</v>
      </c>
      <c r="P83" s="45">
        <v>318504</v>
      </c>
      <c r="Q83" s="89">
        <v>144</v>
      </c>
      <c r="R83" s="15">
        <v>307027</v>
      </c>
      <c r="S83" s="89">
        <v>144</v>
      </c>
      <c r="T83" s="15">
        <v>321570</v>
      </c>
      <c r="U83" s="89">
        <v>144</v>
      </c>
      <c r="V83" s="15">
        <v>324485</v>
      </c>
      <c r="W83" s="89">
        <v>144</v>
      </c>
      <c r="X83" s="15">
        <v>313899</v>
      </c>
      <c r="Y83" s="86">
        <v>144</v>
      </c>
      <c r="Z83" s="56">
        <v>167.2</v>
      </c>
      <c r="AA83" s="4">
        <v>165</v>
      </c>
      <c r="AB83" s="4">
        <v>16.899999999999999</v>
      </c>
      <c r="AC83" s="15">
        <v>303.74</v>
      </c>
      <c r="AD83" s="56">
        <v>147.1</v>
      </c>
      <c r="AE83" s="4">
        <v>145</v>
      </c>
      <c r="AF83" s="4">
        <v>2.9</v>
      </c>
      <c r="AG83" s="15">
        <v>166.4</v>
      </c>
      <c r="AH83" s="56">
        <f t="shared" si="4"/>
        <v>145.69999999999999</v>
      </c>
      <c r="AI83" s="4">
        <f t="shared" si="5"/>
        <v>145</v>
      </c>
      <c r="AJ83" s="17">
        <f t="shared" si="6"/>
        <v>1.8881118881118802E-2</v>
      </c>
      <c r="AK83" s="15">
        <f t="shared" si="12"/>
        <v>166.4</v>
      </c>
      <c r="AL83" s="55">
        <f t="shared" si="7"/>
        <v>144</v>
      </c>
      <c r="AM83" s="107">
        <f t="shared" si="8"/>
        <v>144</v>
      </c>
      <c r="AN83" s="18">
        <f t="shared" si="9"/>
        <v>6.993006993006993E-3</v>
      </c>
      <c r="AO83" s="16">
        <f t="shared" si="10"/>
        <v>316.47459999999995</v>
      </c>
      <c r="AP83" s="1">
        <v>145</v>
      </c>
      <c r="AQ83" s="1">
        <v>166400</v>
      </c>
      <c r="AR83" s="1">
        <v>147</v>
      </c>
      <c r="AS83" s="40">
        <v>166400</v>
      </c>
      <c r="AT83" s="1">
        <v>146</v>
      </c>
      <c r="AU83" s="40">
        <v>166400</v>
      </c>
      <c r="AV83" s="1">
        <v>146</v>
      </c>
      <c r="AW83" s="40">
        <v>166400</v>
      </c>
      <c r="AX83" s="1">
        <v>146</v>
      </c>
      <c r="AY83" s="40">
        <v>166400</v>
      </c>
      <c r="AZ83" s="1">
        <v>145</v>
      </c>
      <c r="BA83" s="40">
        <v>166400</v>
      </c>
      <c r="BB83" s="1">
        <v>146</v>
      </c>
      <c r="BC83" s="40">
        <v>166400</v>
      </c>
      <c r="BD83" s="1">
        <v>145</v>
      </c>
      <c r="BE83" s="40">
        <v>166400</v>
      </c>
      <c r="BF83" s="1">
        <v>145</v>
      </c>
      <c r="BG83" s="40">
        <v>166400</v>
      </c>
      <c r="BH83" s="1">
        <v>146</v>
      </c>
      <c r="BI83" s="40">
        <v>166400</v>
      </c>
    </row>
    <row r="84" spans="1:61" x14ac:dyDescent="0.3">
      <c r="A84" s="9" t="s">
        <v>90</v>
      </c>
      <c r="B84" s="4">
        <v>106</v>
      </c>
      <c r="C84" s="4">
        <v>16</v>
      </c>
      <c r="D84" s="45">
        <v>121</v>
      </c>
      <c r="E84" s="56">
        <v>123</v>
      </c>
      <c r="F84" s="45">
        <v>348160</v>
      </c>
      <c r="G84" s="56">
        <v>123</v>
      </c>
      <c r="H84" s="15">
        <v>342248</v>
      </c>
      <c r="I84" s="56">
        <v>123</v>
      </c>
      <c r="J84" s="15">
        <v>352436</v>
      </c>
      <c r="K84" s="56">
        <v>123</v>
      </c>
      <c r="L84" s="15">
        <v>325196</v>
      </c>
      <c r="M84" s="89">
        <v>122</v>
      </c>
      <c r="N84" s="15">
        <v>344053</v>
      </c>
      <c r="O84" s="56">
        <v>123</v>
      </c>
      <c r="P84" s="45">
        <v>343326</v>
      </c>
      <c r="Q84" s="56">
        <v>123</v>
      </c>
      <c r="R84" s="15">
        <v>354691</v>
      </c>
      <c r="S84" s="56">
        <v>123</v>
      </c>
      <c r="T84" s="15">
        <v>346679</v>
      </c>
      <c r="U84" s="56">
        <v>123</v>
      </c>
      <c r="V84" s="15">
        <v>327369</v>
      </c>
      <c r="W84" s="56">
        <v>123</v>
      </c>
      <c r="X84" s="15">
        <v>351846</v>
      </c>
      <c r="Y84" s="77">
        <v>123</v>
      </c>
      <c r="Z84" s="56">
        <v>142.4</v>
      </c>
      <c r="AA84" s="4">
        <v>141</v>
      </c>
      <c r="AB84" s="4">
        <v>17.7</v>
      </c>
      <c r="AC84" s="15">
        <v>278.14999999999998</v>
      </c>
      <c r="AD84" s="56">
        <v>124.2</v>
      </c>
      <c r="AE84" s="4">
        <v>123</v>
      </c>
      <c r="AF84" s="4">
        <v>2.6</v>
      </c>
      <c r="AG84" s="15">
        <v>169.6</v>
      </c>
      <c r="AH84" s="56">
        <f t="shared" si="4"/>
        <v>125.7</v>
      </c>
      <c r="AI84" s="34">
        <f t="shared" si="5"/>
        <v>125</v>
      </c>
      <c r="AJ84" s="17">
        <f t="shared" si="6"/>
        <v>3.8842975206611591E-2</v>
      </c>
      <c r="AK84" s="15">
        <f t="shared" si="12"/>
        <v>169.6</v>
      </c>
      <c r="AL84" s="55">
        <f t="shared" si="7"/>
        <v>122.9</v>
      </c>
      <c r="AM84" s="107">
        <f t="shared" si="8"/>
        <v>122</v>
      </c>
      <c r="AN84" s="18">
        <f t="shared" si="9"/>
        <v>1.5702479338843021E-2</v>
      </c>
      <c r="AO84" s="16">
        <f t="shared" si="10"/>
        <v>343.60040000000004</v>
      </c>
      <c r="AP84" s="1">
        <v>125</v>
      </c>
      <c r="AQ84" s="1">
        <v>169600</v>
      </c>
      <c r="AR84" s="1">
        <v>126</v>
      </c>
      <c r="AS84" s="40">
        <v>169600</v>
      </c>
      <c r="AT84" s="1">
        <v>125</v>
      </c>
      <c r="AU84" s="40">
        <v>169600</v>
      </c>
      <c r="AV84" s="1">
        <v>125</v>
      </c>
      <c r="AW84" s="40">
        <v>169600</v>
      </c>
      <c r="AX84" s="1">
        <v>125</v>
      </c>
      <c r="AY84" s="40">
        <v>169600</v>
      </c>
      <c r="AZ84" s="1">
        <v>128</v>
      </c>
      <c r="BA84" s="40">
        <v>169600</v>
      </c>
      <c r="BB84" s="1">
        <v>127</v>
      </c>
      <c r="BC84" s="40">
        <v>169600</v>
      </c>
      <c r="BD84" s="1">
        <v>126</v>
      </c>
      <c r="BE84" s="40">
        <v>169600</v>
      </c>
      <c r="BF84" s="1">
        <v>125</v>
      </c>
      <c r="BG84" s="40">
        <v>169600</v>
      </c>
      <c r="BH84" s="1">
        <v>125</v>
      </c>
      <c r="BI84" s="40">
        <v>169600</v>
      </c>
    </row>
    <row r="85" spans="1:61" x14ac:dyDescent="0.3">
      <c r="A85" s="9" t="s">
        <v>91</v>
      </c>
      <c r="B85" s="4">
        <v>81</v>
      </c>
      <c r="C85" s="4">
        <v>16</v>
      </c>
      <c r="D85" s="45">
        <v>63</v>
      </c>
      <c r="E85" s="56">
        <v>63</v>
      </c>
      <c r="F85" s="45">
        <v>25</v>
      </c>
      <c r="G85" s="56">
        <v>63</v>
      </c>
      <c r="H85" s="15">
        <v>65</v>
      </c>
      <c r="I85" s="56">
        <v>63</v>
      </c>
      <c r="J85" s="15">
        <v>21</v>
      </c>
      <c r="K85" s="56">
        <v>63</v>
      </c>
      <c r="L85" s="15">
        <v>23</v>
      </c>
      <c r="M85" s="56">
        <v>63</v>
      </c>
      <c r="N85" s="15">
        <v>66</v>
      </c>
      <c r="O85" s="56">
        <v>63</v>
      </c>
      <c r="P85" s="45">
        <v>69</v>
      </c>
      <c r="Q85" s="56">
        <v>63</v>
      </c>
      <c r="R85" s="15">
        <v>66</v>
      </c>
      <c r="S85" s="56">
        <v>63</v>
      </c>
      <c r="T85" s="15">
        <v>68</v>
      </c>
      <c r="U85" s="56">
        <v>63</v>
      </c>
      <c r="V85" s="15">
        <v>23</v>
      </c>
      <c r="W85" s="56">
        <v>63</v>
      </c>
      <c r="X85" s="15">
        <v>66</v>
      </c>
      <c r="Y85" s="77">
        <v>63</v>
      </c>
      <c r="Z85" s="56">
        <v>70.2</v>
      </c>
      <c r="AA85" s="4">
        <v>69</v>
      </c>
      <c r="AB85" s="4">
        <v>11.4</v>
      </c>
      <c r="AC85" s="15">
        <v>101.49</v>
      </c>
      <c r="AD85" s="56">
        <v>63</v>
      </c>
      <c r="AE85" s="4">
        <v>63</v>
      </c>
      <c r="AF85" s="4">
        <v>0</v>
      </c>
      <c r="AG85" s="15">
        <v>0</v>
      </c>
      <c r="AH85" s="56">
        <f t="shared" si="4"/>
        <v>63.3</v>
      </c>
      <c r="AI85" s="4">
        <f t="shared" si="5"/>
        <v>63</v>
      </c>
      <c r="AJ85" s="17">
        <f t="shared" si="6"/>
        <v>4.7619047619047164E-3</v>
      </c>
      <c r="AK85" s="15">
        <f t="shared" si="12"/>
        <v>39.613599999999998</v>
      </c>
      <c r="AL85" s="55">
        <f t="shared" si="7"/>
        <v>63</v>
      </c>
      <c r="AM85" s="12">
        <f t="shared" si="8"/>
        <v>63</v>
      </c>
      <c r="AN85" s="18">
        <f t="shared" si="9"/>
        <v>0</v>
      </c>
      <c r="AO85" s="16">
        <f t="shared" si="10"/>
        <v>4.9200000000000001E-2</v>
      </c>
      <c r="AP85" s="1">
        <v>63</v>
      </c>
      <c r="AQ85" s="1">
        <v>856</v>
      </c>
      <c r="AR85" s="1">
        <v>63</v>
      </c>
      <c r="AS85" s="1">
        <v>1488</v>
      </c>
      <c r="AT85" s="1">
        <v>63</v>
      </c>
      <c r="AU85" s="1">
        <v>986</v>
      </c>
      <c r="AV85" s="1">
        <v>63</v>
      </c>
      <c r="AW85" s="1">
        <v>1244</v>
      </c>
      <c r="AX85" s="1">
        <v>64</v>
      </c>
      <c r="AY85" s="1">
        <v>129600</v>
      </c>
      <c r="AZ85" s="1">
        <v>63</v>
      </c>
      <c r="BA85" s="1">
        <v>1009</v>
      </c>
      <c r="BB85" s="40">
        <v>64</v>
      </c>
      <c r="BC85" s="40">
        <v>129600</v>
      </c>
      <c r="BD85" s="1">
        <v>63</v>
      </c>
      <c r="BE85" s="1">
        <v>806</v>
      </c>
      <c r="BF85" s="40">
        <v>64</v>
      </c>
      <c r="BG85" s="40">
        <v>129600</v>
      </c>
      <c r="BH85" s="1">
        <v>63</v>
      </c>
      <c r="BI85" s="1">
        <v>947</v>
      </c>
    </row>
    <row r="86" spans="1:61" x14ac:dyDescent="0.3">
      <c r="A86" s="9" t="s">
        <v>92</v>
      </c>
      <c r="B86" s="4">
        <v>101</v>
      </c>
      <c r="C86" s="4">
        <v>16</v>
      </c>
      <c r="D86" s="45">
        <v>121</v>
      </c>
      <c r="E86" s="56">
        <v>121</v>
      </c>
      <c r="F86" s="45">
        <v>21143</v>
      </c>
      <c r="G86" s="92">
        <v>122</v>
      </c>
      <c r="H86" s="15">
        <v>339649</v>
      </c>
      <c r="I86" s="92">
        <v>122</v>
      </c>
      <c r="J86" s="15">
        <v>287607</v>
      </c>
      <c r="K86" s="92">
        <v>122</v>
      </c>
      <c r="L86" s="15">
        <v>324102</v>
      </c>
      <c r="M86" s="92">
        <v>122</v>
      </c>
      <c r="N86" s="15">
        <v>313230</v>
      </c>
      <c r="O86" s="92">
        <v>122</v>
      </c>
      <c r="P86" s="45">
        <v>323841</v>
      </c>
      <c r="Q86" s="92">
        <v>122</v>
      </c>
      <c r="R86" s="15">
        <v>328758</v>
      </c>
      <c r="S86" s="92">
        <v>122</v>
      </c>
      <c r="T86" s="15">
        <v>337290</v>
      </c>
      <c r="U86" s="92">
        <v>122</v>
      </c>
      <c r="V86" s="15">
        <v>320680</v>
      </c>
      <c r="W86" s="92">
        <v>122</v>
      </c>
      <c r="X86" s="15">
        <v>337297</v>
      </c>
      <c r="Y86" s="77">
        <v>121</v>
      </c>
      <c r="Z86" s="56">
        <v>140.9</v>
      </c>
      <c r="AA86" s="4">
        <v>140</v>
      </c>
      <c r="AB86" s="4">
        <v>16.399999999999999</v>
      </c>
      <c r="AC86" s="15">
        <v>251.23</v>
      </c>
      <c r="AD86" s="56">
        <v>124.2</v>
      </c>
      <c r="AE86" s="4">
        <v>121</v>
      </c>
      <c r="AF86" s="4">
        <v>2.6</v>
      </c>
      <c r="AG86" s="15">
        <v>129.28</v>
      </c>
      <c r="AH86" s="56">
        <f t="shared" si="4"/>
        <v>124.4</v>
      </c>
      <c r="AI86" s="34">
        <f t="shared" si="5"/>
        <v>123</v>
      </c>
      <c r="AJ86" s="17">
        <f t="shared" si="6"/>
        <v>2.8099173553719055E-2</v>
      </c>
      <c r="AK86" s="15">
        <f t="shared" si="12"/>
        <v>161.6</v>
      </c>
      <c r="AL86" s="55">
        <f t="shared" si="7"/>
        <v>121.9</v>
      </c>
      <c r="AM86" s="12">
        <f t="shared" si="8"/>
        <v>121</v>
      </c>
      <c r="AN86" s="18">
        <f t="shared" si="9"/>
        <v>7.4380165289256667E-3</v>
      </c>
      <c r="AO86" s="16">
        <f t="shared" si="10"/>
        <v>293.35970000000003</v>
      </c>
      <c r="AP86" s="1">
        <v>124</v>
      </c>
      <c r="AQ86" s="1">
        <v>161600</v>
      </c>
      <c r="AR86" s="40">
        <v>124</v>
      </c>
      <c r="AS86" s="40">
        <v>161600</v>
      </c>
      <c r="AT86" s="40">
        <v>124</v>
      </c>
      <c r="AU86" s="40">
        <v>161600</v>
      </c>
      <c r="AV86" s="1">
        <v>125</v>
      </c>
      <c r="AW86" s="1">
        <v>161600</v>
      </c>
      <c r="AX86" s="40">
        <v>125</v>
      </c>
      <c r="AY86" s="40">
        <v>161600</v>
      </c>
      <c r="AZ86" s="40">
        <v>124</v>
      </c>
      <c r="BA86" s="40">
        <v>161600</v>
      </c>
      <c r="BB86" s="40">
        <v>125</v>
      </c>
      <c r="BC86" s="40">
        <v>161600</v>
      </c>
      <c r="BD86" s="40">
        <v>123</v>
      </c>
      <c r="BE86" s="40">
        <v>161600</v>
      </c>
      <c r="BF86" s="40">
        <v>124</v>
      </c>
      <c r="BG86" s="40">
        <v>161600</v>
      </c>
      <c r="BH86" s="1">
        <v>126</v>
      </c>
      <c r="BI86" s="1">
        <v>161600</v>
      </c>
    </row>
    <row r="87" spans="1:61" x14ac:dyDescent="0.3">
      <c r="A87" s="9" t="s">
        <v>93</v>
      </c>
      <c r="B87" s="4">
        <v>96</v>
      </c>
      <c r="C87" s="4">
        <v>16</v>
      </c>
      <c r="D87" s="45">
        <v>120</v>
      </c>
      <c r="E87" s="56">
        <v>121</v>
      </c>
      <c r="F87" s="45">
        <v>266211</v>
      </c>
      <c r="G87" s="56">
        <v>121</v>
      </c>
      <c r="H87" s="15">
        <v>265885</v>
      </c>
      <c r="I87" s="56">
        <v>121</v>
      </c>
      <c r="J87" s="15">
        <v>267420</v>
      </c>
      <c r="K87" s="56">
        <v>121</v>
      </c>
      <c r="L87" s="15">
        <v>272282</v>
      </c>
      <c r="M87" s="56">
        <v>121</v>
      </c>
      <c r="N87" s="15">
        <v>263691</v>
      </c>
      <c r="O87" s="56">
        <v>121</v>
      </c>
      <c r="P87" s="45">
        <v>264442</v>
      </c>
      <c r="Q87" s="56">
        <v>121</v>
      </c>
      <c r="R87" s="15">
        <v>264886</v>
      </c>
      <c r="S87" s="56">
        <v>121</v>
      </c>
      <c r="T87" s="15">
        <v>271285</v>
      </c>
      <c r="U87" s="56">
        <v>121</v>
      </c>
      <c r="V87" s="15">
        <v>275146</v>
      </c>
      <c r="W87" s="56">
        <v>121</v>
      </c>
      <c r="X87" s="15">
        <v>272478</v>
      </c>
      <c r="Y87" s="77">
        <v>121</v>
      </c>
      <c r="Z87" s="56">
        <v>140.1</v>
      </c>
      <c r="AA87" s="4">
        <v>139</v>
      </c>
      <c r="AB87" s="4">
        <v>16.8</v>
      </c>
      <c r="AC87" s="15">
        <v>227.53</v>
      </c>
      <c r="AD87" s="56">
        <v>122.2</v>
      </c>
      <c r="AE87" s="4">
        <v>121</v>
      </c>
      <c r="AF87" s="4">
        <v>1.8</v>
      </c>
      <c r="AG87" s="15">
        <v>153.6</v>
      </c>
      <c r="AH87" s="56">
        <f t="shared" si="4"/>
        <v>123.5</v>
      </c>
      <c r="AI87" s="34">
        <f t="shared" si="5"/>
        <v>122</v>
      </c>
      <c r="AJ87" s="17">
        <f t="shared" si="6"/>
        <v>2.9166666666666667E-2</v>
      </c>
      <c r="AK87" s="15">
        <f t="shared" si="12"/>
        <v>153.6</v>
      </c>
      <c r="AL87" s="55">
        <f t="shared" si="7"/>
        <v>121</v>
      </c>
      <c r="AM87" s="12">
        <f t="shared" si="8"/>
        <v>121</v>
      </c>
      <c r="AN87" s="18">
        <f t="shared" si="9"/>
        <v>8.3333333333333332E-3</v>
      </c>
      <c r="AO87" s="16">
        <f t="shared" si="10"/>
        <v>268.37259999999998</v>
      </c>
      <c r="AP87" s="1">
        <v>122</v>
      </c>
      <c r="AQ87" s="40">
        <v>153600</v>
      </c>
      <c r="AR87" s="1">
        <v>125</v>
      </c>
      <c r="AS87" s="40">
        <v>153600</v>
      </c>
      <c r="AT87" s="1">
        <v>124</v>
      </c>
      <c r="AU87" s="40">
        <v>153600</v>
      </c>
      <c r="AV87" s="1">
        <v>122</v>
      </c>
      <c r="AW87" s="40">
        <v>153600</v>
      </c>
      <c r="AX87" s="1">
        <v>124</v>
      </c>
      <c r="AY87" s="40">
        <v>153600</v>
      </c>
      <c r="AZ87" s="1">
        <v>124</v>
      </c>
      <c r="BA87" s="40">
        <v>153600</v>
      </c>
      <c r="BB87" s="1">
        <v>123</v>
      </c>
      <c r="BC87" s="40">
        <v>153600</v>
      </c>
      <c r="BD87" s="1">
        <v>124</v>
      </c>
      <c r="BE87" s="40">
        <v>153600</v>
      </c>
      <c r="BF87" s="1">
        <v>123</v>
      </c>
      <c r="BG87" s="40">
        <v>153600</v>
      </c>
      <c r="BH87" s="1">
        <v>124</v>
      </c>
      <c r="BI87" s="40">
        <v>153600</v>
      </c>
    </row>
    <row r="88" spans="1:61" x14ac:dyDescent="0.3">
      <c r="A88" s="9" t="s">
        <v>94</v>
      </c>
      <c r="B88" s="4">
        <v>93</v>
      </c>
      <c r="C88" s="4">
        <v>16</v>
      </c>
      <c r="D88" s="45">
        <v>80</v>
      </c>
      <c r="E88" s="56">
        <v>80</v>
      </c>
      <c r="F88" s="45">
        <v>90</v>
      </c>
      <c r="G88" s="56">
        <v>80</v>
      </c>
      <c r="H88" s="15">
        <v>103</v>
      </c>
      <c r="I88" s="56">
        <v>80</v>
      </c>
      <c r="J88" s="15">
        <v>89</v>
      </c>
      <c r="K88" s="56">
        <v>80</v>
      </c>
      <c r="L88" s="15">
        <v>25</v>
      </c>
      <c r="M88" s="56">
        <v>80</v>
      </c>
      <c r="N88" s="15">
        <v>111</v>
      </c>
      <c r="O88" s="56">
        <v>80</v>
      </c>
      <c r="P88" s="45">
        <v>113</v>
      </c>
      <c r="Q88" s="56">
        <v>80</v>
      </c>
      <c r="R88" s="15">
        <v>93</v>
      </c>
      <c r="S88" s="56">
        <v>80</v>
      </c>
      <c r="T88" s="15">
        <v>215</v>
      </c>
      <c r="U88" s="56">
        <v>80</v>
      </c>
      <c r="V88" s="15">
        <v>129</v>
      </c>
      <c r="W88" s="56">
        <v>80</v>
      </c>
      <c r="X88" s="15">
        <v>25</v>
      </c>
      <c r="Y88" s="77">
        <v>80</v>
      </c>
      <c r="Z88" s="56">
        <v>92.2</v>
      </c>
      <c r="AA88" s="4">
        <v>90</v>
      </c>
      <c r="AB88" s="4">
        <v>15.3</v>
      </c>
      <c r="AC88" s="15">
        <v>160.84</v>
      </c>
      <c r="AD88" s="56">
        <v>80</v>
      </c>
      <c r="AE88" s="4">
        <v>80</v>
      </c>
      <c r="AF88" s="4">
        <v>0</v>
      </c>
      <c r="AG88" s="15">
        <v>0</v>
      </c>
      <c r="AH88" s="56">
        <f t="shared" si="4"/>
        <v>81.900000000000006</v>
      </c>
      <c r="AI88" s="34">
        <f t="shared" si="5"/>
        <v>81</v>
      </c>
      <c r="AJ88" s="17">
        <f t="shared" si="6"/>
        <v>2.375000000000007E-2</v>
      </c>
      <c r="AK88" s="15">
        <f t="shared" si="12"/>
        <v>148.80000000000001</v>
      </c>
      <c r="AL88" s="55">
        <f t="shared" si="7"/>
        <v>80</v>
      </c>
      <c r="AM88" s="12">
        <f t="shared" si="8"/>
        <v>80</v>
      </c>
      <c r="AN88" s="18">
        <f t="shared" si="9"/>
        <v>0</v>
      </c>
      <c r="AO88" s="16">
        <f t="shared" si="10"/>
        <v>9.9299999999999999E-2</v>
      </c>
      <c r="AP88" s="1">
        <v>82</v>
      </c>
      <c r="AQ88" s="40">
        <v>148800</v>
      </c>
      <c r="AR88" s="1">
        <v>82</v>
      </c>
      <c r="AS88" s="40">
        <v>148800</v>
      </c>
      <c r="AT88" s="1">
        <v>81</v>
      </c>
      <c r="AU88" s="40">
        <v>148800</v>
      </c>
      <c r="AV88" s="1">
        <v>82</v>
      </c>
      <c r="AW88" s="40">
        <v>148800</v>
      </c>
      <c r="AX88" s="1">
        <v>82</v>
      </c>
      <c r="AY88" s="40">
        <v>148800</v>
      </c>
      <c r="AZ88" s="1">
        <v>82</v>
      </c>
      <c r="BA88" s="40">
        <v>148800</v>
      </c>
      <c r="BB88" s="1">
        <v>82</v>
      </c>
      <c r="BC88" s="40">
        <v>148800</v>
      </c>
      <c r="BD88" s="1">
        <v>82</v>
      </c>
      <c r="BE88" s="40">
        <v>148800</v>
      </c>
      <c r="BF88" s="1">
        <v>82</v>
      </c>
      <c r="BG88" s="40">
        <v>148800</v>
      </c>
      <c r="BH88" s="1">
        <v>82</v>
      </c>
      <c r="BI88" s="40">
        <v>148800</v>
      </c>
    </row>
    <row r="89" spans="1:61" x14ac:dyDescent="0.3">
      <c r="A89" s="9" t="s">
        <v>95</v>
      </c>
      <c r="B89" s="4">
        <v>110</v>
      </c>
      <c r="C89" s="4">
        <v>16</v>
      </c>
      <c r="D89" s="45">
        <v>154</v>
      </c>
      <c r="E89" s="89">
        <v>165</v>
      </c>
      <c r="F89" s="45">
        <v>364701</v>
      </c>
      <c r="G89" s="89">
        <v>164</v>
      </c>
      <c r="H89" s="15">
        <v>361867</v>
      </c>
      <c r="I89" s="89">
        <v>164</v>
      </c>
      <c r="J89" s="15">
        <v>364716</v>
      </c>
      <c r="K89" s="89">
        <v>163</v>
      </c>
      <c r="L89" s="15">
        <v>337909</v>
      </c>
      <c r="M89" s="89">
        <v>164</v>
      </c>
      <c r="N89" s="15">
        <v>362236</v>
      </c>
      <c r="O89" s="89">
        <v>164</v>
      </c>
      <c r="P89" s="45">
        <v>362207</v>
      </c>
      <c r="Q89" s="89">
        <v>164</v>
      </c>
      <c r="R89" s="15">
        <v>370495</v>
      </c>
      <c r="S89" s="89">
        <v>164</v>
      </c>
      <c r="T89" s="15">
        <v>357157</v>
      </c>
      <c r="U89" s="89">
        <v>165</v>
      </c>
      <c r="V89" s="15">
        <v>348948</v>
      </c>
      <c r="W89" s="89">
        <v>163</v>
      </c>
      <c r="X89" s="15">
        <v>360707</v>
      </c>
      <c r="Y89" s="86">
        <v>164</v>
      </c>
      <c r="Z89" s="56">
        <v>194.6</v>
      </c>
      <c r="AA89" s="4">
        <v>192</v>
      </c>
      <c r="AB89" s="4">
        <v>26.4</v>
      </c>
      <c r="AC89" s="15">
        <v>376.43</v>
      </c>
      <c r="AD89" s="56">
        <v>166.7</v>
      </c>
      <c r="AE89" s="4">
        <v>166</v>
      </c>
      <c r="AF89" s="4">
        <v>8.1999999999999993</v>
      </c>
      <c r="AG89" s="15">
        <v>176</v>
      </c>
      <c r="AH89" s="56">
        <f t="shared" si="4"/>
        <v>167.8</v>
      </c>
      <c r="AI89" s="4">
        <f t="shared" si="5"/>
        <v>166</v>
      </c>
      <c r="AJ89" s="17">
        <f t="shared" si="6"/>
        <v>8.9610389610389682E-2</v>
      </c>
      <c r="AK89" s="15">
        <f t="shared" si="12"/>
        <v>176</v>
      </c>
      <c r="AL89" s="55">
        <f t="shared" si="7"/>
        <v>164</v>
      </c>
      <c r="AM89" s="107">
        <f t="shared" si="8"/>
        <v>163</v>
      </c>
      <c r="AN89" s="18">
        <f t="shared" si="9"/>
        <v>6.4935064935064929E-2</v>
      </c>
      <c r="AO89" s="16">
        <f t="shared" si="10"/>
        <v>359.09429999999998</v>
      </c>
      <c r="AP89" s="1">
        <v>168</v>
      </c>
      <c r="AQ89" s="40">
        <v>176000</v>
      </c>
      <c r="AR89" s="1">
        <v>168</v>
      </c>
      <c r="AS89" s="40">
        <v>176000</v>
      </c>
      <c r="AT89" s="1">
        <v>166</v>
      </c>
      <c r="AU89" s="40">
        <v>176000</v>
      </c>
      <c r="AV89" s="1">
        <v>170</v>
      </c>
      <c r="AW89" s="40">
        <v>176000</v>
      </c>
      <c r="AX89" s="1">
        <v>169</v>
      </c>
      <c r="AY89" s="40">
        <v>176000</v>
      </c>
      <c r="AZ89" s="1">
        <v>167</v>
      </c>
      <c r="BA89" s="40">
        <v>176000</v>
      </c>
      <c r="BB89" s="1">
        <v>167</v>
      </c>
      <c r="BC89" s="40">
        <v>176000</v>
      </c>
      <c r="BD89" s="1">
        <v>166</v>
      </c>
      <c r="BE89" s="40">
        <v>176000</v>
      </c>
      <c r="BF89" s="1">
        <v>170</v>
      </c>
      <c r="BG89" s="40">
        <v>176000</v>
      </c>
      <c r="BH89" s="1">
        <v>167</v>
      </c>
      <c r="BI89" s="40">
        <v>176000</v>
      </c>
    </row>
    <row r="90" spans="1:61" x14ac:dyDescent="0.3">
      <c r="A90" s="9" t="s">
        <v>96</v>
      </c>
      <c r="B90" s="4">
        <v>180</v>
      </c>
      <c r="C90" s="4">
        <v>16</v>
      </c>
      <c r="D90" s="45">
        <v>180</v>
      </c>
      <c r="E90" s="56">
        <v>183</v>
      </c>
      <c r="F90" s="45">
        <v>408360</v>
      </c>
      <c r="G90" s="56">
        <v>183</v>
      </c>
      <c r="H90" s="15">
        <v>402438</v>
      </c>
      <c r="I90" s="56">
        <v>183</v>
      </c>
      <c r="J90" s="15">
        <v>411160</v>
      </c>
      <c r="K90" s="89">
        <v>180</v>
      </c>
      <c r="L90" s="15">
        <v>129</v>
      </c>
      <c r="M90" s="89">
        <v>180</v>
      </c>
      <c r="N90" s="15">
        <v>205082</v>
      </c>
      <c r="O90" s="89">
        <v>180</v>
      </c>
      <c r="P90" s="45">
        <v>269261</v>
      </c>
      <c r="Q90" s="56">
        <v>183</v>
      </c>
      <c r="R90" s="15">
        <v>415494</v>
      </c>
      <c r="S90" s="56">
        <v>183</v>
      </c>
      <c r="T90" s="15">
        <v>390216</v>
      </c>
      <c r="U90" s="56">
        <v>183</v>
      </c>
      <c r="V90" s="15">
        <v>390824</v>
      </c>
      <c r="W90" s="89">
        <v>180</v>
      </c>
      <c r="X90" s="15">
        <v>137981</v>
      </c>
      <c r="Y90" s="77">
        <v>183</v>
      </c>
      <c r="Z90" s="56">
        <v>213.6</v>
      </c>
      <c r="AA90" s="4">
        <v>210</v>
      </c>
      <c r="AB90" s="4">
        <v>18.7</v>
      </c>
      <c r="AC90" s="15">
        <v>415.93</v>
      </c>
      <c r="AD90" s="56">
        <v>188.1</v>
      </c>
      <c r="AE90" s="4">
        <v>183</v>
      </c>
      <c r="AF90" s="4">
        <v>4.5</v>
      </c>
      <c r="AG90" s="15">
        <v>180</v>
      </c>
      <c r="AH90" s="56">
        <f t="shared" si="4"/>
        <v>188.4</v>
      </c>
      <c r="AI90" s="4">
        <f t="shared" si="5"/>
        <v>183</v>
      </c>
      <c r="AJ90" s="17">
        <f t="shared" si="6"/>
        <v>4.6666666666666697E-2</v>
      </c>
      <c r="AK90" s="15">
        <f t="shared" si="12"/>
        <v>179.2</v>
      </c>
      <c r="AL90" s="55">
        <f t="shared" si="7"/>
        <v>181.8</v>
      </c>
      <c r="AM90" s="107">
        <f t="shared" si="8"/>
        <v>180</v>
      </c>
      <c r="AN90" s="18">
        <f t="shared" si="9"/>
        <v>1.0000000000000063E-2</v>
      </c>
      <c r="AO90" s="16">
        <f t="shared" si="10"/>
        <v>303.09449999999998</v>
      </c>
      <c r="AP90" s="1">
        <v>183</v>
      </c>
      <c r="AQ90" s="40">
        <v>179200</v>
      </c>
      <c r="AR90" s="1">
        <v>189</v>
      </c>
      <c r="AS90" s="40">
        <v>179200</v>
      </c>
      <c r="AT90" s="1">
        <v>189</v>
      </c>
      <c r="AU90" s="40">
        <v>179200</v>
      </c>
      <c r="AV90" s="1">
        <v>189</v>
      </c>
      <c r="AW90" s="40">
        <v>179200</v>
      </c>
      <c r="AX90" s="1">
        <v>192</v>
      </c>
      <c r="AY90" s="40">
        <v>179200</v>
      </c>
      <c r="AZ90" s="1">
        <v>186</v>
      </c>
      <c r="BA90" s="40">
        <v>179200</v>
      </c>
      <c r="BB90" s="1">
        <v>189</v>
      </c>
      <c r="BC90" s="40">
        <v>179200</v>
      </c>
      <c r="BD90" s="1">
        <v>186</v>
      </c>
      <c r="BE90" s="40">
        <v>179200</v>
      </c>
      <c r="BF90" s="1">
        <v>192</v>
      </c>
      <c r="BG90" s="40">
        <v>179200</v>
      </c>
      <c r="BH90" s="1">
        <v>189</v>
      </c>
      <c r="BI90" s="40">
        <v>179200</v>
      </c>
    </row>
    <row r="91" spans="1:61" x14ac:dyDescent="0.3">
      <c r="A91" s="9" t="s">
        <v>97</v>
      </c>
      <c r="B91" s="4">
        <v>97</v>
      </c>
      <c r="C91" s="4">
        <v>16</v>
      </c>
      <c r="D91" s="45">
        <v>84</v>
      </c>
      <c r="E91" s="89">
        <v>86</v>
      </c>
      <c r="F91" s="45">
        <v>281242</v>
      </c>
      <c r="G91" s="89">
        <v>86</v>
      </c>
      <c r="H91" s="15">
        <v>271365</v>
      </c>
      <c r="I91" s="89">
        <v>86</v>
      </c>
      <c r="J91" s="15">
        <v>278569</v>
      </c>
      <c r="K91" s="89">
        <v>85</v>
      </c>
      <c r="L91" s="15">
        <v>292554</v>
      </c>
      <c r="M91" s="89">
        <v>86</v>
      </c>
      <c r="N91" s="15">
        <v>284236</v>
      </c>
      <c r="O91" s="89">
        <v>86</v>
      </c>
      <c r="P91" s="45">
        <v>282774</v>
      </c>
      <c r="Q91" s="89">
        <v>86</v>
      </c>
      <c r="R91" s="15">
        <v>276604</v>
      </c>
      <c r="S91" s="56">
        <v>87</v>
      </c>
      <c r="T91" s="15">
        <v>273055</v>
      </c>
      <c r="U91" s="89">
        <v>86</v>
      </c>
      <c r="V91" s="15">
        <v>283397</v>
      </c>
      <c r="W91" s="89">
        <v>86</v>
      </c>
      <c r="X91" s="15">
        <v>276457</v>
      </c>
      <c r="Y91" s="86">
        <v>86</v>
      </c>
      <c r="Z91" s="56">
        <v>99.7</v>
      </c>
      <c r="AA91" s="4">
        <v>98</v>
      </c>
      <c r="AB91" s="4">
        <v>18.7</v>
      </c>
      <c r="AC91" s="15">
        <v>179.89</v>
      </c>
      <c r="AD91" s="56">
        <v>88</v>
      </c>
      <c r="AE91" s="4">
        <v>88</v>
      </c>
      <c r="AF91" s="4">
        <v>4.8</v>
      </c>
      <c r="AG91" s="15">
        <v>155.19999999999999</v>
      </c>
      <c r="AH91" s="56">
        <f t="shared" si="4"/>
        <v>87.8</v>
      </c>
      <c r="AI91" s="23">
        <f t="shared" si="5"/>
        <v>87</v>
      </c>
      <c r="AJ91" s="17">
        <f t="shared" si="6"/>
        <v>4.5238095238095202E-2</v>
      </c>
      <c r="AK91" s="15">
        <f t="shared" si="12"/>
        <v>155.19999999999999</v>
      </c>
      <c r="AL91" s="55">
        <f t="shared" si="7"/>
        <v>86</v>
      </c>
      <c r="AM91" s="107">
        <f t="shared" si="8"/>
        <v>85</v>
      </c>
      <c r="AN91" s="18">
        <f t="shared" si="9"/>
        <v>2.3809523809523808E-2</v>
      </c>
      <c r="AO91" s="16">
        <f t="shared" si="10"/>
        <v>280.02530000000002</v>
      </c>
      <c r="AP91" s="1">
        <v>87</v>
      </c>
      <c r="AQ91" s="40">
        <v>155200</v>
      </c>
      <c r="AR91" s="1">
        <v>88</v>
      </c>
      <c r="AS91" s="40">
        <v>155200</v>
      </c>
      <c r="AT91" s="1">
        <v>87</v>
      </c>
      <c r="AU91" s="40">
        <v>155200</v>
      </c>
      <c r="AV91" s="1">
        <v>88</v>
      </c>
      <c r="AW91" s="40">
        <v>155200</v>
      </c>
      <c r="AX91" s="1">
        <v>88</v>
      </c>
      <c r="AY91" s="40">
        <v>155200</v>
      </c>
      <c r="AZ91" s="1">
        <v>89</v>
      </c>
      <c r="BA91" s="40">
        <v>155200</v>
      </c>
      <c r="BB91" s="1">
        <v>87</v>
      </c>
      <c r="BC91" s="40">
        <v>155200</v>
      </c>
      <c r="BD91" s="1">
        <v>87</v>
      </c>
      <c r="BE91" s="40">
        <v>155200</v>
      </c>
      <c r="BF91" s="1">
        <v>88</v>
      </c>
      <c r="BG91" s="40">
        <v>155200</v>
      </c>
      <c r="BH91" s="1">
        <v>89</v>
      </c>
      <c r="BI91" s="40">
        <v>155200</v>
      </c>
    </row>
    <row r="92" spans="1:61" x14ac:dyDescent="0.3">
      <c r="A92" s="9" t="s">
        <v>98</v>
      </c>
      <c r="B92" s="4">
        <v>86</v>
      </c>
      <c r="C92" s="4">
        <v>16</v>
      </c>
      <c r="D92" s="45">
        <v>126</v>
      </c>
      <c r="E92" s="56">
        <v>127</v>
      </c>
      <c r="F92" s="45">
        <v>238097</v>
      </c>
      <c r="G92" s="56">
        <v>127</v>
      </c>
      <c r="H92" s="15">
        <v>223824</v>
      </c>
      <c r="I92" s="92">
        <v>128</v>
      </c>
      <c r="J92" s="15">
        <v>236620</v>
      </c>
      <c r="K92" s="56">
        <v>127</v>
      </c>
      <c r="L92" s="15">
        <v>219616</v>
      </c>
      <c r="M92" s="56">
        <v>127</v>
      </c>
      <c r="N92" s="15">
        <v>236583</v>
      </c>
      <c r="O92" s="56">
        <v>127</v>
      </c>
      <c r="P92" s="45">
        <v>220700</v>
      </c>
      <c r="Q92" s="56">
        <v>127</v>
      </c>
      <c r="R92" s="15">
        <v>236565</v>
      </c>
      <c r="S92" s="56">
        <v>127</v>
      </c>
      <c r="T92" s="15">
        <v>216439</v>
      </c>
      <c r="U92" s="56">
        <v>127</v>
      </c>
      <c r="V92" s="15">
        <v>229088</v>
      </c>
      <c r="W92" s="56">
        <v>127</v>
      </c>
      <c r="X92" s="15">
        <v>225094</v>
      </c>
      <c r="Y92" s="77">
        <v>127</v>
      </c>
      <c r="Z92" s="56">
        <v>147.80000000000001</v>
      </c>
      <c r="AA92" s="4">
        <v>146</v>
      </c>
      <c r="AB92" s="4">
        <v>17.3</v>
      </c>
      <c r="AC92" s="15">
        <v>188.37</v>
      </c>
      <c r="AD92" s="56">
        <v>130.30000000000001</v>
      </c>
      <c r="AE92" s="4">
        <v>127</v>
      </c>
      <c r="AF92" s="4">
        <v>3.4</v>
      </c>
      <c r="AG92" s="15">
        <v>137.6</v>
      </c>
      <c r="AH92" s="56">
        <f t="shared" ref="AH92:AH102" si="13">AVERAGE(AP92,AR92,AT92,AV92,AX92,AZ92,BB92,BD92,BF92,BH92)</f>
        <v>131.80000000000001</v>
      </c>
      <c r="AI92" s="34">
        <f t="shared" ref="AI92:AI102" si="14">MIN(AP92,AR92,AT92,AV92,AX92,AZ92,BB92,BD92,BF92,BH92)</f>
        <v>129</v>
      </c>
      <c r="AJ92" s="17">
        <f t="shared" ref="AJ92:AJ102" si="15">(AH92-D92)/D92</f>
        <v>4.6031746031746125E-2</v>
      </c>
      <c r="AK92" s="15">
        <f t="shared" si="12"/>
        <v>137.6</v>
      </c>
      <c r="AL92" s="55">
        <f t="shared" si="7"/>
        <v>127.1</v>
      </c>
      <c r="AM92" s="12">
        <f t="shared" si="8"/>
        <v>127</v>
      </c>
      <c r="AN92" s="18">
        <f t="shared" si="9"/>
        <v>8.7301587301586853E-3</v>
      </c>
      <c r="AO92" s="16">
        <f t="shared" si="10"/>
        <v>228.26259999999999</v>
      </c>
      <c r="AP92" s="1">
        <v>129</v>
      </c>
      <c r="AQ92" s="40">
        <v>137600</v>
      </c>
      <c r="AR92" s="1">
        <v>134</v>
      </c>
      <c r="AS92" s="40">
        <v>137600</v>
      </c>
      <c r="AT92" s="1">
        <v>137</v>
      </c>
      <c r="AU92" s="40">
        <v>137600</v>
      </c>
      <c r="AV92" s="1">
        <v>132</v>
      </c>
      <c r="AW92" s="40">
        <v>137600</v>
      </c>
      <c r="AX92" s="1">
        <v>131</v>
      </c>
      <c r="AY92" s="40">
        <v>137600</v>
      </c>
      <c r="AZ92" s="1">
        <v>130</v>
      </c>
      <c r="BA92" s="40">
        <v>137600</v>
      </c>
      <c r="BB92" s="1">
        <v>134</v>
      </c>
      <c r="BC92" s="40">
        <v>137600</v>
      </c>
      <c r="BD92" s="1">
        <v>129</v>
      </c>
      <c r="BE92" s="40">
        <v>137600</v>
      </c>
      <c r="BF92" s="1">
        <v>130</v>
      </c>
      <c r="BG92" s="40">
        <v>137600</v>
      </c>
      <c r="BH92" s="1">
        <v>132</v>
      </c>
      <c r="BI92" s="40">
        <v>137600</v>
      </c>
    </row>
    <row r="93" spans="1:61" x14ac:dyDescent="0.3">
      <c r="A93" s="9" t="s">
        <v>99</v>
      </c>
      <c r="B93" s="4">
        <v>106</v>
      </c>
      <c r="C93" s="4">
        <v>16</v>
      </c>
      <c r="D93" s="45">
        <v>56</v>
      </c>
      <c r="E93" s="56">
        <v>57</v>
      </c>
      <c r="F93" s="45">
        <v>339570</v>
      </c>
      <c r="G93" s="56">
        <v>57</v>
      </c>
      <c r="H93" s="15">
        <v>345565</v>
      </c>
      <c r="I93" s="56">
        <v>57</v>
      </c>
      <c r="J93" s="15">
        <v>360608</v>
      </c>
      <c r="K93" s="92">
        <v>58</v>
      </c>
      <c r="L93" s="15">
        <v>348100</v>
      </c>
      <c r="M93" s="56">
        <v>57</v>
      </c>
      <c r="N93" s="15">
        <v>372980</v>
      </c>
      <c r="O93" s="56">
        <v>57</v>
      </c>
      <c r="P93" s="45">
        <v>362473</v>
      </c>
      <c r="Q93" s="56">
        <v>57</v>
      </c>
      <c r="R93" s="15">
        <v>352509</v>
      </c>
      <c r="S93" s="92">
        <v>58</v>
      </c>
      <c r="T93" s="15">
        <v>358308</v>
      </c>
      <c r="U93" s="92">
        <v>58</v>
      </c>
      <c r="V93" s="15">
        <v>352430</v>
      </c>
      <c r="W93" s="56">
        <v>57</v>
      </c>
      <c r="X93" s="15">
        <v>353802</v>
      </c>
      <c r="Y93" s="77">
        <v>57</v>
      </c>
      <c r="Z93" s="56">
        <v>67.099999999999994</v>
      </c>
      <c r="AA93" s="4">
        <v>66</v>
      </c>
      <c r="AB93" s="4">
        <v>19.8</v>
      </c>
      <c r="AC93" s="15">
        <v>167.42</v>
      </c>
      <c r="AD93" s="56">
        <v>59.2</v>
      </c>
      <c r="AE93" s="4">
        <v>57</v>
      </c>
      <c r="AF93" s="4">
        <v>5.7</v>
      </c>
      <c r="AG93" s="15">
        <v>169.6</v>
      </c>
      <c r="AH93" s="56">
        <f t="shared" si="13"/>
        <v>59.3</v>
      </c>
      <c r="AI93" s="34">
        <f t="shared" si="14"/>
        <v>58</v>
      </c>
      <c r="AJ93" s="17">
        <f t="shared" si="15"/>
        <v>5.8928571428571379E-2</v>
      </c>
      <c r="AK93" s="15">
        <f t="shared" si="12"/>
        <v>169.6</v>
      </c>
      <c r="AL93" s="55">
        <f t="shared" ref="AL93:AL102" si="16">AVERAGE(E93,G93,I93,K93,M93,O93,Q93,S93,U93,W93)</f>
        <v>57.3</v>
      </c>
      <c r="AM93" s="12">
        <f t="shared" ref="AM93:AM102" si="17">MIN(E93,G93,I93,K93,M93,O93,Q93,S93,U93,W93)</f>
        <v>57</v>
      </c>
      <c r="AN93" s="18">
        <f t="shared" ref="AN93:AN102" si="18">(AL93-D93)/D93</f>
        <v>2.3214285714285663E-2</v>
      </c>
      <c r="AO93" s="16">
        <f t="shared" ref="AO93:AO102" si="19">AVERAGE(F93,H93,J93,L93,N93,P93,R93,T93,V93,X93)/1000</f>
        <v>354.6345</v>
      </c>
      <c r="AP93" s="1">
        <v>58</v>
      </c>
      <c r="AQ93" s="40">
        <v>169600</v>
      </c>
      <c r="AR93" s="1">
        <v>60</v>
      </c>
      <c r="AS93" s="40">
        <v>169600</v>
      </c>
      <c r="AT93" s="1">
        <v>59</v>
      </c>
      <c r="AU93" s="40">
        <v>169600</v>
      </c>
      <c r="AV93" s="1">
        <v>58</v>
      </c>
      <c r="AW93" s="40">
        <v>169600</v>
      </c>
      <c r="AX93" s="1">
        <v>61</v>
      </c>
      <c r="AY93" s="40">
        <v>169600</v>
      </c>
      <c r="AZ93" s="1">
        <v>59</v>
      </c>
      <c r="BA93" s="40">
        <v>169600</v>
      </c>
      <c r="BB93" s="1">
        <v>61</v>
      </c>
      <c r="BC93" s="40">
        <v>169600</v>
      </c>
      <c r="BD93" s="1">
        <v>59</v>
      </c>
      <c r="BE93" s="40">
        <v>169600</v>
      </c>
      <c r="BF93" s="1">
        <v>60</v>
      </c>
      <c r="BG93" s="40">
        <v>169600</v>
      </c>
      <c r="BH93" s="1">
        <v>58</v>
      </c>
      <c r="BI93" s="40">
        <v>169600</v>
      </c>
    </row>
    <row r="94" spans="1:61" x14ac:dyDescent="0.3">
      <c r="A94" s="9" t="s">
        <v>100</v>
      </c>
      <c r="B94" s="4">
        <v>94</v>
      </c>
      <c r="C94" s="4">
        <v>16</v>
      </c>
      <c r="D94" s="45">
        <v>70</v>
      </c>
      <c r="E94" s="56">
        <v>70</v>
      </c>
      <c r="F94" s="45">
        <v>67286</v>
      </c>
      <c r="G94" s="56">
        <v>70</v>
      </c>
      <c r="H94" s="15">
        <v>97</v>
      </c>
      <c r="I94" s="92">
        <v>71</v>
      </c>
      <c r="J94" s="15">
        <v>303833</v>
      </c>
      <c r="K94" s="92">
        <v>71</v>
      </c>
      <c r="L94" s="15">
        <v>281199</v>
      </c>
      <c r="M94" s="56">
        <v>70</v>
      </c>
      <c r="N94" s="15">
        <v>52633</v>
      </c>
      <c r="O94" s="56">
        <v>70</v>
      </c>
      <c r="P94" s="45">
        <v>18358</v>
      </c>
      <c r="Q94" s="92">
        <v>71</v>
      </c>
      <c r="R94" s="15">
        <v>271696</v>
      </c>
      <c r="S94" s="56">
        <v>70</v>
      </c>
      <c r="T94" s="15">
        <v>62952</v>
      </c>
      <c r="U94" s="56">
        <v>70</v>
      </c>
      <c r="V94" s="15">
        <v>22149</v>
      </c>
      <c r="W94" s="56">
        <v>70</v>
      </c>
      <c r="X94" s="15">
        <v>3808</v>
      </c>
      <c r="Y94" s="77">
        <v>70</v>
      </c>
      <c r="Z94" s="56">
        <v>81.5</v>
      </c>
      <c r="AA94" s="4">
        <v>80</v>
      </c>
      <c r="AB94" s="4">
        <v>16.399999999999999</v>
      </c>
      <c r="AC94" s="15">
        <v>148.22999999999999</v>
      </c>
      <c r="AD94" s="56">
        <v>71.3</v>
      </c>
      <c r="AE94" s="4">
        <v>70</v>
      </c>
      <c r="AF94" s="4">
        <v>1.9</v>
      </c>
      <c r="AG94" s="15">
        <v>45.12</v>
      </c>
      <c r="AH94" s="56">
        <f t="shared" si="13"/>
        <v>72.3</v>
      </c>
      <c r="AI94" s="34">
        <f t="shared" si="14"/>
        <v>71</v>
      </c>
      <c r="AJ94" s="17">
        <f t="shared" si="15"/>
        <v>3.2857142857142814E-2</v>
      </c>
      <c r="AK94" s="15">
        <f t="shared" si="12"/>
        <v>150.4</v>
      </c>
      <c r="AL94" s="55">
        <f t="shared" si="16"/>
        <v>70.3</v>
      </c>
      <c r="AM94" s="12">
        <f t="shared" si="17"/>
        <v>70</v>
      </c>
      <c r="AN94" s="18">
        <f t="shared" si="18"/>
        <v>4.2857142857142452E-3</v>
      </c>
      <c r="AO94" s="16">
        <f t="shared" si="19"/>
        <v>108.4011</v>
      </c>
      <c r="AP94" s="1">
        <v>72</v>
      </c>
      <c r="AQ94" s="40">
        <v>150400</v>
      </c>
      <c r="AR94" s="1">
        <v>73</v>
      </c>
      <c r="AS94" s="40">
        <v>150400</v>
      </c>
      <c r="AT94" s="1">
        <v>72</v>
      </c>
      <c r="AU94" s="40">
        <v>150400</v>
      </c>
      <c r="AV94" s="1">
        <v>73</v>
      </c>
      <c r="AW94" s="40">
        <v>150400</v>
      </c>
      <c r="AX94" s="1">
        <v>71</v>
      </c>
      <c r="AY94" s="40">
        <v>150400</v>
      </c>
      <c r="AZ94" s="1">
        <v>73</v>
      </c>
      <c r="BA94" s="40">
        <v>150400</v>
      </c>
      <c r="BB94" s="1">
        <v>72</v>
      </c>
      <c r="BC94" s="40">
        <v>150400</v>
      </c>
      <c r="BD94" s="1">
        <v>71</v>
      </c>
      <c r="BE94" s="40">
        <v>150400</v>
      </c>
      <c r="BF94" s="1">
        <v>73</v>
      </c>
      <c r="BG94" s="40">
        <v>150400</v>
      </c>
      <c r="BH94" s="1">
        <v>73</v>
      </c>
      <c r="BI94" s="40">
        <v>150400</v>
      </c>
    </row>
    <row r="95" spans="1:61" x14ac:dyDescent="0.3">
      <c r="A95" s="9" t="s">
        <v>101</v>
      </c>
      <c r="B95" s="4">
        <v>102</v>
      </c>
      <c r="C95" s="4">
        <v>16</v>
      </c>
      <c r="D95" s="45">
        <v>110</v>
      </c>
      <c r="E95" s="89">
        <v>110</v>
      </c>
      <c r="F95" s="45">
        <v>71964</v>
      </c>
      <c r="G95" s="56">
        <v>112</v>
      </c>
      <c r="H95" s="15">
        <v>324217</v>
      </c>
      <c r="I95" s="89">
        <v>110</v>
      </c>
      <c r="J95" s="15">
        <v>325263</v>
      </c>
      <c r="K95" s="89">
        <v>110</v>
      </c>
      <c r="L95" s="15">
        <v>67070</v>
      </c>
      <c r="M95" s="89">
        <v>110</v>
      </c>
      <c r="N95" s="15">
        <v>18081</v>
      </c>
      <c r="O95" s="89">
        <v>110</v>
      </c>
      <c r="P95" s="45">
        <v>34218</v>
      </c>
      <c r="Q95" s="89">
        <v>110</v>
      </c>
      <c r="R95" s="15">
        <v>19646</v>
      </c>
      <c r="S95" s="89">
        <v>110</v>
      </c>
      <c r="T95" s="15">
        <v>18283</v>
      </c>
      <c r="U95" s="89">
        <v>110</v>
      </c>
      <c r="V95" s="15">
        <v>67534</v>
      </c>
      <c r="W95" s="89">
        <v>110</v>
      </c>
      <c r="X95" s="15">
        <v>57854</v>
      </c>
      <c r="Y95" s="77">
        <v>112</v>
      </c>
      <c r="Z95" s="56">
        <v>128.19999999999999</v>
      </c>
      <c r="AA95" s="4">
        <v>126</v>
      </c>
      <c r="AB95" s="4">
        <v>16.5</v>
      </c>
      <c r="AC95" s="15">
        <v>238.66</v>
      </c>
      <c r="AD95" s="56">
        <v>115</v>
      </c>
      <c r="AE95" s="4">
        <v>112</v>
      </c>
      <c r="AF95" s="4">
        <v>4.5</v>
      </c>
      <c r="AG95" s="15">
        <v>163.19999999999999</v>
      </c>
      <c r="AH95" s="56">
        <f t="shared" si="13"/>
        <v>115</v>
      </c>
      <c r="AI95" s="34">
        <f t="shared" si="14"/>
        <v>114</v>
      </c>
      <c r="AJ95" s="17">
        <f t="shared" si="15"/>
        <v>4.5454545454545456E-2</v>
      </c>
      <c r="AK95" s="15">
        <f t="shared" si="12"/>
        <v>163.19999999999999</v>
      </c>
      <c r="AL95" s="55">
        <f t="shared" si="16"/>
        <v>110.2</v>
      </c>
      <c r="AM95" s="107">
        <f t="shared" si="17"/>
        <v>110</v>
      </c>
      <c r="AN95" s="18">
        <f t="shared" si="18"/>
        <v>1.818181818181844E-3</v>
      </c>
      <c r="AO95" s="16">
        <f t="shared" si="19"/>
        <v>100.413</v>
      </c>
      <c r="AP95" s="1">
        <v>114</v>
      </c>
      <c r="AQ95" s="40">
        <v>163200</v>
      </c>
      <c r="AR95" s="1">
        <v>114</v>
      </c>
      <c r="AS95" s="40">
        <v>163200</v>
      </c>
      <c r="AT95" s="1">
        <v>114</v>
      </c>
      <c r="AU95" s="40">
        <v>163200</v>
      </c>
      <c r="AV95" s="1">
        <v>118</v>
      </c>
      <c r="AW95" s="40">
        <v>163200</v>
      </c>
      <c r="AX95" s="1">
        <v>114</v>
      </c>
      <c r="AY95" s="40">
        <v>163200</v>
      </c>
      <c r="AZ95" s="1">
        <v>114</v>
      </c>
      <c r="BA95" s="40">
        <v>163200</v>
      </c>
      <c r="BB95" s="1">
        <v>116</v>
      </c>
      <c r="BC95" s="40">
        <v>163200</v>
      </c>
      <c r="BD95" s="1">
        <v>116</v>
      </c>
      <c r="BE95" s="40">
        <v>163200</v>
      </c>
      <c r="BF95" s="1">
        <v>116</v>
      </c>
      <c r="BG95" s="40">
        <v>163200</v>
      </c>
      <c r="BH95" s="1">
        <v>114</v>
      </c>
      <c r="BI95" s="40">
        <v>163200</v>
      </c>
    </row>
    <row r="96" spans="1:61" x14ac:dyDescent="0.3">
      <c r="A96" s="9" t="s">
        <v>102</v>
      </c>
      <c r="B96" s="4">
        <v>80</v>
      </c>
      <c r="C96" s="4">
        <v>16</v>
      </c>
      <c r="D96" s="45">
        <v>112</v>
      </c>
      <c r="E96" s="89">
        <v>116</v>
      </c>
      <c r="F96" s="45">
        <v>193580</v>
      </c>
      <c r="G96" s="89">
        <v>116</v>
      </c>
      <c r="H96" s="15">
        <v>186748</v>
      </c>
      <c r="I96" s="89">
        <v>116</v>
      </c>
      <c r="J96" s="15">
        <v>194200</v>
      </c>
      <c r="K96" s="89">
        <v>116</v>
      </c>
      <c r="L96" s="15">
        <v>195320</v>
      </c>
      <c r="M96" s="89">
        <v>116</v>
      </c>
      <c r="N96" s="15">
        <v>196777</v>
      </c>
      <c r="O96" s="89">
        <v>115</v>
      </c>
      <c r="P96" s="45">
        <v>191920</v>
      </c>
      <c r="Q96" s="89">
        <v>116</v>
      </c>
      <c r="R96" s="15">
        <v>181866</v>
      </c>
      <c r="S96" s="89">
        <v>116</v>
      </c>
      <c r="T96" s="15">
        <v>181142</v>
      </c>
      <c r="U96" s="89">
        <v>116</v>
      </c>
      <c r="V96" s="15">
        <v>184171</v>
      </c>
      <c r="W96" s="89">
        <v>116</v>
      </c>
      <c r="X96" s="15">
        <v>183320</v>
      </c>
      <c r="Y96" s="86">
        <v>115</v>
      </c>
      <c r="Z96" s="56">
        <v>136.6</v>
      </c>
      <c r="AA96" s="4">
        <v>135</v>
      </c>
      <c r="AB96" s="4">
        <v>22</v>
      </c>
      <c r="AC96" s="15">
        <v>155.49</v>
      </c>
      <c r="AD96" s="56">
        <v>124.6</v>
      </c>
      <c r="AE96" s="4">
        <v>117</v>
      </c>
      <c r="AF96" s="4">
        <v>11.3</v>
      </c>
      <c r="AG96" s="15">
        <v>128</v>
      </c>
      <c r="AH96" s="56">
        <f t="shared" si="13"/>
        <v>121.2</v>
      </c>
      <c r="AI96" s="4">
        <f t="shared" si="14"/>
        <v>117</v>
      </c>
      <c r="AJ96" s="17">
        <f t="shared" si="15"/>
        <v>8.214285714285717E-2</v>
      </c>
      <c r="AK96" s="15">
        <f t="shared" si="12"/>
        <v>128</v>
      </c>
      <c r="AL96" s="55">
        <f t="shared" si="16"/>
        <v>115.9</v>
      </c>
      <c r="AM96" s="107">
        <f t="shared" si="17"/>
        <v>115</v>
      </c>
      <c r="AN96" s="18">
        <f t="shared" si="18"/>
        <v>3.4821428571428621E-2</v>
      </c>
      <c r="AO96" s="16">
        <f t="shared" si="19"/>
        <v>188.90439999999998</v>
      </c>
      <c r="AP96" s="1">
        <v>117</v>
      </c>
      <c r="AQ96" s="40">
        <v>128000</v>
      </c>
      <c r="AR96" s="1">
        <v>126</v>
      </c>
      <c r="AS96" s="40">
        <v>128000</v>
      </c>
      <c r="AT96" s="1">
        <v>122</v>
      </c>
      <c r="AU96" s="40">
        <v>128000</v>
      </c>
      <c r="AV96" s="1">
        <v>120</v>
      </c>
      <c r="AW96" s="40">
        <v>128000</v>
      </c>
      <c r="AX96" s="1">
        <v>121</v>
      </c>
      <c r="AY96" s="40">
        <v>128000</v>
      </c>
      <c r="AZ96" s="1">
        <v>121</v>
      </c>
      <c r="BA96" s="40">
        <v>128000</v>
      </c>
      <c r="BB96" s="1">
        <v>126</v>
      </c>
      <c r="BC96" s="40">
        <v>128000</v>
      </c>
      <c r="BD96" s="1">
        <v>121</v>
      </c>
      <c r="BE96" s="40">
        <v>128000</v>
      </c>
      <c r="BF96" s="1">
        <v>120</v>
      </c>
      <c r="BG96" s="40">
        <v>128000</v>
      </c>
      <c r="BH96" s="1">
        <v>118</v>
      </c>
      <c r="BI96" s="40">
        <v>128000</v>
      </c>
    </row>
    <row r="97" spans="1:61" x14ac:dyDescent="0.3">
      <c r="A97" s="9" t="s">
        <v>103</v>
      </c>
      <c r="B97" s="4">
        <v>84</v>
      </c>
      <c r="C97" s="4">
        <v>16</v>
      </c>
      <c r="D97" s="45">
        <v>90</v>
      </c>
      <c r="E97" s="56">
        <v>92</v>
      </c>
      <c r="F97" s="45">
        <v>221451</v>
      </c>
      <c r="G97" s="56">
        <v>92</v>
      </c>
      <c r="H97" s="15">
        <v>225934</v>
      </c>
      <c r="I97" s="56">
        <v>92</v>
      </c>
      <c r="J97" s="15">
        <v>224215</v>
      </c>
      <c r="K97" s="56">
        <v>92</v>
      </c>
      <c r="L97" s="15">
        <v>223423</v>
      </c>
      <c r="M97" s="56">
        <v>92</v>
      </c>
      <c r="N97" s="15">
        <v>226826</v>
      </c>
      <c r="O97" s="56">
        <v>92</v>
      </c>
      <c r="P97" s="45">
        <v>223294</v>
      </c>
      <c r="Q97" s="56">
        <v>92</v>
      </c>
      <c r="R97" s="15">
        <v>222838</v>
      </c>
      <c r="S97" s="56">
        <v>92</v>
      </c>
      <c r="T97" s="15">
        <v>234003</v>
      </c>
      <c r="U97" s="56">
        <v>92</v>
      </c>
      <c r="V97" s="15">
        <v>224970</v>
      </c>
      <c r="W97" s="56">
        <v>92</v>
      </c>
      <c r="X97" s="15">
        <v>234076</v>
      </c>
      <c r="Y97" s="77">
        <v>92</v>
      </c>
      <c r="Z97" s="56">
        <v>105.4</v>
      </c>
      <c r="AA97" s="4">
        <v>104</v>
      </c>
      <c r="AB97" s="4">
        <v>17.100000000000001</v>
      </c>
      <c r="AC97" s="15">
        <v>141.58000000000001</v>
      </c>
      <c r="AD97" s="56">
        <v>94.2</v>
      </c>
      <c r="AE97" s="4">
        <v>92</v>
      </c>
      <c r="AF97" s="4">
        <v>4.7</v>
      </c>
      <c r="AG97" s="15">
        <v>134.4</v>
      </c>
      <c r="AH97" s="56">
        <f t="shared" si="13"/>
        <v>95.2</v>
      </c>
      <c r="AI97" s="34">
        <f t="shared" si="14"/>
        <v>94</v>
      </c>
      <c r="AJ97" s="17">
        <f t="shared" si="15"/>
        <v>5.777777777777781E-2</v>
      </c>
      <c r="AK97" s="15">
        <f t="shared" si="12"/>
        <v>134.4</v>
      </c>
      <c r="AL97" s="55">
        <f t="shared" si="16"/>
        <v>92</v>
      </c>
      <c r="AM97" s="12">
        <f t="shared" si="17"/>
        <v>92</v>
      </c>
      <c r="AN97" s="18">
        <f t="shared" si="18"/>
        <v>2.2222222222222223E-2</v>
      </c>
      <c r="AO97" s="16">
        <f t="shared" si="19"/>
        <v>226.10300000000001</v>
      </c>
      <c r="AP97" s="1">
        <v>94</v>
      </c>
      <c r="AQ97" s="40">
        <v>134400</v>
      </c>
      <c r="AR97" s="1">
        <v>96</v>
      </c>
      <c r="AS97" s="40">
        <v>134400</v>
      </c>
      <c r="AT97" s="1">
        <v>96</v>
      </c>
      <c r="AU97" s="40">
        <v>134400</v>
      </c>
      <c r="AV97" s="1">
        <v>94</v>
      </c>
      <c r="AW97" s="40">
        <v>134400</v>
      </c>
      <c r="AX97" s="1">
        <v>96</v>
      </c>
      <c r="AY97" s="40">
        <v>134400</v>
      </c>
      <c r="AZ97" s="1">
        <v>94</v>
      </c>
      <c r="BA97" s="40">
        <v>134400</v>
      </c>
      <c r="BB97" s="1">
        <v>96</v>
      </c>
      <c r="BC97" s="40">
        <v>134400</v>
      </c>
      <c r="BD97" s="1">
        <v>96</v>
      </c>
      <c r="BE97" s="40">
        <v>134400</v>
      </c>
      <c r="BF97" s="1">
        <v>96</v>
      </c>
      <c r="BG97" s="40">
        <v>134400</v>
      </c>
      <c r="BH97" s="1">
        <v>94</v>
      </c>
      <c r="BI97" s="40">
        <v>134400</v>
      </c>
    </row>
    <row r="98" spans="1:61" x14ac:dyDescent="0.3">
      <c r="A98" s="9" t="s">
        <v>104</v>
      </c>
      <c r="B98" s="4">
        <v>78</v>
      </c>
      <c r="C98" s="4">
        <v>16</v>
      </c>
      <c r="D98" s="45">
        <v>88</v>
      </c>
      <c r="E98" s="56">
        <v>90</v>
      </c>
      <c r="F98" s="45">
        <v>200936</v>
      </c>
      <c r="G98" s="56">
        <v>90</v>
      </c>
      <c r="H98" s="15">
        <v>203078</v>
      </c>
      <c r="I98" s="56">
        <v>90</v>
      </c>
      <c r="J98" s="15">
        <v>190452</v>
      </c>
      <c r="K98" s="56">
        <v>90</v>
      </c>
      <c r="L98" s="15">
        <v>192939</v>
      </c>
      <c r="M98" s="56">
        <v>90</v>
      </c>
      <c r="N98" s="15">
        <v>206648</v>
      </c>
      <c r="O98" s="56">
        <v>90</v>
      </c>
      <c r="P98" s="45">
        <v>190195</v>
      </c>
      <c r="Q98" s="56">
        <v>90</v>
      </c>
      <c r="R98" s="15">
        <v>183509</v>
      </c>
      <c r="S98" s="56">
        <v>90</v>
      </c>
      <c r="T98" s="15">
        <v>211106</v>
      </c>
      <c r="U98" s="56">
        <v>90</v>
      </c>
      <c r="V98" s="15">
        <v>203484</v>
      </c>
      <c r="W98" s="56">
        <v>90</v>
      </c>
      <c r="X98" s="15">
        <v>202883</v>
      </c>
      <c r="Y98" s="77">
        <v>90</v>
      </c>
      <c r="Z98" s="56">
        <v>105.8</v>
      </c>
      <c r="AA98" s="4">
        <v>103</v>
      </c>
      <c r="AB98" s="4">
        <v>20.2</v>
      </c>
      <c r="AC98" s="15">
        <v>124.66</v>
      </c>
      <c r="AD98" s="56">
        <v>94.3</v>
      </c>
      <c r="AE98" s="4">
        <v>90</v>
      </c>
      <c r="AF98" s="4">
        <v>7.2</v>
      </c>
      <c r="AG98" s="15">
        <v>124.8</v>
      </c>
      <c r="AH98" s="56">
        <f t="shared" si="13"/>
        <v>93.8</v>
      </c>
      <c r="AI98" s="34">
        <f t="shared" si="14"/>
        <v>91</v>
      </c>
      <c r="AJ98" s="17">
        <f t="shared" si="15"/>
        <v>6.5909090909090876E-2</v>
      </c>
      <c r="AK98" s="15">
        <f t="shared" si="12"/>
        <v>124.8</v>
      </c>
      <c r="AL98" s="55">
        <f t="shared" si="16"/>
        <v>90</v>
      </c>
      <c r="AM98" s="12">
        <f t="shared" si="17"/>
        <v>90</v>
      </c>
      <c r="AN98" s="18">
        <f t="shared" si="18"/>
        <v>2.2727272727272728E-2</v>
      </c>
      <c r="AO98" s="16">
        <f t="shared" si="19"/>
        <v>198.523</v>
      </c>
      <c r="AP98" s="1">
        <v>92</v>
      </c>
      <c r="AQ98" s="40">
        <v>124800</v>
      </c>
      <c r="AR98" s="1">
        <v>94</v>
      </c>
      <c r="AS98" s="40">
        <v>124800</v>
      </c>
      <c r="AT98" s="1">
        <v>95</v>
      </c>
      <c r="AU98" s="40">
        <v>124800</v>
      </c>
      <c r="AV98" s="1">
        <v>93</v>
      </c>
      <c r="AW98" s="40">
        <v>124800</v>
      </c>
      <c r="AX98" s="1">
        <v>95</v>
      </c>
      <c r="AY98" s="40">
        <v>124800</v>
      </c>
      <c r="AZ98" s="1">
        <v>94</v>
      </c>
      <c r="BA98" s="40">
        <v>124800</v>
      </c>
      <c r="BB98" s="1">
        <v>97</v>
      </c>
      <c r="BC98" s="40">
        <v>124800</v>
      </c>
      <c r="BD98" s="1">
        <v>91</v>
      </c>
      <c r="BE98" s="40">
        <v>124800</v>
      </c>
      <c r="BF98" s="1">
        <v>94</v>
      </c>
      <c r="BG98" s="40">
        <v>124800</v>
      </c>
      <c r="BH98" s="1">
        <v>93</v>
      </c>
      <c r="BI98" s="40">
        <v>124800</v>
      </c>
    </row>
    <row r="99" spans="1:61" x14ac:dyDescent="0.3">
      <c r="A99" s="9" t="s">
        <v>105</v>
      </c>
      <c r="B99" s="4">
        <v>79</v>
      </c>
      <c r="C99" s="4">
        <v>16</v>
      </c>
      <c r="D99" s="45">
        <v>60</v>
      </c>
      <c r="E99" s="56">
        <v>60</v>
      </c>
      <c r="F99" s="45">
        <v>47</v>
      </c>
      <c r="G99" s="56">
        <v>60</v>
      </c>
      <c r="H99" s="15">
        <v>2844</v>
      </c>
      <c r="I99" s="56">
        <v>60</v>
      </c>
      <c r="J99" s="15">
        <v>16</v>
      </c>
      <c r="K99" s="56">
        <v>60</v>
      </c>
      <c r="L99" s="15">
        <v>164</v>
      </c>
      <c r="M99" s="56">
        <v>60</v>
      </c>
      <c r="N99" s="15">
        <v>2914</v>
      </c>
      <c r="O99" s="56">
        <v>60</v>
      </c>
      <c r="P99" s="45">
        <v>65</v>
      </c>
      <c r="Q99" s="56">
        <v>60</v>
      </c>
      <c r="R99" s="15">
        <v>8056</v>
      </c>
      <c r="S99" s="56">
        <v>60</v>
      </c>
      <c r="T99" s="15">
        <v>65</v>
      </c>
      <c r="U99" s="56">
        <v>60</v>
      </c>
      <c r="V99" s="15">
        <v>5453</v>
      </c>
      <c r="W99" s="56">
        <v>60</v>
      </c>
      <c r="X99" s="15">
        <v>68</v>
      </c>
      <c r="Y99" s="77">
        <v>60</v>
      </c>
      <c r="Z99" s="56">
        <v>67.8</v>
      </c>
      <c r="AA99" s="4">
        <v>67</v>
      </c>
      <c r="AB99" s="4">
        <v>13</v>
      </c>
      <c r="AC99" s="15">
        <v>95.36</v>
      </c>
      <c r="AD99" s="56">
        <v>62.2</v>
      </c>
      <c r="AE99" s="4">
        <v>60</v>
      </c>
      <c r="AF99" s="4">
        <v>3.7</v>
      </c>
      <c r="AG99" s="15">
        <v>50.56</v>
      </c>
      <c r="AH99" s="56">
        <f t="shared" si="13"/>
        <v>61.4</v>
      </c>
      <c r="AI99" s="34">
        <f t="shared" si="14"/>
        <v>61</v>
      </c>
      <c r="AJ99" s="17">
        <f t="shared" si="15"/>
        <v>2.333333333333331E-2</v>
      </c>
      <c r="AK99" s="15">
        <f t="shared" si="12"/>
        <v>126.4</v>
      </c>
      <c r="AL99" s="55">
        <f t="shared" si="16"/>
        <v>60</v>
      </c>
      <c r="AM99" s="12">
        <f t="shared" si="17"/>
        <v>60</v>
      </c>
      <c r="AN99" s="18">
        <f t="shared" si="18"/>
        <v>0</v>
      </c>
      <c r="AO99" s="16">
        <f t="shared" si="19"/>
        <v>1.9692000000000001</v>
      </c>
      <c r="AP99" s="1">
        <v>61</v>
      </c>
      <c r="AQ99" s="40">
        <v>126400</v>
      </c>
      <c r="AR99" s="1">
        <v>61</v>
      </c>
      <c r="AS99" s="40">
        <v>126400</v>
      </c>
      <c r="AT99" s="1">
        <v>62</v>
      </c>
      <c r="AU99" s="40">
        <v>126400</v>
      </c>
      <c r="AV99" s="1">
        <v>61</v>
      </c>
      <c r="AW99" s="40">
        <v>126400</v>
      </c>
      <c r="AX99" s="1">
        <v>62</v>
      </c>
      <c r="AY99" s="40">
        <v>126400</v>
      </c>
      <c r="AZ99" s="1">
        <v>61</v>
      </c>
      <c r="BA99" s="40">
        <v>126400</v>
      </c>
      <c r="BB99" s="1">
        <v>61</v>
      </c>
      <c r="BC99" s="40">
        <v>126400</v>
      </c>
      <c r="BD99" s="1">
        <v>62</v>
      </c>
      <c r="BE99" s="40">
        <v>126400</v>
      </c>
      <c r="BF99" s="1">
        <v>62</v>
      </c>
      <c r="BG99" s="40">
        <v>126400</v>
      </c>
      <c r="BH99" s="1">
        <v>61</v>
      </c>
      <c r="BI99" s="40">
        <v>126400</v>
      </c>
    </row>
    <row r="100" spans="1:61" x14ac:dyDescent="0.3">
      <c r="A100" s="9" t="s">
        <v>106</v>
      </c>
      <c r="B100" s="4">
        <v>97</v>
      </c>
      <c r="C100" s="4">
        <v>16</v>
      </c>
      <c r="D100" s="45">
        <v>70</v>
      </c>
      <c r="E100" s="56">
        <v>73</v>
      </c>
      <c r="F100" s="45">
        <v>287082</v>
      </c>
      <c r="G100" s="56">
        <v>73</v>
      </c>
      <c r="H100" s="15">
        <v>288696</v>
      </c>
      <c r="I100" s="56">
        <v>73</v>
      </c>
      <c r="J100" s="15">
        <v>282540</v>
      </c>
      <c r="K100" s="56">
        <v>73</v>
      </c>
      <c r="L100" s="15">
        <v>296868</v>
      </c>
      <c r="M100" s="56">
        <v>73</v>
      </c>
      <c r="N100" s="15">
        <v>282962</v>
      </c>
      <c r="O100" s="56">
        <v>73</v>
      </c>
      <c r="P100" s="45">
        <v>281817</v>
      </c>
      <c r="Q100" s="56">
        <v>73</v>
      </c>
      <c r="R100" s="15">
        <v>286842</v>
      </c>
      <c r="S100" s="56">
        <v>73</v>
      </c>
      <c r="T100" s="15">
        <v>282598</v>
      </c>
      <c r="U100" s="56">
        <v>73</v>
      </c>
      <c r="V100" s="15">
        <v>287623</v>
      </c>
      <c r="W100" s="56">
        <v>73</v>
      </c>
      <c r="X100" s="15">
        <v>295154</v>
      </c>
      <c r="Y100" s="77">
        <v>73</v>
      </c>
      <c r="Z100" s="56">
        <v>85.5</v>
      </c>
      <c r="AA100" s="4">
        <v>84</v>
      </c>
      <c r="AB100" s="4">
        <v>22.1</v>
      </c>
      <c r="AC100" s="15">
        <v>164.13</v>
      </c>
      <c r="AD100" s="56">
        <v>74.7</v>
      </c>
      <c r="AE100" s="4">
        <v>73</v>
      </c>
      <c r="AF100" s="4">
        <v>6.7</v>
      </c>
      <c r="AG100" s="15">
        <v>155.19999999999999</v>
      </c>
      <c r="AH100" s="56">
        <f t="shared" si="13"/>
        <v>74.8</v>
      </c>
      <c r="AI100" s="34">
        <f t="shared" si="14"/>
        <v>74</v>
      </c>
      <c r="AJ100" s="17">
        <f t="shared" si="15"/>
        <v>6.8571428571428533E-2</v>
      </c>
      <c r="AK100" s="15">
        <f t="shared" si="12"/>
        <v>155.19999999999999</v>
      </c>
      <c r="AL100" s="55">
        <f t="shared" si="16"/>
        <v>73</v>
      </c>
      <c r="AM100" s="12">
        <f t="shared" si="17"/>
        <v>73</v>
      </c>
      <c r="AN100" s="18">
        <f t="shared" si="18"/>
        <v>4.2857142857142858E-2</v>
      </c>
      <c r="AO100" s="16">
        <f t="shared" si="19"/>
        <v>287.21820000000002</v>
      </c>
      <c r="AP100" s="1">
        <v>74</v>
      </c>
      <c r="AQ100" s="40">
        <v>155200</v>
      </c>
      <c r="AR100" s="1">
        <v>75</v>
      </c>
      <c r="AS100" s="40">
        <v>155200</v>
      </c>
      <c r="AT100" s="1">
        <v>75</v>
      </c>
      <c r="AU100" s="40">
        <v>155200</v>
      </c>
      <c r="AV100" s="1">
        <v>74</v>
      </c>
      <c r="AW100" s="40">
        <v>155200</v>
      </c>
      <c r="AX100" s="1">
        <v>76</v>
      </c>
      <c r="AY100" s="40">
        <v>155200</v>
      </c>
      <c r="AZ100" s="1">
        <v>75</v>
      </c>
      <c r="BA100" s="40">
        <v>155200</v>
      </c>
      <c r="BB100" s="1">
        <v>75</v>
      </c>
      <c r="BC100" s="40">
        <v>155200</v>
      </c>
      <c r="BD100" s="1">
        <v>75</v>
      </c>
      <c r="BE100" s="40">
        <v>155200</v>
      </c>
      <c r="BF100" s="1">
        <v>75</v>
      </c>
      <c r="BG100" s="40">
        <v>155200</v>
      </c>
      <c r="BH100" s="1">
        <v>74</v>
      </c>
      <c r="BI100" s="40">
        <v>155200</v>
      </c>
    </row>
    <row r="101" spans="1:61" x14ac:dyDescent="0.3">
      <c r="A101" s="9" t="s">
        <v>107</v>
      </c>
      <c r="B101" s="4">
        <v>93</v>
      </c>
      <c r="C101" s="4">
        <v>16</v>
      </c>
      <c r="D101" s="45">
        <v>60</v>
      </c>
      <c r="E101" s="56">
        <v>60</v>
      </c>
      <c r="F101" s="45">
        <v>23</v>
      </c>
      <c r="G101" s="56">
        <v>60</v>
      </c>
      <c r="H101" s="15">
        <v>24</v>
      </c>
      <c r="I101" s="56">
        <v>60</v>
      </c>
      <c r="J101" s="15">
        <v>24</v>
      </c>
      <c r="K101" s="56">
        <v>60</v>
      </c>
      <c r="L101" s="15">
        <v>78</v>
      </c>
      <c r="M101" s="56">
        <v>60</v>
      </c>
      <c r="N101" s="15">
        <v>78</v>
      </c>
      <c r="O101" s="56">
        <v>60</v>
      </c>
      <c r="P101" s="45">
        <v>25</v>
      </c>
      <c r="Q101" s="56">
        <v>60</v>
      </c>
      <c r="R101" s="15">
        <v>98</v>
      </c>
      <c r="S101" s="56">
        <v>60</v>
      </c>
      <c r="T101" s="15">
        <v>27</v>
      </c>
      <c r="U101" s="56">
        <v>60</v>
      </c>
      <c r="V101" s="15">
        <v>26</v>
      </c>
      <c r="W101" s="56">
        <v>60</v>
      </c>
      <c r="X101" s="15">
        <v>117</v>
      </c>
      <c r="Y101" s="77">
        <v>60</v>
      </c>
      <c r="Z101" s="56">
        <v>67.599999999999994</v>
      </c>
      <c r="AA101" s="4">
        <v>66</v>
      </c>
      <c r="AB101" s="4">
        <v>12.7</v>
      </c>
      <c r="AC101" s="15">
        <v>128.91</v>
      </c>
      <c r="AD101" s="56">
        <v>60.5</v>
      </c>
      <c r="AE101" s="4">
        <v>60</v>
      </c>
      <c r="AF101" s="4">
        <v>0.8</v>
      </c>
      <c r="AG101" s="15">
        <v>14.88</v>
      </c>
      <c r="AH101" s="56">
        <f t="shared" si="13"/>
        <v>61.1</v>
      </c>
      <c r="AI101" s="34">
        <f t="shared" si="14"/>
        <v>61</v>
      </c>
      <c r="AJ101" s="21">
        <f t="shared" si="15"/>
        <v>1.8333333333333358E-2</v>
      </c>
      <c r="AK101" s="15">
        <f t="shared" si="12"/>
        <v>148.80000000000001</v>
      </c>
      <c r="AL101" s="55">
        <f t="shared" si="16"/>
        <v>60</v>
      </c>
      <c r="AM101" s="12">
        <f t="shared" si="17"/>
        <v>60</v>
      </c>
      <c r="AN101" s="18">
        <f t="shared" si="18"/>
        <v>0</v>
      </c>
      <c r="AO101" s="16">
        <f t="shared" si="19"/>
        <v>5.1999999999999998E-2</v>
      </c>
      <c r="AP101" s="1">
        <v>61</v>
      </c>
      <c r="AQ101" s="40">
        <v>148800</v>
      </c>
      <c r="AR101" s="1">
        <v>61</v>
      </c>
      <c r="AS101" s="40">
        <v>148800</v>
      </c>
      <c r="AT101" s="1">
        <v>62</v>
      </c>
      <c r="AU101" s="40">
        <v>148800</v>
      </c>
      <c r="AV101" s="1">
        <v>61</v>
      </c>
      <c r="AW101" s="40">
        <v>148800</v>
      </c>
      <c r="AX101" s="1">
        <v>61</v>
      </c>
      <c r="AY101" s="40">
        <v>148800</v>
      </c>
      <c r="AZ101" s="1">
        <v>61</v>
      </c>
      <c r="BA101" s="40">
        <v>148800</v>
      </c>
      <c r="BB101" s="1">
        <v>61</v>
      </c>
      <c r="BC101" s="40">
        <v>148800</v>
      </c>
      <c r="BD101" s="1">
        <v>61</v>
      </c>
      <c r="BE101" s="40">
        <v>148800</v>
      </c>
      <c r="BF101" s="1">
        <v>61</v>
      </c>
      <c r="BG101" s="40">
        <v>148800</v>
      </c>
      <c r="BH101" s="1">
        <v>61</v>
      </c>
      <c r="BI101" s="40">
        <v>148800</v>
      </c>
    </row>
    <row r="102" spans="1:61" ht="15" thickBot="1" x14ac:dyDescent="0.35">
      <c r="A102" s="10" t="s">
        <v>108</v>
      </c>
      <c r="B102" s="6">
        <v>96</v>
      </c>
      <c r="C102" s="6">
        <v>16</v>
      </c>
      <c r="D102" s="48">
        <v>120</v>
      </c>
      <c r="E102" s="59">
        <v>121</v>
      </c>
      <c r="F102" s="48">
        <v>265126</v>
      </c>
      <c r="G102" s="59">
        <v>121</v>
      </c>
      <c r="H102" s="66">
        <v>274743</v>
      </c>
      <c r="I102" s="59">
        <v>121</v>
      </c>
      <c r="J102" s="66">
        <v>278446</v>
      </c>
      <c r="K102" s="59">
        <v>121</v>
      </c>
      <c r="L102" s="66">
        <v>265196</v>
      </c>
      <c r="M102" s="59">
        <v>121</v>
      </c>
      <c r="N102" s="66">
        <v>268672</v>
      </c>
      <c r="O102" s="59">
        <v>121</v>
      </c>
      <c r="P102" s="48">
        <v>268858</v>
      </c>
      <c r="Q102" s="59">
        <v>121</v>
      </c>
      <c r="R102" s="66">
        <v>283530</v>
      </c>
      <c r="S102" s="59">
        <v>121</v>
      </c>
      <c r="T102" s="66">
        <v>271406</v>
      </c>
      <c r="U102" s="59">
        <v>121</v>
      </c>
      <c r="V102" s="66">
        <v>275232</v>
      </c>
      <c r="W102" s="59">
        <v>121</v>
      </c>
      <c r="X102" s="66">
        <v>261762</v>
      </c>
      <c r="Y102" s="19">
        <v>121</v>
      </c>
      <c r="Z102" s="59">
        <v>140.1</v>
      </c>
      <c r="AA102" s="6">
        <v>137</v>
      </c>
      <c r="AB102" s="6">
        <v>16.8</v>
      </c>
      <c r="AC102" s="66">
        <v>226.2</v>
      </c>
      <c r="AD102" s="59">
        <v>122.6</v>
      </c>
      <c r="AE102" s="6">
        <v>121</v>
      </c>
      <c r="AF102" s="6">
        <v>2.2000000000000002</v>
      </c>
      <c r="AG102" s="66">
        <v>153.6</v>
      </c>
      <c r="AH102" s="59">
        <f t="shared" si="13"/>
        <v>124.1</v>
      </c>
      <c r="AI102" s="60">
        <f t="shared" si="14"/>
        <v>123</v>
      </c>
      <c r="AJ102" s="35">
        <f t="shared" si="15"/>
        <v>3.4166666666666616E-2</v>
      </c>
      <c r="AK102" s="19">
        <f t="shared" si="12"/>
        <v>153.6</v>
      </c>
      <c r="AL102" s="101">
        <f t="shared" si="16"/>
        <v>121</v>
      </c>
      <c r="AM102" s="102">
        <f t="shared" si="17"/>
        <v>121</v>
      </c>
      <c r="AN102" s="103">
        <f t="shared" si="18"/>
        <v>8.3333333333333332E-3</v>
      </c>
      <c r="AO102" s="104">
        <f t="shared" si="19"/>
        <v>271.2971</v>
      </c>
      <c r="AP102" s="1">
        <v>123</v>
      </c>
      <c r="AQ102" s="40">
        <v>153600</v>
      </c>
      <c r="AR102" s="1">
        <v>124</v>
      </c>
      <c r="AS102" s="40">
        <v>153600</v>
      </c>
      <c r="AT102" s="1">
        <v>125</v>
      </c>
      <c r="AU102" s="40">
        <v>153600</v>
      </c>
      <c r="AV102" s="1">
        <v>124</v>
      </c>
      <c r="AW102" s="40">
        <v>153600</v>
      </c>
      <c r="AX102" s="1">
        <v>125</v>
      </c>
      <c r="AY102" s="40">
        <v>153600</v>
      </c>
      <c r="AZ102" s="1">
        <v>124</v>
      </c>
      <c r="BA102" s="40">
        <v>153600</v>
      </c>
      <c r="BB102" s="1">
        <v>125</v>
      </c>
      <c r="BC102" s="40">
        <v>153600</v>
      </c>
      <c r="BD102" s="1">
        <v>123</v>
      </c>
      <c r="BE102" s="40">
        <v>153600</v>
      </c>
      <c r="BF102" s="1">
        <v>124</v>
      </c>
      <c r="BG102" s="40">
        <v>153600</v>
      </c>
      <c r="BH102" s="1">
        <v>124</v>
      </c>
      <c r="BI102" s="40">
        <v>153600</v>
      </c>
    </row>
    <row r="104" spans="1:61" x14ac:dyDescent="0.3">
      <c r="AF104" s="37"/>
      <c r="AJ104" s="36"/>
    </row>
    <row r="109" spans="1:61" x14ac:dyDescent="0.3">
      <c r="AB109" s="70" t="s">
        <v>132</v>
      </c>
      <c r="AN109" s="70"/>
    </row>
    <row r="111" spans="1:61" x14ac:dyDescent="0.3">
      <c r="AB111" s="1" t="s">
        <v>133</v>
      </c>
      <c r="AC111" s="1" t="s">
        <v>134</v>
      </c>
      <c r="AD111" s="1" t="s">
        <v>135</v>
      </c>
      <c r="AE111" s="1" t="s">
        <v>136</v>
      </c>
      <c r="AF111" s="1" t="s">
        <v>152</v>
      </c>
    </row>
    <row r="112" spans="1:61" x14ac:dyDescent="0.3">
      <c r="AB112" s="1">
        <v>2</v>
      </c>
      <c r="AC112" s="71">
        <f>AVERAGE(AB3:AB27)</f>
        <v>4.3079999999999998</v>
      </c>
      <c r="AD112" s="71">
        <f>AVERAGE(AF3:AF27)</f>
        <v>4.3079999999999998</v>
      </c>
      <c r="AE112" s="71">
        <f>AVERAGE(AJ3:AJ27)*100</f>
        <v>4.3084656084656086</v>
      </c>
      <c r="AO112" s="71"/>
    </row>
    <row r="113" spans="28:41" x14ac:dyDescent="0.3">
      <c r="AB113" s="1">
        <v>4</v>
      </c>
      <c r="AC113" s="71">
        <f>AVERAGE(AB28:AB52)</f>
        <v>8.152000000000001</v>
      </c>
      <c r="AD113" s="71">
        <f>AVERAGE(AF28:AF52)</f>
        <v>9.8079999999999998</v>
      </c>
      <c r="AE113" s="71">
        <f>AVERAGE(AJ28:AJ52)*100</f>
        <v>5.3108735708735697</v>
      </c>
      <c r="AF113" s="71">
        <f>AVERAGE(AN28:AN52)*100</f>
        <v>3.3386080586080586</v>
      </c>
      <c r="AO113" s="71"/>
    </row>
    <row r="114" spans="28:41" x14ac:dyDescent="0.3">
      <c r="AB114" s="1">
        <v>8</v>
      </c>
      <c r="AC114" s="71">
        <f>AVERAGE(AB53:AB77)</f>
        <v>15.188000000000002</v>
      </c>
      <c r="AD114" s="71">
        <f>AVERAGE(AF53:AF77)</f>
        <v>5.5760000000000005</v>
      </c>
      <c r="AE114" s="71">
        <f>AVERAGE(AJ53:AJ77)*100</f>
        <v>5.583077922077921</v>
      </c>
      <c r="AF114" s="71">
        <f>AVERAGE(AN53:AN77)*100</f>
        <v>2.1371659451659442</v>
      </c>
      <c r="AO114" s="71"/>
    </row>
    <row r="115" spans="28:41" x14ac:dyDescent="0.3">
      <c r="AB115" s="1">
        <v>16</v>
      </c>
      <c r="AC115" s="71">
        <f>AVERAGE(AB78:AB102)</f>
        <v>17.796000000000003</v>
      </c>
      <c r="AD115" s="71">
        <f>AVERAGE(AF78:AF102)</f>
        <v>4.1680000000000001</v>
      </c>
      <c r="AE115" s="71">
        <f>AVERAGE(AJ78:AJ102)*100</f>
        <v>4.4891295674022942</v>
      </c>
      <c r="AF115" s="71">
        <f>AVERAGE(AN78:AN102)*100</f>
        <v>1.8641886900977813</v>
      </c>
      <c r="AO115" s="71"/>
    </row>
    <row r="118" spans="28:41" x14ac:dyDescent="0.3">
      <c r="AB118" s="70" t="s">
        <v>137</v>
      </c>
      <c r="AN118" s="70"/>
    </row>
    <row r="120" spans="28:41" x14ac:dyDescent="0.3">
      <c r="AB120" s="40" t="s">
        <v>133</v>
      </c>
      <c r="AC120" s="40" t="s">
        <v>134</v>
      </c>
      <c r="AD120" s="40" t="s">
        <v>135</v>
      </c>
      <c r="AE120" s="40" t="s">
        <v>136</v>
      </c>
      <c r="AF120" s="1" t="s">
        <v>152</v>
      </c>
    </row>
    <row r="121" spans="28:41" x14ac:dyDescent="0.3">
      <c r="AB121" s="40">
        <v>2</v>
      </c>
      <c r="AC121" s="71">
        <f>AVERAGE(AC3:AC27)</f>
        <v>2.7359999999999998</v>
      </c>
      <c r="AD121" s="71">
        <f>AVERAGE(AG3:AG27)</f>
        <v>1.9200000000000002E-2</v>
      </c>
      <c r="AE121" s="71">
        <f>AVERAGE(AK3:AK27)</f>
        <v>0.15918400000000002</v>
      </c>
      <c r="AO121" s="71"/>
    </row>
    <row r="122" spans="28:41" x14ac:dyDescent="0.3">
      <c r="AB122" s="40">
        <v>4</v>
      </c>
      <c r="AC122" s="71">
        <f>AVERAGE(AC28:AC52)</f>
        <v>18.809199999999997</v>
      </c>
      <c r="AD122" s="71">
        <f>AVERAGE(AG28:AG52)</f>
        <v>8.0531999999999986</v>
      </c>
      <c r="AE122" s="71">
        <f>AVERAGE(AK28:AK52)</f>
        <v>12.027635999999999</v>
      </c>
      <c r="AF122" s="71">
        <f>AVERAGE(AO28:AO52)</f>
        <v>9.3288840000000022</v>
      </c>
      <c r="AO122" s="71"/>
    </row>
    <row r="123" spans="28:41" x14ac:dyDescent="0.3">
      <c r="AB123" s="40">
        <v>8</v>
      </c>
      <c r="AC123" s="71">
        <f>AVERAGE(AC53:AC77)</f>
        <v>120.64959999999999</v>
      </c>
      <c r="AD123" s="71">
        <f>AVERAGE(AG53:AG77)</f>
        <v>55.657600000000009</v>
      </c>
      <c r="AE123" s="71">
        <f>AVERAGE(AK53:AK77)</f>
        <v>70.321991999999995</v>
      </c>
      <c r="AF123" s="71">
        <f>AVERAGE(AO53:AO77)</f>
        <v>59.676160000000003</v>
      </c>
      <c r="AO123" s="71"/>
    </row>
    <row r="124" spans="28:41" x14ac:dyDescent="0.3">
      <c r="AB124" s="40">
        <v>16</v>
      </c>
      <c r="AC124" s="71">
        <f>AVERAGE(AC78:AC102)</f>
        <v>206.35919999999996</v>
      </c>
      <c r="AD124" s="71">
        <f>AVERAGE(AG78:AG102)</f>
        <v>120.8064</v>
      </c>
      <c r="AE124" s="71">
        <f>AVERAGE(AK78:AK102)</f>
        <v>148.080544</v>
      </c>
      <c r="AF124" s="71">
        <f>AVERAGE(AO78:AO102)</f>
        <v>207.93455999999998</v>
      </c>
      <c r="AO124" s="71"/>
    </row>
  </sheetData>
  <mergeCells count="15">
    <mergeCell ref="E1:F1"/>
    <mergeCell ref="I1:J1"/>
    <mergeCell ref="K1:L1"/>
    <mergeCell ref="M1:N1"/>
    <mergeCell ref="O1:P1"/>
    <mergeCell ref="AP1:BI1"/>
    <mergeCell ref="Z1:AC1"/>
    <mergeCell ref="AD1:AG1"/>
    <mergeCell ref="AH1:AK1"/>
    <mergeCell ref="G1:H1"/>
    <mergeCell ref="Q1:R1"/>
    <mergeCell ref="S1:T1"/>
    <mergeCell ref="U1:V1"/>
    <mergeCell ref="W1:X1"/>
    <mergeCell ref="AL1:AO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>
      <selection activeCell="E13" sqref="E13"/>
    </sheetView>
  </sheetViews>
  <sheetFormatPr defaultRowHeight="14.4" x14ac:dyDescent="0.3"/>
  <cols>
    <col min="2" max="2" width="6.109375" customWidth="1"/>
    <col min="3" max="3" width="2.21875" customWidth="1"/>
    <col min="4" max="7" width="8.88671875" style="94"/>
    <col min="8" max="8" width="2.21875" style="94" customWidth="1"/>
    <col min="9" max="12" width="8.88671875" style="94"/>
  </cols>
  <sheetData>
    <row r="1" spans="1:12" x14ac:dyDescent="0.3">
      <c r="A1" s="115" t="s">
        <v>153</v>
      </c>
      <c r="B1" s="116" t="s">
        <v>1</v>
      </c>
      <c r="C1" s="117"/>
      <c r="D1" s="118" t="s">
        <v>154</v>
      </c>
      <c r="E1" s="118"/>
      <c r="F1" s="118"/>
      <c r="G1" s="118"/>
      <c r="H1" s="117"/>
      <c r="I1" s="118" t="s">
        <v>155</v>
      </c>
      <c r="J1" s="118"/>
      <c r="K1" s="118"/>
      <c r="L1" s="118"/>
    </row>
    <row r="2" spans="1:12" x14ac:dyDescent="0.3">
      <c r="A2" s="108"/>
      <c r="B2" s="109"/>
      <c r="C2" s="110"/>
      <c r="D2" s="110" t="s">
        <v>134</v>
      </c>
      <c r="E2" s="110" t="s">
        <v>135</v>
      </c>
      <c r="F2" s="110" t="s">
        <v>156</v>
      </c>
      <c r="G2" s="110" t="s">
        <v>157</v>
      </c>
      <c r="H2" s="110"/>
      <c r="I2" s="110" t="s">
        <v>134</v>
      </c>
      <c r="J2" s="110" t="s">
        <v>135</v>
      </c>
      <c r="K2" s="110" t="s">
        <v>156</v>
      </c>
      <c r="L2" s="110" t="s">
        <v>157</v>
      </c>
    </row>
    <row r="3" spans="1:12" x14ac:dyDescent="0.3">
      <c r="A3" t="str">
        <f>'Detailed results'!A28</f>
        <v>S4-P1</v>
      </c>
      <c r="B3" s="94">
        <f>'Detailed results'!D28</f>
        <v>26</v>
      </c>
      <c r="C3" s="94"/>
      <c r="D3" s="94">
        <f>'Detailed results'!Z28</f>
        <v>31.9</v>
      </c>
      <c r="E3" s="94">
        <f>'Detailed results'!AD28</f>
        <v>33</v>
      </c>
      <c r="F3" s="94">
        <f>'Detailed results'!AH28</f>
        <v>30.9</v>
      </c>
      <c r="G3" s="113">
        <f>'Detailed results'!AL28</f>
        <v>29.4</v>
      </c>
      <c r="I3" s="94">
        <f>'Detailed results'!AA28</f>
        <v>31</v>
      </c>
      <c r="J3" s="94">
        <f>'Detailed results'!AE28</f>
        <v>33</v>
      </c>
      <c r="K3" s="94">
        <f>'Detailed results'!AI28</f>
        <v>30</v>
      </c>
      <c r="L3" s="93">
        <f>'Detailed results'!AM28</f>
        <v>29</v>
      </c>
    </row>
    <row r="4" spans="1:12" x14ac:dyDescent="0.3">
      <c r="A4" t="str">
        <f>'Detailed results'!A29</f>
        <v>S4-P2</v>
      </c>
      <c r="B4" s="94">
        <f>'Detailed results'!D29</f>
        <v>21</v>
      </c>
      <c r="C4" s="94"/>
      <c r="D4" s="94">
        <f>'Detailed results'!Z29</f>
        <v>21</v>
      </c>
      <c r="E4" s="94">
        <f>'Detailed results'!AD29</f>
        <v>21</v>
      </c>
      <c r="F4" s="94">
        <f>'Detailed results'!AH29</f>
        <v>21</v>
      </c>
      <c r="G4" s="94">
        <f>'Detailed results'!AL29</f>
        <v>21</v>
      </c>
      <c r="I4" s="94">
        <f>'Detailed results'!AA29</f>
        <v>21</v>
      </c>
      <c r="J4" s="94">
        <f>'Detailed results'!AE29</f>
        <v>21</v>
      </c>
      <c r="K4" s="94">
        <f>'Detailed results'!AI29</f>
        <v>21</v>
      </c>
      <c r="L4" s="94">
        <f>'Detailed results'!AM29</f>
        <v>21</v>
      </c>
    </row>
    <row r="5" spans="1:12" x14ac:dyDescent="0.3">
      <c r="A5" t="str">
        <f>'Detailed results'!A30</f>
        <v>S4-P3</v>
      </c>
      <c r="B5" s="94">
        <f>'Detailed results'!D30</f>
        <v>48</v>
      </c>
      <c r="C5" s="94"/>
      <c r="D5" s="94">
        <f>'Detailed results'!Z30</f>
        <v>56.1</v>
      </c>
      <c r="E5" s="94">
        <f>'Detailed results'!AD30</f>
        <v>54</v>
      </c>
      <c r="F5" s="94">
        <f>'Detailed results'!AH30</f>
        <v>52.2</v>
      </c>
      <c r="G5" s="94">
        <f>'Detailed results'!AL30</f>
        <v>51</v>
      </c>
      <c r="I5" s="94">
        <f>'Detailed results'!AA30</f>
        <v>54</v>
      </c>
      <c r="J5" s="93">
        <f>'Detailed results'!AE30</f>
        <v>51</v>
      </c>
      <c r="K5" s="93">
        <f>'Detailed results'!AI30</f>
        <v>51</v>
      </c>
      <c r="L5" s="93">
        <f>'Detailed results'!AM30</f>
        <v>51</v>
      </c>
    </row>
    <row r="6" spans="1:12" x14ac:dyDescent="0.3">
      <c r="A6" t="str">
        <f>'Detailed results'!A31</f>
        <v>S4-P4</v>
      </c>
      <c r="B6" s="94">
        <f>'Detailed results'!D31</f>
        <v>27</v>
      </c>
      <c r="C6" s="94"/>
      <c r="D6" s="94">
        <f>'Detailed results'!Z31</f>
        <v>28.8</v>
      </c>
      <c r="E6" s="94">
        <f>'Detailed results'!AD31</f>
        <v>30</v>
      </c>
      <c r="F6" s="94">
        <f>'Detailed results'!AH31</f>
        <v>29.4</v>
      </c>
      <c r="G6" s="94">
        <f>'Detailed results'!AL31</f>
        <v>27</v>
      </c>
      <c r="I6" s="93">
        <f>'Detailed results'!AA31</f>
        <v>27</v>
      </c>
      <c r="J6" s="94">
        <f>'Detailed results'!AE31</f>
        <v>30</v>
      </c>
      <c r="K6" s="93">
        <f>'Detailed results'!AI31</f>
        <v>27</v>
      </c>
      <c r="L6" s="93">
        <f>'Detailed results'!AM31</f>
        <v>27</v>
      </c>
    </row>
    <row r="7" spans="1:12" x14ac:dyDescent="0.3">
      <c r="A7" t="str">
        <f>'Detailed results'!A32</f>
        <v>S4-P5</v>
      </c>
      <c r="B7" s="94">
        <f>'Detailed results'!D32</f>
        <v>32</v>
      </c>
      <c r="C7" s="94"/>
      <c r="D7" s="94">
        <f>'Detailed results'!Z32</f>
        <v>33.6</v>
      </c>
      <c r="E7" s="94">
        <f>'Detailed results'!AD32</f>
        <v>32</v>
      </c>
      <c r="F7" s="94">
        <f>'Detailed results'!AH32</f>
        <v>32</v>
      </c>
      <c r="G7" s="94">
        <f>'Detailed results'!AL32</f>
        <v>32</v>
      </c>
      <c r="I7" s="94">
        <f>'Detailed results'!AA32</f>
        <v>32</v>
      </c>
      <c r="J7" s="94">
        <f>'Detailed results'!AE32</f>
        <v>32</v>
      </c>
      <c r="K7" s="94">
        <f>'Detailed results'!AI32</f>
        <v>32</v>
      </c>
      <c r="L7" s="94">
        <f>'Detailed results'!AM32</f>
        <v>32</v>
      </c>
    </row>
    <row r="8" spans="1:12" x14ac:dyDescent="0.3">
      <c r="A8" t="str">
        <f>'Detailed results'!A33</f>
        <v>S4-P6</v>
      </c>
      <c r="B8" s="94">
        <f>'Detailed results'!D33</f>
        <v>25</v>
      </c>
      <c r="C8" s="94"/>
      <c r="D8" s="94">
        <f>'Detailed results'!Z33</f>
        <v>27.9</v>
      </c>
      <c r="E8" s="94">
        <f>'Detailed results'!AD33</f>
        <v>28.1</v>
      </c>
      <c r="F8" s="94">
        <f>'Detailed results'!AH33</f>
        <v>26</v>
      </c>
      <c r="G8" s="94">
        <f>'Detailed results'!AL33</f>
        <v>28</v>
      </c>
      <c r="I8" s="93">
        <f>'Detailed results'!AA33</f>
        <v>26</v>
      </c>
      <c r="J8" s="94">
        <f>'Detailed results'!AE33</f>
        <v>28</v>
      </c>
      <c r="K8" s="93">
        <f>'Detailed results'!AI33</f>
        <v>26</v>
      </c>
      <c r="L8" s="94">
        <f>'Detailed results'!AM33</f>
        <v>28</v>
      </c>
    </row>
    <row r="9" spans="1:12" x14ac:dyDescent="0.3">
      <c r="A9" t="str">
        <f>'Detailed results'!A34</f>
        <v>S4-P7</v>
      </c>
      <c r="B9" s="94">
        <f>'Detailed results'!D34</f>
        <v>36</v>
      </c>
      <c r="C9" s="94"/>
      <c r="D9" s="94">
        <f>'Detailed results'!Z34</f>
        <v>36</v>
      </c>
      <c r="E9" s="94">
        <f>'Detailed results'!AD34</f>
        <v>40</v>
      </c>
      <c r="F9" s="94">
        <f>'Detailed results'!AH34</f>
        <v>36</v>
      </c>
      <c r="G9" s="94">
        <f>'Detailed results'!AL34</f>
        <v>36</v>
      </c>
      <c r="I9" s="93">
        <f>'Detailed results'!AA34</f>
        <v>36</v>
      </c>
      <c r="J9" s="94">
        <f>'Detailed results'!AE34</f>
        <v>40</v>
      </c>
      <c r="K9" s="93">
        <f>'Detailed results'!AI34</f>
        <v>36</v>
      </c>
      <c r="L9" s="93">
        <f>'Detailed results'!AM34</f>
        <v>36</v>
      </c>
    </row>
    <row r="10" spans="1:12" x14ac:dyDescent="0.3">
      <c r="A10" t="str">
        <f>'Detailed results'!A35</f>
        <v>S4-P8</v>
      </c>
      <c r="B10" s="94">
        <f>'Detailed results'!D35</f>
        <v>33</v>
      </c>
      <c r="C10" s="94"/>
      <c r="D10" s="94">
        <f>'Detailed results'!Z35</f>
        <v>33</v>
      </c>
      <c r="E10" s="94">
        <f>'Detailed results'!AD35</f>
        <v>34</v>
      </c>
      <c r="F10" s="94">
        <f>'Detailed results'!AH35</f>
        <v>33</v>
      </c>
      <c r="G10" s="94">
        <f>'Detailed results'!AL35</f>
        <v>33</v>
      </c>
      <c r="I10" s="93">
        <f>'Detailed results'!AA35</f>
        <v>33</v>
      </c>
      <c r="J10" s="94">
        <f>'Detailed results'!AE35</f>
        <v>34</v>
      </c>
      <c r="K10" s="93">
        <f>'Detailed results'!AI35</f>
        <v>33</v>
      </c>
      <c r="L10" s="93">
        <f>'Detailed results'!AM35</f>
        <v>33</v>
      </c>
    </row>
    <row r="11" spans="1:12" x14ac:dyDescent="0.3">
      <c r="A11" t="str">
        <f>'Detailed results'!A36</f>
        <v>S4-P9</v>
      </c>
      <c r="B11" s="94">
        <f>'Detailed results'!D36</f>
        <v>39</v>
      </c>
      <c r="C11" s="94"/>
      <c r="D11" s="94">
        <f>'Detailed results'!Z36</f>
        <v>47.8</v>
      </c>
      <c r="E11" s="94">
        <f>'Detailed results'!AD36</f>
        <v>48</v>
      </c>
      <c r="F11" s="94">
        <f>'Detailed results'!AH36</f>
        <v>44.2</v>
      </c>
      <c r="G11" s="94">
        <f>'Detailed results'!AL36</f>
        <v>41.9</v>
      </c>
      <c r="I11" s="94">
        <f>'Detailed results'!AA36</f>
        <v>46</v>
      </c>
      <c r="J11" s="94">
        <f>'Detailed results'!AE36</f>
        <v>47</v>
      </c>
      <c r="K11" s="93">
        <f>'Detailed results'!AI36</f>
        <v>41</v>
      </c>
      <c r="L11" s="93">
        <f>'Detailed results'!AM36</f>
        <v>41</v>
      </c>
    </row>
    <row r="12" spans="1:12" x14ac:dyDescent="0.3">
      <c r="A12" t="str">
        <f>'Detailed results'!A37</f>
        <v>S4-P10</v>
      </c>
      <c r="B12" s="94">
        <f>'Detailed results'!D37</f>
        <v>56</v>
      </c>
      <c r="C12" s="94"/>
      <c r="D12" s="94">
        <f>'Detailed results'!Z37</f>
        <v>57.6</v>
      </c>
      <c r="E12" s="94">
        <f>'Detailed results'!AD37</f>
        <v>56</v>
      </c>
      <c r="F12" s="94">
        <f>'Detailed results'!AH37</f>
        <v>56</v>
      </c>
      <c r="G12" s="94">
        <f>'Detailed results'!AL37</f>
        <v>56</v>
      </c>
      <c r="I12" s="94">
        <f>'Detailed results'!AA37</f>
        <v>56</v>
      </c>
      <c r="J12" s="94">
        <f>'Detailed results'!AE37</f>
        <v>56</v>
      </c>
      <c r="K12" s="94">
        <f>'Detailed results'!AI37</f>
        <v>56</v>
      </c>
      <c r="L12" s="94">
        <f>'Detailed results'!AM37</f>
        <v>56</v>
      </c>
    </row>
    <row r="13" spans="1:12" x14ac:dyDescent="0.3">
      <c r="A13" t="str">
        <f>'Detailed results'!A38</f>
        <v>S4-P11</v>
      </c>
      <c r="B13" s="94">
        <f>'Detailed results'!D38</f>
        <v>40</v>
      </c>
      <c r="C13" s="94"/>
      <c r="D13" s="94">
        <f>'Detailed results'!Z38</f>
        <v>43.7</v>
      </c>
      <c r="E13" s="94">
        <f>'Detailed results'!AD38</f>
        <v>40.6</v>
      </c>
      <c r="F13" s="94">
        <f>'Detailed results'!AH38</f>
        <v>40.799999999999997</v>
      </c>
      <c r="G13" s="94">
        <f>'Detailed results'!AL38</f>
        <v>40</v>
      </c>
      <c r="I13" s="94">
        <f>'Detailed results'!AA38</f>
        <v>43</v>
      </c>
      <c r="J13" s="93">
        <f>'Detailed results'!AE38</f>
        <v>40</v>
      </c>
      <c r="K13" s="93">
        <f>'Detailed results'!AI38</f>
        <v>40</v>
      </c>
      <c r="L13" s="93">
        <f>'Detailed results'!AM38</f>
        <v>40</v>
      </c>
    </row>
    <row r="14" spans="1:12" x14ac:dyDescent="0.3">
      <c r="A14" t="str">
        <f>'Detailed results'!A39</f>
        <v>S4-P12</v>
      </c>
      <c r="B14" s="94">
        <f>'Detailed results'!D39</f>
        <v>30</v>
      </c>
      <c r="C14" s="94"/>
      <c r="D14" s="94">
        <f>'Detailed results'!Z39</f>
        <v>33</v>
      </c>
      <c r="E14" s="94">
        <f>'Detailed results'!AD39</f>
        <v>37.200000000000003</v>
      </c>
      <c r="F14" s="94">
        <f>'Detailed results'!AH39</f>
        <v>32.200000000000003</v>
      </c>
      <c r="G14" s="94">
        <f>'Detailed results'!AL39</f>
        <v>32</v>
      </c>
      <c r="I14" s="93">
        <f>'Detailed results'!AA39</f>
        <v>32</v>
      </c>
      <c r="J14" s="94">
        <f>'Detailed results'!AE39</f>
        <v>36</v>
      </c>
      <c r="K14" s="93">
        <f>'Detailed results'!AI39</f>
        <v>32</v>
      </c>
      <c r="L14" s="93">
        <f>'Detailed results'!AM39</f>
        <v>32</v>
      </c>
    </row>
    <row r="15" spans="1:12" x14ac:dyDescent="0.3">
      <c r="A15" t="str">
        <f>'Detailed results'!A40</f>
        <v>S4-P13</v>
      </c>
      <c r="B15" s="94">
        <f>'Detailed results'!D40</f>
        <v>40</v>
      </c>
      <c r="C15" s="94"/>
      <c r="D15" s="94">
        <f>'Detailed results'!Z40</f>
        <v>40</v>
      </c>
      <c r="E15" s="94">
        <f>'Detailed results'!AD40</f>
        <v>40</v>
      </c>
      <c r="F15" s="94">
        <f>'Detailed results'!AH40</f>
        <v>40</v>
      </c>
      <c r="G15" s="94">
        <f>'Detailed results'!AL40</f>
        <v>40</v>
      </c>
      <c r="I15" s="94">
        <f>'Detailed results'!AA40</f>
        <v>40</v>
      </c>
      <c r="J15" s="94">
        <f>'Detailed results'!AE40</f>
        <v>40</v>
      </c>
      <c r="K15" s="94">
        <f>'Detailed results'!AI40</f>
        <v>40</v>
      </c>
      <c r="L15" s="94">
        <f>'Detailed results'!AM40</f>
        <v>40</v>
      </c>
    </row>
    <row r="16" spans="1:12" x14ac:dyDescent="0.3">
      <c r="A16" t="str">
        <f>'Detailed results'!A41</f>
        <v>S4-P14</v>
      </c>
      <c r="B16" s="94">
        <f>'Detailed results'!D41</f>
        <v>45</v>
      </c>
      <c r="C16" s="94"/>
      <c r="D16" s="94">
        <f>'Detailed results'!Z41</f>
        <v>46.7</v>
      </c>
      <c r="E16" s="94">
        <f>'Detailed results'!AD41</f>
        <v>48</v>
      </c>
      <c r="F16" s="94">
        <f>'Detailed results'!AH41</f>
        <v>45.9</v>
      </c>
      <c r="G16" s="94">
        <f>'Detailed results'!AL41</f>
        <v>45</v>
      </c>
      <c r="I16" s="93">
        <f>'Detailed results'!AA41</f>
        <v>45</v>
      </c>
      <c r="J16" s="94">
        <f>'Detailed results'!AE41</f>
        <v>48</v>
      </c>
      <c r="K16" s="93">
        <f>'Detailed results'!AI41</f>
        <v>45</v>
      </c>
      <c r="L16" s="93">
        <f>'Detailed results'!AM41</f>
        <v>45</v>
      </c>
    </row>
    <row r="17" spans="1:12" x14ac:dyDescent="0.3">
      <c r="A17" t="str">
        <f>'Detailed results'!A42</f>
        <v>S4-P15</v>
      </c>
      <c r="B17" s="94">
        <f>'Detailed results'!D42</f>
        <v>36</v>
      </c>
      <c r="C17" s="94"/>
      <c r="D17" s="94">
        <f>'Detailed results'!Z42</f>
        <v>36</v>
      </c>
      <c r="E17" s="94">
        <f>'Detailed results'!AD42</f>
        <v>36</v>
      </c>
      <c r="F17" s="94">
        <f>'Detailed results'!AH42</f>
        <v>36</v>
      </c>
      <c r="G17" s="94">
        <f>'Detailed results'!AL42</f>
        <v>36</v>
      </c>
      <c r="I17" s="94">
        <f>'Detailed results'!AA42</f>
        <v>36</v>
      </c>
      <c r="J17" s="94">
        <f>'Detailed results'!AE42</f>
        <v>36</v>
      </c>
      <c r="K17" s="94">
        <f>'Detailed results'!AI42</f>
        <v>36</v>
      </c>
      <c r="L17" s="94">
        <f>'Detailed results'!AM42</f>
        <v>36</v>
      </c>
    </row>
    <row r="18" spans="1:12" x14ac:dyDescent="0.3">
      <c r="A18" t="str">
        <f>'Detailed results'!A43</f>
        <v>S4-P16</v>
      </c>
      <c r="B18" s="94">
        <f>'Detailed results'!D43</f>
        <v>32</v>
      </c>
      <c r="C18" s="94"/>
      <c r="D18" s="94">
        <f>'Detailed results'!Z43</f>
        <v>35.4</v>
      </c>
      <c r="E18" s="94">
        <f>'Detailed results'!AD43</f>
        <v>34</v>
      </c>
      <c r="F18" s="94">
        <f>'Detailed results'!AH43</f>
        <v>33.799999999999997</v>
      </c>
      <c r="G18" s="94">
        <f>'Detailed results'!AL43</f>
        <v>32</v>
      </c>
      <c r="I18" s="94">
        <f>'Detailed results'!AA43</f>
        <v>34</v>
      </c>
      <c r="J18" s="94">
        <f>'Detailed results'!AE43</f>
        <v>34</v>
      </c>
      <c r="K18" s="93">
        <f>'Detailed results'!AI43</f>
        <v>32</v>
      </c>
      <c r="L18" s="93">
        <f>'Detailed results'!AM43</f>
        <v>32</v>
      </c>
    </row>
    <row r="19" spans="1:12" x14ac:dyDescent="0.3">
      <c r="A19" t="str">
        <f>'Detailed results'!A44</f>
        <v>S4-P17</v>
      </c>
      <c r="B19" s="94">
        <f>'Detailed results'!D44</f>
        <v>32</v>
      </c>
      <c r="C19" s="94"/>
      <c r="D19" s="94">
        <f>'Detailed results'!Z44</f>
        <v>38</v>
      </c>
      <c r="E19" s="94">
        <f>'Detailed results'!AD44</f>
        <v>37.6</v>
      </c>
      <c r="F19" s="94">
        <f>'Detailed results'!AH44</f>
        <v>36.6</v>
      </c>
      <c r="G19" s="94">
        <f>'Detailed results'!AL44</f>
        <v>36</v>
      </c>
      <c r="I19" s="94">
        <f>'Detailed results'!AA44</f>
        <v>38</v>
      </c>
      <c r="J19" s="93">
        <f>'Detailed results'!AE44</f>
        <v>36</v>
      </c>
      <c r="K19" s="93">
        <f>'Detailed results'!AI44</f>
        <v>36</v>
      </c>
      <c r="L19" s="93">
        <f>'Detailed results'!AM44</f>
        <v>36</v>
      </c>
    </row>
    <row r="20" spans="1:12" x14ac:dyDescent="0.3">
      <c r="A20" t="str">
        <f>'Detailed results'!A45</f>
        <v>S4-P18</v>
      </c>
      <c r="B20" s="94">
        <f>'Detailed results'!D45</f>
        <v>24</v>
      </c>
      <c r="C20" s="94"/>
      <c r="D20" s="94">
        <f>'Detailed results'!Z45</f>
        <v>24</v>
      </c>
      <c r="E20" s="94">
        <f>'Detailed results'!AD45</f>
        <v>28</v>
      </c>
      <c r="F20" s="94">
        <f>'Detailed results'!AH45</f>
        <v>27.6</v>
      </c>
      <c r="G20" s="94">
        <f>'Detailed results'!AL45</f>
        <v>24</v>
      </c>
      <c r="I20" s="93">
        <f>'Detailed results'!AA45</f>
        <v>24</v>
      </c>
      <c r="J20" s="94">
        <f>'Detailed results'!AE45</f>
        <v>28</v>
      </c>
      <c r="K20" s="93">
        <f>'Detailed results'!AI45</f>
        <v>24</v>
      </c>
      <c r="L20" s="93">
        <f>'Detailed results'!AM45</f>
        <v>24</v>
      </c>
    </row>
    <row r="21" spans="1:12" x14ac:dyDescent="0.3">
      <c r="A21" t="str">
        <f>'Detailed results'!A46</f>
        <v>S4-P19</v>
      </c>
      <c r="B21" s="94">
        <f>'Detailed results'!D46</f>
        <v>36</v>
      </c>
      <c r="C21" s="94"/>
      <c r="D21" s="94">
        <f>'Detailed results'!Z46</f>
        <v>36.1</v>
      </c>
      <c r="E21" s="94">
        <f>'Detailed results'!AD46</f>
        <v>37</v>
      </c>
      <c r="F21" s="94">
        <f>'Detailed results'!AH46</f>
        <v>36</v>
      </c>
      <c r="G21" s="94">
        <f>'Detailed results'!AL46</f>
        <v>36</v>
      </c>
      <c r="I21" s="93">
        <f>'Detailed results'!AA46</f>
        <v>36</v>
      </c>
      <c r="J21" s="94">
        <f>'Detailed results'!AE46</f>
        <v>37</v>
      </c>
      <c r="K21" s="93">
        <f>'Detailed results'!AI46</f>
        <v>36</v>
      </c>
      <c r="L21" s="93">
        <f>'Detailed results'!AM46</f>
        <v>36</v>
      </c>
    </row>
    <row r="22" spans="1:12" x14ac:dyDescent="0.3">
      <c r="A22" t="str">
        <f>'Detailed results'!A47</f>
        <v>S4-P20</v>
      </c>
      <c r="B22" s="94">
        <f>'Detailed results'!D47</f>
        <v>60</v>
      </c>
      <c r="C22" s="94"/>
      <c r="D22" s="94">
        <f>'Detailed results'!Z47</f>
        <v>68.900000000000006</v>
      </c>
      <c r="E22" s="94">
        <f>'Detailed results'!AD47</f>
        <v>68.5</v>
      </c>
      <c r="F22" s="94">
        <f>'Detailed results'!AH47</f>
        <v>63</v>
      </c>
      <c r="G22" s="94">
        <f>'Detailed results'!AL47</f>
        <v>63</v>
      </c>
      <c r="I22" s="94">
        <f>'Detailed results'!AA47</f>
        <v>63</v>
      </c>
      <c r="J22" s="94">
        <f>'Detailed results'!AE47</f>
        <v>63</v>
      </c>
      <c r="K22" s="94">
        <f>'Detailed results'!AI47</f>
        <v>63</v>
      </c>
      <c r="L22" s="94">
        <f>'Detailed results'!AM47</f>
        <v>63</v>
      </c>
    </row>
    <row r="23" spans="1:12" x14ac:dyDescent="0.3">
      <c r="A23" t="str">
        <f>'Detailed results'!A48</f>
        <v>S4-P21</v>
      </c>
      <c r="B23" s="94">
        <f>'Detailed results'!D48</f>
        <v>32</v>
      </c>
      <c r="C23" s="94"/>
      <c r="D23" s="94">
        <f>'Detailed results'!Z48</f>
        <v>37</v>
      </c>
      <c r="E23" s="94">
        <f>'Detailed results'!AD48</f>
        <v>37</v>
      </c>
      <c r="F23" s="94">
        <f>'Detailed results'!AH48</f>
        <v>34</v>
      </c>
      <c r="G23" s="94">
        <f>'Detailed results'!AL48</f>
        <v>34</v>
      </c>
      <c r="I23" s="94">
        <f>'Detailed results'!AA48</f>
        <v>34</v>
      </c>
      <c r="J23" s="94">
        <f>'Detailed results'!AE48</f>
        <v>34</v>
      </c>
      <c r="K23" s="94">
        <f>'Detailed results'!AI48</f>
        <v>34</v>
      </c>
      <c r="L23" s="94">
        <f>'Detailed results'!AM48</f>
        <v>34</v>
      </c>
    </row>
    <row r="24" spans="1:12" x14ac:dyDescent="0.3">
      <c r="A24" t="str">
        <f>'Detailed results'!A49</f>
        <v>S4-P22</v>
      </c>
      <c r="B24" s="94">
        <f>'Detailed results'!D49</f>
        <v>35</v>
      </c>
      <c r="C24" s="94"/>
      <c r="D24" s="94">
        <f>'Detailed results'!Z49</f>
        <v>37.9</v>
      </c>
      <c r="E24" s="94">
        <f>'Detailed results'!AD49</f>
        <v>36.700000000000003</v>
      </c>
      <c r="F24" s="94">
        <f>'Detailed results'!AH49</f>
        <v>35.9</v>
      </c>
      <c r="G24" s="94">
        <f>'Detailed results'!AL49</f>
        <v>35</v>
      </c>
      <c r="I24" s="94">
        <f>'Detailed results'!AA49</f>
        <v>37</v>
      </c>
      <c r="J24" s="93">
        <f>'Detailed results'!AE49</f>
        <v>35</v>
      </c>
      <c r="K24" s="93">
        <f>'Detailed results'!AI49</f>
        <v>35</v>
      </c>
      <c r="L24" s="93">
        <f>'Detailed results'!AM49</f>
        <v>35</v>
      </c>
    </row>
    <row r="25" spans="1:12" x14ac:dyDescent="0.3">
      <c r="A25" t="str">
        <f>'Detailed results'!A50</f>
        <v>S4-P23</v>
      </c>
      <c r="B25" s="94">
        <f>'Detailed results'!D50</f>
        <v>21</v>
      </c>
      <c r="C25" s="94"/>
      <c r="D25" s="94">
        <f>'Detailed results'!Z50</f>
        <v>24.6</v>
      </c>
      <c r="E25" s="94">
        <f>'Detailed results'!AD50</f>
        <v>24.6</v>
      </c>
      <c r="F25" s="94">
        <f>'Detailed results'!AH50</f>
        <v>23</v>
      </c>
      <c r="G25" s="94">
        <f>'Detailed results'!AL50</f>
        <v>24</v>
      </c>
      <c r="I25" s="94">
        <f>'Detailed results'!AA50</f>
        <v>24</v>
      </c>
      <c r="J25" s="94">
        <f>'Detailed results'!AE50</f>
        <v>24</v>
      </c>
      <c r="K25" s="93">
        <f>'Detailed results'!AI50</f>
        <v>23</v>
      </c>
      <c r="L25" s="94">
        <f>'Detailed results'!AM50</f>
        <v>24</v>
      </c>
    </row>
    <row r="26" spans="1:12" x14ac:dyDescent="0.3">
      <c r="A26" t="str">
        <f>'Detailed results'!A51</f>
        <v>S4-P24</v>
      </c>
      <c r="B26" s="94">
        <f>'Detailed results'!D51</f>
        <v>44</v>
      </c>
      <c r="C26" s="94"/>
      <c r="D26" s="94">
        <f>'Detailed results'!Z51</f>
        <v>45.1</v>
      </c>
      <c r="E26" s="94">
        <f>'Detailed results'!AD51</f>
        <v>46.6</v>
      </c>
      <c r="F26" s="94">
        <f>'Detailed results'!AH51</f>
        <v>44.1</v>
      </c>
      <c r="G26" s="94">
        <f>'Detailed results'!AL51</f>
        <v>44</v>
      </c>
      <c r="I26" s="93">
        <f>'Detailed results'!AA51</f>
        <v>44</v>
      </c>
      <c r="J26" s="94">
        <f>'Detailed results'!AE51</f>
        <v>46</v>
      </c>
      <c r="K26" s="93">
        <f>'Detailed results'!AI51</f>
        <v>44</v>
      </c>
      <c r="L26" s="93">
        <f>'Detailed results'!AM51</f>
        <v>44</v>
      </c>
    </row>
    <row r="27" spans="1:12" x14ac:dyDescent="0.3">
      <c r="A27" s="111" t="str">
        <f>'Detailed results'!A52</f>
        <v>S4-P25</v>
      </c>
      <c r="B27" s="110">
        <f>'Detailed results'!D52</f>
        <v>21</v>
      </c>
      <c r="C27" s="110"/>
      <c r="D27" s="110">
        <f>'Detailed results'!Z52</f>
        <v>21.9</v>
      </c>
      <c r="E27" s="110">
        <f>'Detailed results'!AD52</f>
        <v>23.5</v>
      </c>
      <c r="F27" s="110">
        <f>'Detailed results'!AH52</f>
        <v>22.9</v>
      </c>
      <c r="G27" s="110">
        <f>'Detailed results'!AL52</f>
        <v>21</v>
      </c>
      <c r="H27" s="110"/>
      <c r="I27" s="112">
        <f>'Detailed results'!AA52</f>
        <v>21</v>
      </c>
      <c r="J27" s="110">
        <f>'Detailed results'!AE52</f>
        <v>22</v>
      </c>
      <c r="K27" s="112">
        <f>'Detailed results'!AI52</f>
        <v>21</v>
      </c>
      <c r="L27" s="112">
        <f>'Detailed results'!AM52</f>
        <v>21</v>
      </c>
    </row>
    <row r="28" spans="1:12" x14ac:dyDescent="0.3">
      <c r="B28" s="94"/>
      <c r="C28" s="94"/>
    </row>
    <row r="29" spans="1:12" x14ac:dyDescent="0.3">
      <c r="B29" s="94"/>
      <c r="C29" s="94"/>
    </row>
    <row r="30" spans="1:12" x14ac:dyDescent="0.3">
      <c r="B30" s="94"/>
      <c r="C30" s="94"/>
    </row>
    <row r="31" spans="1:12" x14ac:dyDescent="0.3">
      <c r="B31" s="94"/>
      <c r="C31" s="94"/>
    </row>
    <row r="32" spans="1:12" x14ac:dyDescent="0.3">
      <c r="B32" s="94"/>
      <c r="C32" s="94"/>
    </row>
  </sheetData>
  <mergeCells count="4">
    <mergeCell ref="D1:G1"/>
    <mergeCell ref="I1:L1"/>
    <mergeCell ref="B1:B2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398C-F1B0-49DD-98A8-57F6C4664A98}">
  <dimension ref="A1:L32"/>
  <sheetViews>
    <sheetView workbookViewId="0">
      <selection activeCell="L26" sqref="L26"/>
    </sheetView>
  </sheetViews>
  <sheetFormatPr defaultRowHeight="14.4" x14ac:dyDescent="0.3"/>
  <cols>
    <col min="2" max="2" width="6.109375" customWidth="1"/>
    <col min="3" max="3" width="2.44140625" customWidth="1"/>
    <col min="4" max="7" width="8.88671875" style="94"/>
    <col min="8" max="8" width="2.77734375" style="94" customWidth="1"/>
    <col min="9" max="12" width="8.88671875" style="94"/>
  </cols>
  <sheetData>
    <row r="1" spans="1:12" x14ac:dyDescent="0.3">
      <c r="A1" s="115" t="s">
        <v>153</v>
      </c>
      <c r="B1" s="116" t="s">
        <v>1</v>
      </c>
      <c r="C1" s="117"/>
      <c r="D1" s="118" t="s">
        <v>154</v>
      </c>
      <c r="E1" s="118"/>
      <c r="F1" s="118"/>
      <c r="G1" s="118"/>
      <c r="H1" s="117"/>
      <c r="I1" s="118" t="s">
        <v>155</v>
      </c>
      <c r="J1" s="118"/>
      <c r="K1" s="118"/>
      <c r="L1" s="118"/>
    </row>
    <row r="2" spans="1:12" x14ac:dyDescent="0.3">
      <c r="A2" s="108"/>
      <c r="B2" s="109"/>
      <c r="C2" s="110"/>
      <c r="D2" s="110" t="s">
        <v>134</v>
      </c>
      <c r="E2" s="110" t="s">
        <v>135</v>
      </c>
      <c r="F2" s="110" t="s">
        <v>156</v>
      </c>
      <c r="G2" s="110" t="s">
        <v>157</v>
      </c>
      <c r="H2" s="110"/>
      <c r="I2" s="110" t="s">
        <v>134</v>
      </c>
      <c r="J2" s="110" t="s">
        <v>135</v>
      </c>
      <c r="K2" s="110" t="s">
        <v>156</v>
      </c>
      <c r="L2" s="110" t="s">
        <v>157</v>
      </c>
    </row>
    <row r="3" spans="1:12" x14ac:dyDescent="0.3">
      <c r="A3" t="str">
        <f>'Detailed results'!A53</f>
        <v>S8-P1</v>
      </c>
      <c r="B3" s="94">
        <f>'Detailed results'!D53</f>
        <v>48</v>
      </c>
      <c r="C3" s="94"/>
      <c r="D3" s="94">
        <f>'Detailed results'!Z53</f>
        <v>60.4</v>
      </c>
      <c r="E3" s="94">
        <f>'Detailed results'!AD53</f>
        <v>55.9</v>
      </c>
      <c r="F3" s="94">
        <f>'Detailed results'!AH53</f>
        <v>55.7</v>
      </c>
      <c r="G3" s="94">
        <f>'Detailed results'!AL53</f>
        <v>52</v>
      </c>
      <c r="I3" s="94">
        <f>'Detailed results'!AA53</f>
        <v>57</v>
      </c>
      <c r="J3" s="94">
        <f>'Detailed results'!AE53</f>
        <v>53</v>
      </c>
      <c r="K3" s="94">
        <f>'Detailed results'!AI53</f>
        <v>53</v>
      </c>
      <c r="L3" s="93">
        <f>'Detailed results'!AM53</f>
        <v>52</v>
      </c>
    </row>
    <row r="4" spans="1:12" x14ac:dyDescent="0.3">
      <c r="A4" t="str">
        <f>'Detailed results'!A54</f>
        <v>S8-P2</v>
      </c>
      <c r="B4" s="94">
        <f>'Detailed results'!D54</f>
        <v>32</v>
      </c>
      <c r="C4" s="94"/>
      <c r="D4" s="94">
        <f>'Detailed results'!Z54</f>
        <v>39.6</v>
      </c>
      <c r="E4" s="94">
        <f>'Detailed results'!AD54</f>
        <v>35</v>
      </c>
      <c r="F4" s="94">
        <f>'Detailed results'!AH54</f>
        <v>35.9</v>
      </c>
      <c r="G4" s="94">
        <f>'Detailed results'!AL54</f>
        <v>34.799999999999997</v>
      </c>
      <c r="I4" s="94">
        <f>'Detailed results'!AA54</f>
        <v>39</v>
      </c>
      <c r="J4" s="94">
        <f>'Detailed results'!AE54</f>
        <v>35</v>
      </c>
      <c r="K4" s="94">
        <f>'Detailed results'!AI54</f>
        <v>35</v>
      </c>
      <c r="L4" s="93">
        <f>'Detailed results'!AM54</f>
        <v>34</v>
      </c>
    </row>
    <row r="5" spans="1:12" x14ac:dyDescent="0.3">
      <c r="A5" t="str">
        <f>'Detailed results'!A55</f>
        <v>S8-P3</v>
      </c>
      <c r="B5" s="94">
        <f>'Detailed results'!D55</f>
        <v>32</v>
      </c>
      <c r="C5" s="94"/>
      <c r="D5" s="94">
        <f>'Detailed results'!Z55</f>
        <v>37.5</v>
      </c>
      <c r="E5" s="94">
        <f>'Detailed results'!AD55</f>
        <v>34.9</v>
      </c>
      <c r="F5" s="94">
        <f>'Detailed results'!AH55</f>
        <v>34.9</v>
      </c>
      <c r="G5" s="94">
        <f>'Detailed results'!AL55</f>
        <v>32.799999999999997</v>
      </c>
      <c r="I5" s="94">
        <f>'Detailed results'!AA55</f>
        <v>37</v>
      </c>
      <c r="J5" s="94">
        <f>'Detailed results'!AE55</f>
        <v>34</v>
      </c>
      <c r="K5" s="94">
        <f>'Detailed results'!AI55</f>
        <v>33</v>
      </c>
      <c r="L5" s="93">
        <f>'Detailed results'!AM55</f>
        <v>32</v>
      </c>
    </row>
    <row r="6" spans="1:12" x14ac:dyDescent="0.3">
      <c r="A6" t="str">
        <f>'Detailed results'!A56</f>
        <v>S8-P4</v>
      </c>
      <c r="B6" s="94">
        <f>'Detailed results'!D56</f>
        <v>108</v>
      </c>
      <c r="C6" s="94"/>
      <c r="D6" s="94">
        <f>'Detailed results'!Z56</f>
        <v>129.9</v>
      </c>
      <c r="E6" s="94">
        <f>'Detailed results'!AD56</f>
        <v>120.3</v>
      </c>
      <c r="F6" s="94">
        <f>'Detailed results'!AH56</f>
        <v>115.8</v>
      </c>
      <c r="G6" s="94">
        <f>'Detailed results'!AL56</f>
        <v>111.3</v>
      </c>
      <c r="I6" s="94">
        <f>'Detailed results'!AA56</f>
        <v>126</v>
      </c>
      <c r="J6" s="94">
        <f>'Detailed results'!AE56</f>
        <v>120</v>
      </c>
      <c r="K6" s="94">
        <f>'Detailed results'!AI56</f>
        <v>114</v>
      </c>
      <c r="L6" s="93">
        <f>'Detailed results'!AM56</f>
        <v>111</v>
      </c>
    </row>
    <row r="7" spans="1:12" x14ac:dyDescent="0.3">
      <c r="A7" t="str">
        <f>'Detailed results'!A57</f>
        <v>S8-P5</v>
      </c>
      <c r="B7" s="94">
        <f>'Detailed results'!D57</f>
        <v>78</v>
      </c>
      <c r="C7" s="94"/>
      <c r="D7" s="94">
        <f>'Detailed results'!Z57</f>
        <v>87.2</v>
      </c>
      <c r="E7" s="94">
        <f>'Detailed results'!AD57</f>
        <v>78</v>
      </c>
      <c r="F7" s="94">
        <f>'Detailed results'!AH57</f>
        <v>78</v>
      </c>
      <c r="G7" s="94">
        <f>'Detailed results'!AL57</f>
        <v>78</v>
      </c>
      <c r="I7" s="94">
        <f>'Detailed results'!AA57</f>
        <v>85</v>
      </c>
      <c r="J7" s="93">
        <f>'Detailed results'!AE57</f>
        <v>78</v>
      </c>
      <c r="K7" s="93">
        <f>'Detailed results'!AI57</f>
        <v>78</v>
      </c>
      <c r="L7" s="93">
        <f>'Detailed results'!AM57</f>
        <v>78</v>
      </c>
    </row>
    <row r="8" spans="1:12" x14ac:dyDescent="0.3">
      <c r="A8" t="str">
        <f>'Detailed results'!A58</f>
        <v>S8-P6</v>
      </c>
      <c r="B8" s="94">
        <f>'Detailed results'!D58</f>
        <v>63</v>
      </c>
      <c r="C8" s="94"/>
      <c r="D8" s="94">
        <f>'Detailed results'!Z58</f>
        <v>71.900000000000006</v>
      </c>
      <c r="E8" s="94">
        <f>'Detailed results'!AD58</f>
        <v>64.3</v>
      </c>
      <c r="F8" s="94">
        <f>'Detailed results'!AH58</f>
        <v>64</v>
      </c>
      <c r="G8" s="94">
        <f>'Detailed results'!AL58</f>
        <v>63</v>
      </c>
      <c r="I8" s="94">
        <f>'Detailed results'!AA58</f>
        <v>70</v>
      </c>
      <c r="J8" s="94">
        <f>'Detailed results'!AE58</f>
        <v>64</v>
      </c>
      <c r="K8" s="93">
        <f>'Detailed results'!AI58</f>
        <v>63</v>
      </c>
      <c r="L8" s="93">
        <f>'Detailed results'!AM58</f>
        <v>63</v>
      </c>
    </row>
    <row r="9" spans="1:12" x14ac:dyDescent="0.3">
      <c r="A9" t="str">
        <f>'Detailed results'!A59</f>
        <v>S8-P7</v>
      </c>
      <c r="B9" s="94">
        <f>'Detailed results'!D59</f>
        <v>36</v>
      </c>
      <c r="C9" s="94"/>
      <c r="D9" s="94">
        <f>'Detailed results'!Z59</f>
        <v>40.200000000000003</v>
      </c>
      <c r="E9" s="94">
        <f>'Detailed results'!AD59</f>
        <v>36.299999999999997</v>
      </c>
      <c r="F9" s="94">
        <f>'Detailed results'!AH59</f>
        <v>37.200000000000003</v>
      </c>
      <c r="G9" s="94">
        <f>'Detailed results'!AL59</f>
        <v>36</v>
      </c>
      <c r="I9" s="94">
        <f>'Detailed results'!AA59</f>
        <v>39</v>
      </c>
      <c r="J9" s="93">
        <f>'Detailed results'!AE59</f>
        <v>36</v>
      </c>
      <c r="K9" s="93">
        <f>'Detailed results'!AI59</f>
        <v>36</v>
      </c>
      <c r="L9" s="93">
        <f>'Detailed results'!AM59</f>
        <v>36</v>
      </c>
    </row>
    <row r="10" spans="1:12" x14ac:dyDescent="0.3">
      <c r="A10" t="str">
        <f>'Detailed results'!A60</f>
        <v>S8-P8</v>
      </c>
      <c r="B10" s="94">
        <f>'Detailed results'!D60</f>
        <v>55</v>
      </c>
      <c r="C10" s="94"/>
      <c r="D10" s="94">
        <f>'Detailed results'!Z60</f>
        <v>68.099999999999994</v>
      </c>
      <c r="E10" s="94">
        <f>'Detailed results'!AD60</f>
        <v>64.3</v>
      </c>
      <c r="F10" s="94">
        <f>'Detailed results'!AH60</f>
        <v>59.9</v>
      </c>
      <c r="G10" s="94">
        <f>'Detailed results'!AL60</f>
        <v>58</v>
      </c>
      <c r="I10" s="94">
        <f>'Detailed results'!AA60</f>
        <v>66</v>
      </c>
      <c r="J10" s="94">
        <f>'Detailed results'!AE60</f>
        <v>59</v>
      </c>
      <c r="K10" s="93">
        <f>'Detailed results'!AI60</f>
        <v>58</v>
      </c>
      <c r="L10" s="93">
        <f>'Detailed results'!AM60</f>
        <v>58</v>
      </c>
    </row>
    <row r="11" spans="1:12" x14ac:dyDescent="0.3">
      <c r="A11" t="str">
        <f>'Detailed results'!A61</f>
        <v>S8-P9</v>
      </c>
      <c r="B11" s="94">
        <f>'Detailed results'!D61</f>
        <v>42</v>
      </c>
      <c r="C11" s="94"/>
      <c r="D11" s="94">
        <f>'Detailed results'!Z61</f>
        <v>49.1</v>
      </c>
      <c r="E11" s="94">
        <f>'Detailed results'!AD61</f>
        <v>43.6</v>
      </c>
      <c r="F11" s="94">
        <f>'Detailed results'!AH61</f>
        <v>45.3</v>
      </c>
      <c r="G11" s="94">
        <f>'Detailed results'!AL61</f>
        <v>42.1</v>
      </c>
      <c r="I11" s="94">
        <f>'Detailed results'!AA61</f>
        <v>48</v>
      </c>
      <c r="J11" s="94">
        <f>'Detailed results'!AE61</f>
        <v>43</v>
      </c>
      <c r="K11" s="94">
        <f>'Detailed results'!AI61</f>
        <v>44</v>
      </c>
      <c r="L11" s="93">
        <f>'Detailed results'!AM61</f>
        <v>42</v>
      </c>
    </row>
    <row r="12" spans="1:12" x14ac:dyDescent="0.3">
      <c r="A12" t="str">
        <f>'Detailed results'!A62</f>
        <v>S8-P10</v>
      </c>
      <c r="B12" s="94">
        <f>'Detailed results'!D62</f>
        <v>32</v>
      </c>
      <c r="C12" s="94"/>
      <c r="D12" s="94">
        <f>'Detailed results'!Z62</f>
        <v>38.799999999999997</v>
      </c>
      <c r="E12" s="94">
        <f>'Detailed results'!AD62</f>
        <v>37.299999999999997</v>
      </c>
      <c r="F12" s="94">
        <f>'Detailed results'!AH62</f>
        <v>35.200000000000003</v>
      </c>
      <c r="G12" s="94">
        <f>'Detailed results'!AL62</f>
        <v>34</v>
      </c>
      <c r="I12" s="94">
        <f>'Detailed results'!AA62</f>
        <v>38</v>
      </c>
      <c r="J12" s="94">
        <f>'Detailed results'!AE62</f>
        <v>36</v>
      </c>
      <c r="K12" s="93">
        <f>'Detailed results'!AI62</f>
        <v>34</v>
      </c>
      <c r="L12" s="93">
        <f>'Detailed results'!AM62</f>
        <v>34</v>
      </c>
    </row>
    <row r="13" spans="1:12" x14ac:dyDescent="0.3">
      <c r="A13" t="str">
        <f>'Detailed results'!A63</f>
        <v>S8-P11</v>
      </c>
      <c r="B13" s="94">
        <f>'Detailed results'!D63</f>
        <v>45</v>
      </c>
      <c r="C13" s="94"/>
      <c r="D13" s="94">
        <f>'Detailed results'!Z63</f>
        <v>47.8</v>
      </c>
      <c r="E13" s="94">
        <f>'Detailed results'!AD63</f>
        <v>45</v>
      </c>
      <c r="F13" s="94">
        <f>'Detailed results'!AH63</f>
        <v>45</v>
      </c>
      <c r="G13" s="94">
        <f>'Detailed results'!AL63</f>
        <v>45</v>
      </c>
      <c r="I13" s="94">
        <f>'Detailed results'!AA63</f>
        <v>47</v>
      </c>
      <c r="J13" s="93">
        <f>'Detailed results'!AE63</f>
        <v>45</v>
      </c>
      <c r="K13" s="93">
        <f>'Detailed results'!AI63</f>
        <v>45</v>
      </c>
      <c r="L13" s="93">
        <f>'Detailed results'!AM63</f>
        <v>45</v>
      </c>
    </row>
    <row r="14" spans="1:12" x14ac:dyDescent="0.3">
      <c r="A14" t="str">
        <f>'Detailed results'!A64</f>
        <v>S8-P12</v>
      </c>
      <c r="B14" s="94">
        <f>'Detailed results'!D64</f>
        <v>60</v>
      </c>
      <c r="C14" s="94"/>
      <c r="D14" s="94">
        <f>'Detailed results'!Z64</f>
        <v>68.8</v>
      </c>
      <c r="E14" s="94">
        <f>'Detailed results'!AD64</f>
        <v>62.8</v>
      </c>
      <c r="F14" s="94">
        <f>'Detailed results'!AH64</f>
        <v>62.8</v>
      </c>
      <c r="G14" s="94">
        <f>'Detailed results'!AL64</f>
        <v>60.2</v>
      </c>
      <c r="I14" s="94">
        <f>'Detailed results'!AA64</f>
        <v>67</v>
      </c>
      <c r="J14" s="94">
        <f>'Detailed results'!AE64</f>
        <v>61</v>
      </c>
      <c r="K14" s="94">
        <f>'Detailed results'!AI64</f>
        <v>61</v>
      </c>
      <c r="L14" s="93">
        <f>'Detailed results'!AM64</f>
        <v>60</v>
      </c>
    </row>
    <row r="15" spans="1:12" x14ac:dyDescent="0.3">
      <c r="A15" t="str">
        <f>'Detailed results'!A65</f>
        <v>S8-P13</v>
      </c>
      <c r="B15" s="94">
        <f>'Detailed results'!D65</f>
        <v>35</v>
      </c>
      <c r="C15" s="94"/>
      <c r="D15" s="94">
        <f>'Detailed results'!Z65</f>
        <v>41.6</v>
      </c>
      <c r="E15" s="94">
        <f>'Detailed results'!AD65</f>
        <v>38.1</v>
      </c>
      <c r="F15" s="94">
        <f>'Detailed results'!AH65</f>
        <v>37.799999999999997</v>
      </c>
      <c r="G15" s="94">
        <f>'Detailed results'!AL65</f>
        <v>36</v>
      </c>
      <c r="I15" s="94">
        <f>'Detailed results'!AA65</f>
        <v>41</v>
      </c>
      <c r="J15" s="93">
        <f>'Detailed results'!AE65</f>
        <v>36</v>
      </c>
      <c r="K15" s="93">
        <f>'Detailed results'!AI65</f>
        <v>36</v>
      </c>
      <c r="L15" s="93">
        <f>'Detailed results'!AM65</f>
        <v>36</v>
      </c>
    </row>
    <row r="16" spans="1:12" x14ac:dyDescent="0.3">
      <c r="A16" t="str">
        <f>'Detailed results'!A66</f>
        <v>S8-P14</v>
      </c>
      <c r="B16" s="94">
        <f>'Detailed results'!D66</f>
        <v>84</v>
      </c>
      <c r="C16" s="94"/>
      <c r="D16" s="94">
        <f>'Detailed results'!Z66</f>
        <v>93.9</v>
      </c>
      <c r="E16" s="94">
        <f>'Detailed results'!AD66</f>
        <v>85.1</v>
      </c>
      <c r="F16" s="94">
        <f>'Detailed results'!AH66</f>
        <v>85.3</v>
      </c>
      <c r="G16" s="94">
        <f>'Detailed results'!AL66</f>
        <v>84</v>
      </c>
      <c r="I16" s="94">
        <f>'Detailed results'!AA66</f>
        <v>92</v>
      </c>
      <c r="J16" s="93">
        <f>'Detailed results'!AE66</f>
        <v>84</v>
      </c>
      <c r="K16" s="93">
        <f>'Detailed results'!AI66</f>
        <v>84</v>
      </c>
      <c r="L16" s="93">
        <f>'Detailed results'!AM66</f>
        <v>84</v>
      </c>
    </row>
    <row r="17" spans="1:12" x14ac:dyDescent="0.3">
      <c r="A17" t="str">
        <f>'Detailed results'!A67</f>
        <v>S8-P15</v>
      </c>
      <c r="B17" s="94">
        <f>'Detailed results'!D67</f>
        <v>60</v>
      </c>
      <c r="C17" s="94"/>
      <c r="D17" s="94">
        <f>'Detailed results'!Z67</f>
        <v>69.3</v>
      </c>
      <c r="E17" s="94">
        <f>'Detailed results'!AD67</f>
        <v>61.9</v>
      </c>
      <c r="F17" s="94">
        <f>'Detailed results'!AH67</f>
        <v>62.4</v>
      </c>
      <c r="G17" s="94">
        <f>'Detailed results'!AL67</f>
        <v>60</v>
      </c>
      <c r="I17" s="94">
        <f>'Detailed results'!AA67</f>
        <v>68</v>
      </c>
      <c r="J17" s="94">
        <f>'Detailed results'!AE67</f>
        <v>61</v>
      </c>
      <c r="K17" s="94">
        <f>'Detailed results'!AI67</f>
        <v>62</v>
      </c>
      <c r="L17" s="93">
        <f>'Detailed results'!AM67</f>
        <v>60</v>
      </c>
    </row>
    <row r="18" spans="1:12" x14ac:dyDescent="0.3">
      <c r="A18" t="str">
        <f>'Detailed results'!A68</f>
        <v>S8-P16</v>
      </c>
      <c r="B18" s="94">
        <f>'Detailed results'!D68</f>
        <v>70</v>
      </c>
      <c r="C18" s="94"/>
      <c r="D18" s="94">
        <f>'Detailed results'!Z68</f>
        <v>84.4</v>
      </c>
      <c r="E18" s="94">
        <f>'Detailed results'!AD68</f>
        <v>76.2</v>
      </c>
      <c r="F18" s="94">
        <f>'Detailed results'!AH68</f>
        <v>76.5</v>
      </c>
      <c r="G18" s="94">
        <f>'Detailed results'!AL68</f>
        <v>75</v>
      </c>
      <c r="I18" s="94">
        <f>'Detailed results'!AA68</f>
        <v>83</v>
      </c>
      <c r="J18" s="94">
        <f>'Detailed results'!AE68</f>
        <v>76</v>
      </c>
      <c r="K18" s="94">
        <f>'Detailed results'!AI68</f>
        <v>76</v>
      </c>
      <c r="L18" s="93">
        <f>'Detailed results'!AM68</f>
        <v>75</v>
      </c>
    </row>
    <row r="19" spans="1:12" x14ac:dyDescent="0.3">
      <c r="A19" t="str">
        <f>'Detailed results'!A69</f>
        <v>S8-P17</v>
      </c>
      <c r="B19" s="94">
        <f>'Detailed results'!D69</f>
        <v>60</v>
      </c>
      <c r="C19" s="94"/>
      <c r="D19" s="94">
        <f>'Detailed results'!Z69</f>
        <v>65.5</v>
      </c>
      <c r="E19" s="94">
        <f>'Detailed results'!AD69</f>
        <v>60.2</v>
      </c>
      <c r="F19" s="94">
        <f>'Detailed results'!AH69</f>
        <v>61</v>
      </c>
      <c r="G19" s="94">
        <f>'Detailed results'!AL69</f>
        <v>60</v>
      </c>
      <c r="I19" s="94">
        <f>'Detailed results'!AA69</f>
        <v>64</v>
      </c>
      <c r="J19" s="93">
        <f>'Detailed results'!AE69</f>
        <v>60</v>
      </c>
      <c r="K19" s="93">
        <f>'Detailed results'!AI69</f>
        <v>60</v>
      </c>
      <c r="L19" s="93">
        <f>'Detailed results'!AM69</f>
        <v>60</v>
      </c>
    </row>
    <row r="20" spans="1:12" x14ac:dyDescent="0.3">
      <c r="A20" t="str">
        <f>'Detailed results'!A70</f>
        <v>S8-P18</v>
      </c>
      <c r="B20" s="94">
        <f>'Detailed results'!D70</f>
        <v>56</v>
      </c>
      <c r="C20" s="94"/>
      <c r="D20" s="94">
        <f>'Detailed results'!Z70</f>
        <v>62.6</v>
      </c>
      <c r="E20" s="94">
        <f>'Detailed results'!AD70</f>
        <v>58</v>
      </c>
      <c r="F20" s="94">
        <f>'Detailed results'!AH70</f>
        <v>59.2</v>
      </c>
      <c r="G20" s="94">
        <f>'Detailed results'!AL70</f>
        <v>56</v>
      </c>
      <c r="I20" s="94">
        <f>'Detailed results'!AA70</f>
        <v>62</v>
      </c>
      <c r="J20" s="93">
        <f>'Detailed results'!AE70</f>
        <v>56</v>
      </c>
      <c r="K20" s="94">
        <f>'Detailed results'!AI70</f>
        <v>58</v>
      </c>
      <c r="L20" s="93">
        <f>'Detailed results'!AM70</f>
        <v>56</v>
      </c>
    </row>
    <row r="21" spans="1:12" x14ac:dyDescent="0.3">
      <c r="A21" t="str">
        <f>'Detailed results'!A71</f>
        <v>S8-P19</v>
      </c>
      <c r="B21" s="94">
        <f>'Detailed results'!D71</f>
        <v>75</v>
      </c>
      <c r="C21" s="94"/>
      <c r="D21" s="94">
        <f>'Detailed results'!Z71</f>
        <v>84.3</v>
      </c>
      <c r="E21" s="94">
        <f>'Detailed results'!AD71</f>
        <v>78</v>
      </c>
      <c r="F21" s="94">
        <f>'Detailed results'!AH71</f>
        <v>79.8</v>
      </c>
      <c r="G21" s="94">
        <f>'Detailed results'!AL71</f>
        <v>77.099999999999994</v>
      </c>
      <c r="I21" s="94">
        <f>'Detailed results'!AA71</f>
        <v>81</v>
      </c>
      <c r="J21" s="94">
        <f>'Detailed results'!AE71</f>
        <v>78</v>
      </c>
      <c r="K21" s="94">
        <f>'Detailed results'!AI71</f>
        <v>78</v>
      </c>
      <c r="L21" s="93">
        <f>'Detailed results'!AM71</f>
        <v>75</v>
      </c>
    </row>
    <row r="22" spans="1:12" x14ac:dyDescent="0.3">
      <c r="A22" t="str">
        <f>'Detailed results'!A72</f>
        <v>S8-P20</v>
      </c>
      <c r="B22" s="94">
        <f>'Detailed results'!D72</f>
        <v>49</v>
      </c>
      <c r="C22" s="94"/>
      <c r="D22" s="94">
        <f>'Detailed results'!Z72</f>
        <v>55.5</v>
      </c>
      <c r="E22" s="94">
        <f>'Detailed results'!AD72</f>
        <v>49.9</v>
      </c>
      <c r="F22" s="94">
        <f>'Detailed results'!AH72</f>
        <v>50.4</v>
      </c>
      <c r="G22" s="94">
        <f>'Detailed results'!AL72</f>
        <v>49</v>
      </c>
      <c r="I22" s="94">
        <f>'Detailed results'!AA72</f>
        <v>53</v>
      </c>
      <c r="J22" s="93">
        <f>'Detailed results'!AE72</f>
        <v>49</v>
      </c>
      <c r="K22" s="93">
        <f>'Detailed results'!AI72</f>
        <v>49</v>
      </c>
      <c r="L22" s="93">
        <f>'Detailed results'!AM72</f>
        <v>49</v>
      </c>
    </row>
    <row r="23" spans="1:12" x14ac:dyDescent="0.3">
      <c r="A23" t="str">
        <f>'Detailed results'!A73</f>
        <v>S8-P21</v>
      </c>
      <c r="B23" s="94">
        <f>'Detailed results'!D73</f>
        <v>42</v>
      </c>
      <c r="C23" s="94"/>
      <c r="D23" s="94">
        <f>'Detailed results'!Z73</f>
        <v>47.3</v>
      </c>
      <c r="E23" s="94">
        <f>'Detailed results'!AD73</f>
        <v>42.5</v>
      </c>
      <c r="F23" s="94">
        <f>'Detailed results'!AH73</f>
        <v>43</v>
      </c>
      <c r="G23" s="94">
        <f>'Detailed results'!AL73</f>
        <v>42</v>
      </c>
      <c r="I23" s="94">
        <f>'Detailed results'!AA73</f>
        <v>46</v>
      </c>
      <c r="J23" s="93">
        <f>'Detailed results'!AE73</f>
        <v>42</v>
      </c>
      <c r="K23" s="93">
        <f>'Detailed results'!AI73</f>
        <v>42</v>
      </c>
      <c r="L23" s="93">
        <f>'Detailed results'!AM73</f>
        <v>42</v>
      </c>
    </row>
    <row r="24" spans="1:12" x14ac:dyDescent="0.3">
      <c r="A24" t="str">
        <f>'Detailed results'!A74</f>
        <v>S8-P22</v>
      </c>
      <c r="B24" s="94">
        <f>'Detailed results'!D74</f>
        <v>30</v>
      </c>
      <c r="C24" s="94"/>
      <c r="D24" s="94">
        <f>'Detailed results'!Z74</f>
        <v>31</v>
      </c>
      <c r="E24" s="94">
        <f>'Detailed results'!AD74</f>
        <v>30</v>
      </c>
      <c r="F24" s="94">
        <f>'Detailed results'!AH74</f>
        <v>30</v>
      </c>
      <c r="G24" s="94">
        <f>'Detailed results'!AL74</f>
        <v>30</v>
      </c>
      <c r="I24" s="94">
        <f>'Detailed results'!AA74</f>
        <v>30</v>
      </c>
      <c r="J24" s="94">
        <f>'Detailed results'!AE74</f>
        <v>30</v>
      </c>
      <c r="K24" s="94">
        <f>'Detailed results'!AI74</f>
        <v>30</v>
      </c>
      <c r="L24" s="94">
        <f>'Detailed results'!AM74</f>
        <v>30</v>
      </c>
    </row>
    <row r="25" spans="1:12" x14ac:dyDescent="0.3">
      <c r="A25" t="str">
        <f>'Detailed results'!A75</f>
        <v>S8-P23</v>
      </c>
      <c r="B25" s="94">
        <f>'Detailed results'!D75</f>
        <v>75</v>
      </c>
      <c r="C25" s="94"/>
      <c r="D25" s="94">
        <f>'Detailed results'!Z75</f>
        <v>77.400000000000006</v>
      </c>
      <c r="E25" s="94">
        <f>'Detailed results'!AD75</f>
        <v>75</v>
      </c>
      <c r="F25" s="94">
        <f>'Detailed results'!AH75</f>
        <v>75</v>
      </c>
      <c r="G25" s="94">
        <f>'Detailed results'!AL75</f>
        <v>75</v>
      </c>
      <c r="I25" s="94">
        <f>'Detailed results'!AA75</f>
        <v>75</v>
      </c>
      <c r="J25" s="94">
        <f>'Detailed results'!AE75</f>
        <v>75</v>
      </c>
      <c r="K25" s="94">
        <f>'Detailed results'!AI75</f>
        <v>75</v>
      </c>
      <c r="L25" s="94">
        <f>'Detailed results'!AM75</f>
        <v>75</v>
      </c>
    </row>
    <row r="26" spans="1:12" x14ac:dyDescent="0.3">
      <c r="A26" t="str">
        <f>'Detailed results'!A76</f>
        <v>S8-P24</v>
      </c>
      <c r="B26" s="94">
        <f>'Detailed results'!D76</f>
        <v>35</v>
      </c>
      <c r="C26" s="94"/>
      <c r="D26" s="94">
        <f>'Detailed results'!Z76</f>
        <v>42.2</v>
      </c>
      <c r="E26" s="94">
        <f>'Detailed results'!AD76</f>
        <v>38</v>
      </c>
      <c r="F26" s="94">
        <f>'Detailed results'!AH76</f>
        <v>37.4</v>
      </c>
      <c r="G26" s="94">
        <f>'Detailed results'!AL76</f>
        <v>36</v>
      </c>
      <c r="I26" s="94">
        <f>'Detailed results'!AA76</f>
        <v>41</v>
      </c>
      <c r="J26" s="93">
        <f>'Detailed results'!AE76</f>
        <v>36</v>
      </c>
      <c r="K26" s="94">
        <f>'Detailed results'!AI76</f>
        <v>37</v>
      </c>
      <c r="L26" s="93">
        <f>'Detailed results'!AM76</f>
        <v>36</v>
      </c>
    </row>
    <row r="27" spans="1:12" x14ac:dyDescent="0.3">
      <c r="A27" s="111" t="str">
        <f>'Detailed results'!A77</f>
        <v>S8-P25</v>
      </c>
      <c r="B27" s="110">
        <f>'Detailed results'!D77</f>
        <v>35</v>
      </c>
      <c r="C27" s="110"/>
      <c r="D27" s="110">
        <f>'Detailed results'!Z77</f>
        <v>41.6</v>
      </c>
      <c r="E27" s="110">
        <f>'Detailed results'!AD77</f>
        <v>37.200000000000003</v>
      </c>
      <c r="F27" s="110">
        <f>'Detailed results'!AH77</f>
        <v>38.5</v>
      </c>
      <c r="G27" s="110">
        <f>'Detailed results'!AL77</f>
        <v>36</v>
      </c>
      <c r="H27" s="110"/>
      <c r="I27" s="110">
        <f>'Detailed results'!AA77</f>
        <v>40</v>
      </c>
      <c r="J27" s="112">
        <f>'Detailed results'!AE77</f>
        <v>36</v>
      </c>
      <c r="K27" s="110">
        <f>'Detailed results'!AI77</f>
        <v>38</v>
      </c>
      <c r="L27" s="112">
        <f>'Detailed results'!AM77</f>
        <v>36</v>
      </c>
    </row>
    <row r="28" spans="1:12" x14ac:dyDescent="0.3">
      <c r="B28" s="94"/>
      <c r="C28" s="94"/>
    </row>
    <row r="29" spans="1:12" x14ac:dyDescent="0.3">
      <c r="B29" s="94"/>
      <c r="C29" s="94"/>
    </row>
    <row r="30" spans="1:12" x14ac:dyDescent="0.3">
      <c r="B30" s="94"/>
      <c r="C30" s="94"/>
    </row>
    <row r="31" spans="1:12" x14ac:dyDescent="0.3">
      <c r="B31" s="94"/>
      <c r="C31" s="94"/>
    </row>
    <row r="32" spans="1:12" x14ac:dyDescent="0.3">
      <c r="B32" s="94"/>
      <c r="C32" s="94"/>
    </row>
  </sheetData>
  <mergeCells count="4">
    <mergeCell ref="A1:A2"/>
    <mergeCell ref="B1:B2"/>
    <mergeCell ref="D1:G1"/>
    <mergeCell ref="I1:L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589B-2946-4011-8087-4A5176E64EFA}">
  <dimension ref="A1:M32"/>
  <sheetViews>
    <sheetView workbookViewId="0">
      <selection activeCell="J27" sqref="J27"/>
    </sheetView>
  </sheetViews>
  <sheetFormatPr defaultRowHeight="14.4" x14ac:dyDescent="0.3"/>
  <cols>
    <col min="2" max="2" width="6.44140625" customWidth="1"/>
    <col min="3" max="3" width="2.77734375" customWidth="1"/>
    <col min="4" max="7" width="8.88671875" style="94"/>
    <col min="8" max="8" width="2.77734375" style="94" customWidth="1"/>
    <col min="9" max="12" width="8.88671875" style="94"/>
  </cols>
  <sheetData>
    <row r="1" spans="1:13" x14ac:dyDescent="0.3">
      <c r="A1" s="115" t="s">
        <v>153</v>
      </c>
      <c r="B1" s="116" t="s">
        <v>1</v>
      </c>
      <c r="C1" s="117"/>
      <c r="D1" s="118" t="s">
        <v>154</v>
      </c>
      <c r="E1" s="118"/>
      <c r="F1" s="118"/>
      <c r="G1" s="118"/>
      <c r="H1" s="117"/>
      <c r="I1" s="118" t="s">
        <v>155</v>
      </c>
      <c r="J1" s="118"/>
      <c r="K1" s="118"/>
      <c r="L1" s="118"/>
    </row>
    <row r="2" spans="1:13" x14ac:dyDescent="0.3">
      <c r="A2" s="108"/>
      <c r="B2" s="109"/>
      <c r="C2" s="110"/>
      <c r="D2" s="110" t="s">
        <v>134</v>
      </c>
      <c r="E2" s="110" t="s">
        <v>135</v>
      </c>
      <c r="F2" s="110" t="s">
        <v>156</v>
      </c>
      <c r="G2" s="110" t="s">
        <v>157</v>
      </c>
      <c r="H2" s="110"/>
      <c r="I2" s="110" t="s">
        <v>134</v>
      </c>
      <c r="J2" s="110" t="s">
        <v>135</v>
      </c>
      <c r="K2" s="110" t="s">
        <v>156</v>
      </c>
      <c r="L2" s="110" t="s">
        <v>157</v>
      </c>
      <c r="M2" s="114"/>
    </row>
    <row r="3" spans="1:13" x14ac:dyDescent="0.3">
      <c r="A3" t="str">
        <f>'Detailed results'!A78</f>
        <v>S16-P1</v>
      </c>
      <c r="B3" s="94">
        <f>'Detailed results'!D78</f>
        <v>135</v>
      </c>
      <c r="C3" s="94"/>
      <c r="D3" s="94">
        <f>'Detailed results'!Z78</f>
        <v>162.6</v>
      </c>
      <c r="E3" s="94">
        <f>'Detailed results'!AD78</f>
        <v>144.6</v>
      </c>
      <c r="F3" s="94">
        <f>'Detailed results'!AH78</f>
        <v>147.30000000000001</v>
      </c>
      <c r="G3" s="94">
        <f>'Detailed results'!AL78</f>
        <v>144</v>
      </c>
      <c r="I3" s="94">
        <f>'Detailed results'!AA78</f>
        <v>159</v>
      </c>
      <c r="J3" s="93">
        <f>'Detailed results'!AE78</f>
        <v>144</v>
      </c>
      <c r="K3" s="93">
        <f>'Detailed results'!AI78</f>
        <v>144</v>
      </c>
      <c r="L3" s="93">
        <f>'Detailed results'!AM78</f>
        <v>144</v>
      </c>
    </row>
    <row r="4" spans="1:13" x14ac:dyDescent="0.3">
      <c r="A4" t="str">
        <f>'Detailed results'!A79</f>
        <v>S16-P2</v>
      </c>
      <c r="B4" s="94">
        <f>'Detailed results'!D79</f>
        <v>99</v>
      </c>
      <c r="C4" s="94"/>
      <c r="D4" s="94">
        <f>'Detailed results'!Z79</f>
        <v>112.7</v>
      </c>
      <c r="E4" s="94">
        <f>'Detailed results'!AD79</f>
        <v>100</v>
      </c>
      <c r="F4" s="94">
        <f>'Detailed results'!AH79</f>
        <v>100.3</v>
      </c>
      <c r="G4" s="94">
        <f>'Detailed results'!AL79</f>
        <v>99</v>
      </c>
      <c r="I4" s="94">
        <f>'Detailed results'!AA79</f>
        <v>111</v>
      </c>
      <c r="J4" s="93">
        <f>'Detailed results'!AE79</f>
        <v>99</v>
      </c>
      <c r="K4" s="94">
        <f>'Detailed results'!AI79</f>
        <v>100</v>
      </c>
      <c r="L4" s="93">
        <f>'Detailed results'!AM79</f>
        <v>99</v>
      </c>
    </row>
    <row r="5" spans="1:13" x14ac:dyDescent="0.3">
      <c r="A5" t="str">
        <f>'Detailed results'!A80</f>
        <v>S16-P3</v>
      </c>
      <c r="B5" s="94">
        <f>'Detailed results'!D80</f>
        <v>140</v>
      </c>
      <c r="C5" s="94"/>
      <c r="D5" s="94">
        <f>'Detailed results'!Z80</f>
        <v>164.7</v>
      </c>
      <c r="E5" s="94">
        <f>'Detailed results'!AD80</f>
        <v>146.19999999999999</v>
      </c>
      <c r="F5" s="94">
        <f>'Detailed results'!AH80</f>
        <v>144.80000000000001</v>
      </c>
      <c r="G5" s="94">
        <f>'Detailed results'!AL80</f>
        <v>143</v>
      </c>
      <c r="I5" s="94">
        <f>'Detailed results'!AA80</f>
        <v>163</v>
      </c>
      <c r="J5" s="94">
        <f>'Detailed results'!AE80</f>
        <v>144</v>
      </c>
      <c r="K5" s="94">
        <f>'Detailed results'!AI80</f>
        <v>144</v>
      </c>
      <c r="L5" s="93">
        <f>'Detailed results'!AM80</f>
        <v>143</v>
      </c>
    </row>
    <row r="6" spans="1:13" x14ac:dyDescent="0.3">
      <c r="A6" t="str">
        <f>'Detailed results'!A81</f>
        <v>S16-P4</v>
      </c>
      <c r="B6" s="94">
        <f>'Detailed results'!D81</f>
        <v>104</v>
      </c>
      <c r="C6" s="94"/>
      <c r="D6" s="94">
        <f>'Detailed results'!Z81</f>
        <v>125.9</v>
      </c>
      <c r="E6" s="94">
        <f>'Detailed results'!AD81</f>
        <v>108.2</v>
      </c>
      <c r="F6" s="94">
        <f>'Detailed results'!AH81</f>
        <v>108.6</v>
      </c>
      <c r="G6" s="94">
        <f>'Detailed results'!AL81</f>
        <v>107.3</v>
      </c>
      <c r="I6" s="94">
        <f>'Detailed results'!AA81</f>
        <v>124</v>
      </c>
      <c r="J6" s="93">
        <f>'Detailed results'!AE81</f>
        <v>106</v>
      </c>
      <c r="K6" s="94">
        <f>'Detailed results'!AI81</f>
        <v>107</v>
      </c>
      <c r="L6" s="94">
        <f>'Detailed results'!AM81</f>
        <v>107</v>
      </c>
    </row>
    <row r="7" spans="1:13" x14ac:dyDescent="0.3">
      <c r="A7" t="str">
        <f>'Detailed results'!A82</f>
        <v>S16-P5</v>
      </c>
      <c r="B7" s="94">
        <f>'Detailed results'!D82</f>
        <v>100</v>
      </c>
      <c r="C7" s="94"/>
      <c r="D7" s="94">
        <f>'Detailed results'!Z82</f>
        <v>119.8</v>
      </c>
      <c r="E7" s="94">
        <f>'Detailed results'!AD82</f>
        <v>108.2</v>
      </c>
      <c r="F7" s="94">
        <f>'Detailed results'!AH82</f>
        <v>108.1</v>
      </c>
      <c r="G7" s="94">
        <f>'Detailed results'!AL82</f>
        <v>104</v>
      </c>
      <c r="I7" s="94">
        <f>'Detailed results'!AA82</f>
        <v>118</v>
      </c>
      <c r="J7" s="93">
        <f>'Detailed results'!AE82</f>
        <v>104</v>
      </c>
      <c r="K7" s="94">
        <f>'Detailed results'!AI82</f>
        <v>106</v>
      </c>
      <c r="L7" s="93">
        <f>'Detailed results'!AM82</f>
        <v>104</v>
      </c>
    </row>
    <row r="8" spans="1:13" x14ac:dyDescent="0.3">
      <c r="A8" t="str">
        <f>'Detailed results'!A83</f>
        <v>S16-P6</v>
      </c>
      <c r="B8" s="94">
        <f>'Detailed results'!D83</f>
        <v>143</v>
      </c>
      <c r="C8" s="94"/>
      <c r="D8" s="94">
        <f>'Detailed results'!Z83</f>
        <v>167.2</v>
      </c>
      <c r="E8" s="94">
        <f>'Detailed results'!AD83</f>
        <v>147.1</v>
      </c>
      <c r="F8" s="94">
        <f>'Detailed results'!AH83</f>
        <v>145.69999999999999</v>
      </c>
      <c r="G8" s="94">
        <f>'Detailed results'!AL83</f>
        <v>144</v>
      </c>
      <c r="I8" s="94">
        <f>'Detailed results'!AA83</f>
        <v>165</v>
      </c>
      <c r="J8" s="94">
        <f>'Detailed results'!AE83</f>
        <v>145</v>
      </c>
      <c r="K8" s="94">
        <f>'Detailed results'!AI83</f>
        <v>145</v>
      </c>
      <c r="L8" s="93">
        <f>'Detailed results'!AM83</f>
        <v>144</v>
      </c>
    </row>
    <row r="9" spans="1:13" x14ac:dyDescent="0.3">
      <c r="A9" t="str">
        <f>'Detailed results'!A84</f>
        <v>S16-P7</v>
      </c>
      <c r="B9" s="94">
        <f>'Detailed results'!D84</f>
        <v>121</v>
      </c>
      <c r="C9" s="94"/>
      <c r="D9" s="94">
        <f>'Detailed results'!Z84</f>
        <v>142.4</v>
      </c>
      <c r="E9" s="94">
        <f>'Detailed results'!AD84</f>
        <v>124.2</v>
      </c>
      <c r="F9" s="94">
        <f>'Detailed results'!AH84</f>
        <v>125.7</v>
      </c>
      <c r="G9" s="94">
        <f>'Detailed results'!AL84</f>
        <v>122.9</v>
      </c>
      <c r="I9" s="94">
        <f>'Detailed results'!AA84</f>
        <v>141</v>
      </c>
      <c r="J9" s="94">
        <f>'Detailed results'!AE84</f>
        <v>123</v>
      </c>
      <c r="K9" s="94">
        <f>'Detailed results'!AI84</f>
        <v>125</v>
      </c>
      <c r="L9" s="93">
        <f>'Detailed results'!AM84</f>
        <v>122</v>
      </c>
    </row>
    <row r="10" spans="1:13" x14ac:dyDescent="0.3">
      <c r="A10" t="str">
        <f>'Detailed results'!A85</f>
        <v>S16-P8</v>
      </c>
      <c r="B10" s="94">
        <f>'Detailed results'!D85</f>
        <v>63</v>
      </c>
      <c r="C10" s="94"/>
      <c r="D10" s="94">
        <f>'Detailed results'!Z85</f>
        <v>70.2</v>
      </c>
      <c r="E10" s="94">
        <f>'Detailed results'!AD85</f>
        <v>63</v>
      </c>
      <c r="F10" s="94">
        <f>'Detailed results'!AH85</f>
        <v>63.3</v>
      </c>
      <c r="G10" s="94">
        <f>'Detailed results'!AL85</f>
        <v>63</v>
      </c>
      <c r="I10" s="94">
        <f>'Detailed results'!AA85</f>
        <v>69</v>
      </c>
      <c r="J10" s="93">
        <f>'Detailed results'!AE85</f>
        <v>63</v>
      </c>
      <c r="K10" s="93">
        <f>'Detailed results'!AI85</f>
        <v>63</v>
      </c>
      <c r="L10" s="93">
        <f>'Detailed results'!AM85</f>
        <v>63</v>
      </c>
    </row>
    <row r="11" spans="1:13" x14ac:dyDescent="0.3">
      <c r="A11" t="str">
        <f>'Detailed results'!A86</f>
        <v>S16-P9</v>
      </c>
      <c r="B11" s="94">
        <f>'Detailed results'!D86</f>
        <v>121</v>
      </c>
      <c r="C11" s="94"/>
      <c r="D11" s="94">
        <f>'Detailed results'!Z86</f>
        <v>140.9</v>
      </c>
      <c r="E11" s="94">
        <f>'Detailed results'!AD86</f>
        <v>124.2</v>
      </c>
      <c r="F11" s="94">
        <f>'Detailed results'!AH86</f>
        <v>124.4</v>
      </c>
      <c r="G11" s="94">
        <f>'Detailed results'!AL86</f>
        <v>121.9</v>
      </c>
      <c r="I11" s="94">
        <f>'Detailed results'!AA86</f>
        <v>140</v>
      </c>
      <c r="J11" s="93">
        <f>'Detailed results'!AE86</f>
        <v>121</v>
      </c>
      <c r="K11" s="94">
        <f>'Detailed results'!AI86</f>
        <v>123</v>
      </c>
      <c r="L11" s="93">
        <f>'Detailed results'!AM86</f>
        <v>121</v>
      </c>
    </row>
    <row r="12" spans="1:13" x14ac:dyDescent="0.3">
      <c r="A12" t="str">
        <f>'Detailed results'!A87</f>
        <v>S16-P10</v>
      </c>
      <c r="B12" s="94">
        <f>'Detailed results'!D87</f>
        <v>120</v>
      </c>
      <c r="C12" s="94"/>
      <c r="D12" s="94">
        <f>'Detailed results'!Z87</f>
        <v>140.1</v>
      </c>
      <c r="E12" s="94">
        <f>'Detailed results'!AD87</f>
        <v>122.2</v>
      </c>
      <c r="F12" s="94">
        <f>'Detailed results'!AH87</f>
        <v>123.5</v>
      </c>
      <c r="G12" s="94">
        <f>'Detailed results'!AL87</f>
        <v>121</v>
      </c>
      <c r="I12" s="94">
        <f>'Detailed results'!AA87</f>
        <v>139</v>
      </c>
      <c r="J12" s="93">
        <f>'Detailed results'!AE87</f>
        <v>121</v>
      </c>
      <c r="K12" s="94">
        <f>'Detailed results'!AI87</f>
        <v>122</v>
      </c>
      <c r="L12" s="93">
        <f>'Detailed results'!AM87</f>
        <v>121</v>
      </c>
    </row>
    <row r="13" spans="1:13" x14ac:dyDescent="0.3">
      <c r="A13" t="str">
        <f>'Detailed results'!A88</f>
        <v>S16-P11</v>
      </c>
      <c r="B13" s="94">
        <f>'Detailed results'!D88</f>
        <v>80</v>
      </c>
      <c r="C13" s="94"/>
      <c r="D13" s="94">
        <f>'Detailed results'!Z88</f>
        <v>92.2</v>
      </c>
      <c r="E13" s="94">
        <f>'Detailed results'!AD88</f>
        <v>80</v>
      </c>
      <c r="F13" s="94">
        <f>'Detailed results'!AH88</f>
        <v>81.900000000000006</v>
      </c>
      <c r="G13" s="94">
        <f>'Detailed results'!AL88</f>
        <v>80</v>
      </c>
      <c r="I13" s="94">
        <f>'Detailed results'!AA88</f>
        <v>90</v>
      </c>
      <c r="J13" s="93">
        <f>'Detailed results'!AE88</f>
        <v>80</v>
      </c>
      <c r="K13" s="94">
        <f>'Detailed results'!AI88</f>
        <v>81</v>
      </c>
      <c r="L13" s="93">
        <f>'Detailed results'!AM88</f>
        <v>80</v>
      </c>
    </row>
    <row r="14" spans="1:13" x14ac:dyDescent="0.3">
      <c r="A14" t="str">
        <f>'Detailed results'!A89</f>
        <v>S16-P12</v>
      </c>
      <c r="B14" s="94">
        <f>'Detailed results'!D89</f>
        <v>154</v>
      </c>
      <c r="C14" s="94"/>
      <c r="D14" s="94">
        <f>'Detailed results'!Z89</f>
        <v>194.6</v>
      </c>
      <c r="E14" s="94">
        <f>'Detailed results'!AD89</f>
        <v>166.7</v>
      </c>
      <c r="F14" s="94">
        <f>'Detailed results'!AH89</f>
        <v>167.8</v>
      </c>
      <c r="G14" s="94">
        <f>'Detailed results'!AL89</f>
        <v>164</v>
      </c>
      <c r="I14" s="94">
        <f>'Detailed results'!AA89</f>
        <v>192</v>
      </c>
      <c r="J14" s="94">
        <f>'Detailed results'!AE89</f>
        <v>166</v>
      </c>
      <c r="K14" s="94">
        <f>'Detailed results'!AI89</f>
        <v>166</v>
      </c>
      <c r="L14" s="93">
        <f>'Detailed results'!AM89</f>
        <v>163</v>
      </c>
    </row>
    <row r="15" spans="1:13" x14ac:dyDescent="0.3">
      <c r="A15" t="str">
        <f>'Detailed results'!A90</f>
        <v>S16-P13</v>
      </c>
      <c r="B15" s="94">
        <f>'Detailed results'!D90</f>
        <v>180</v>
      </c>
      <c r="C15" s="94"/>
      <c r="D15" s="94">
        <f>'Detailed results'!Z90</f>
        <v>213.6</v>
      </c>
      <c r="E15" s="94">
        <f>'Detailed results'!AD90</f>
        <v>188.1</v>
      </c>
      <c r="F15" s="94">
        <f>'Detailed results'!AH90</f>
        <v>188.4</v>
      </c>
      <c r="G15" s="94">
        <f>'Detailed results'!AL90</f>
        <v>181.8</v>
      </c>
      <c r="I15" s="94">
        <f>'Detailed results'!AA90</f>
        <v>210</v>
      </c>
      <c r="J15" s="94">
        <f>'Detailed results'!AE90</f>
        <v>183</v>
      </c>
      <c r="K15" s="94">
        <f>'Detailed results'!AI90</f>
        <v>183</v>
      </c>
      <c r="L15" s="93">
        <f>'Detailed results'!AM90</f>
        <v>180</v>
      </c>
    </row>
    <row r="16" spans="1:13" x14ac:dyDescent="0.3">
      <c r="A16" t="str">
        <f>'Detailed results'!A91</f>
        <v>S16-P14</v>
      </c>
      <c r="B16" s="94">
        <f>'Detailed results'!D91</f>
        <v>84</v>
      </c>
      <c r="C16" s="94"/>
      <c r="D16" s="94">
        <f>'Detailed results'!Z91</f>
        <v>99.7</v>
      </c>
      <c r="E16" s="94">
        <f>'Detailed results'!AD91</f>
        <v>88</v>
      </c>
      <c r="F16" s="94">
        <f>'Detailed results'!AH91</f>
        <v>87.8</v>
      </c>
      <c r="G16" s="94">
        <f>'Detailed results'!AL91</f>
        <v>86</v>
      </c>
      <c r="I16" s="94">
        <f>'Detailed results'!AA91</f>
        <v>98</v>
      </c>
      <c r="J16" s="94">
        <f>'Detailed results'!AE91</f>
        <v>88</v>
      </c>
      <c r="K16" s="94">
        <f>'Detailed results'!AI91</f>
        <v>87</v>
      </c>
      <c r="L16" s="93">
        <f>'Detailed results'!AM91</f>
        <v>85</v>
      </c>
    </row>
    <row r="17" spans="1:12" x14ac:dyDescent="0.3">
      <c r="A17" t="str">
        <f>'Detailed results'!A92</f>
        <v>S16-P15</v>
      </c>
      <c r="B17" s="94">
        <f>'Detailed results'!D92</f>
        <v>126</v>
      </c>
      <c r="C17" s="94"/>
      <c r="D17" s="94">
        <f>'Detailed results'!Z92</f>
        <v>147.80000000000001</v>
      </c>
      <c r="E17" s="94">
        <f>'Detailed results'!AD92</f>
        <v>130.30000000000001</v>
      </c>
      <c r="F17" s="94">
        <f>'Detailed results'!AH92</f>
        <v>131.80000000000001</v>
      </c>
      <c r="G17" s="94">
        <f>'Detailed results'!AL92</f>
        <v>127.1</v>
      </c>
      <c r="I17" s="94">
        <f>'Detailed results'!AA92</f>
        <v>146</v>
      </c>
      <c r="J17" s="93">
        <f>'Detailed results'!AE92</f>
        <v>127</v>
      </c>
      <c r="K17" s="94">
        <f>'Detailed results'!AI92</f>
        <v>129</v>
      </c>
      <c r="L17" s="93">
        <f>'Detailed results'!AM92</f>
        <v>127</v>
      </c>
    </row>
    <row r="18" spans="1:12" x14ac:dyDescent="0.3">
      <c r="A18" t="str">
        <f>'Detailed results'!A93</f>
        <v>S16-P16</v>
      </c>
      <c r="B18" s="94">
        <f>'Detailed results'!D93</f>
        <v>56</v>
      </c>
      <c r="C18" s="94"/>
      <c r="D18" s="94">
        <f>'Detailed results'!Z93</f>
        <v>67.099999999999994</v>
      </c>
      <c r="E18" s="94">
        <f>'Detailed results'!AD93</f>
        <v>59.2</v>
      </c>
      <c r="F18" s="94">
        <f>'Detailed results'!AH93</f>
        <v>59.3</v>
      </c>
      <c r="G18" s="94">
        <f>'Detailed results'!AL93</f>
        <v>57.3</v>
      </c>
      <c r="I18" s="94">
        <f>'Detailed results'!AA93</f>
        <v>66</v>
      </c>
      <c r="J18" s="93">
        <f>'Detailed results'!AE93</f>
        <v>57</v>
      </c>
      <c r="K18" s="94">
        <f>'Detailed results'!AI93</f>
        <v>58</v>
      </c>
      <c r="L18" s="93">
        <f>'Detailed results'!AM93</f>
        <v>57</v>
      </c>
    </row>
    <row r="19" spans="1:12" x14ac:dyDescent="0.3">
      <c r="A19" t="str">
        <f>'Detailed results'!A94</f>
        <v>S16-P17</v>
      </c>
      <c r="B19" s="94">
        <f>'Detailed results'!D94</f>
        <v>70</v>
      </c>
      <c r="C19" s="94"/>
      <c r="D19" s="94">
        <f>'Detailed results'!Z94</f>
        <v>81.5</v>
      </c>
      <c r="E19" s="94">
        <f>'Detailed results'!AD94</f>
        <v>71.3</v>
      </c>
      <c r="F19" s="94">
        <f>'Detailed results'!AH94</f>
        <v>72.3</v>
      </c>
      <c r="G19" s="94">
        <f>'Detailed results'!AL94</f>
        <v>70.3</v>
      </c>
      <c r="I19" s="94">
        <f>'Detailed results'!AA94</f>
        <v>80</v>
      </c>
      <c r="J19" s="93">
        <f>'Detailed results'!AE94</f>
        <v>70</v>
      </c>
      <c r="K19" s="94">
        <f>'Detailed results'!AI94</f>
        <v>71</v>
      </c>
      <c r="L19" s="93">
        <f>'Detailed results'!AM94</f>
        <v>70</v>
      </c>
    </row>
    <row r="20" spans="1:12" x14ac:dyDescent="0.3">
      <c r="A20" t="str">
        <f>'Detailed results'!A95</f>
        <v>S16-P18</v>
      </c>
      <c r="B20" s="94">
        <f>'Detailed results'!D95</f>
        <v>110</v>
      </c>
      <c r="C20" s="94"/>
      <c r="D20" s="94">
        <f>'Detailed results'!Z95</f>
        <v>128.19999999999999</v>
      </c>
      <c r="E20" s="94">
        <f>'Detailed results'!AD95</f>
        <v>115</v>
      </c>
      <c r="F20" s="94">
        <f>'Detailed results'!AH95</f>
        <v>115</v>
      </c>
      <c r="G20" s="94">
        <f>'Detailed results'!AL95</f>
        <v>110.2</v>
      </c>
      <c r="I20" s="94">
        <f>'Detailed results'!AA95</f>
        <v>126</v>
      </c>
      <c r="J20" s="94">
        <f>'Detailed results'!AE95</f>
        <v>112</v>
      </c>
      <c r="K20" s="94">
        <f>'Detailed results'!AI95</f>
        <v>114</v>
      </c>
      <c r="L20" s="93">
        <f>'Detailed results'!AM95</f>
        <v>110</v>
      </c>
    </row>
    <row r="21" spans="1:12" x14ac:dyDescent="0.3">
      <c r="A21" t="str">
        <f>'Detailed results'!A96</f>
        <v>S16-P19</v>
      </c>
      <c r="B21" s="94">
        <f>'Detailed results'!D96</f>
        <v>112</v>
      </c>
      <c r="C21" s="94"/>
      <c r="D21" s="94">
        <f>'Detailed results'!Z96</f>
        <v>136.6</v>
      </c>
      <c r="E21" s="94">
        <f>'Detailed results'!AD96</f>
        <v>124.6</v>
      </c>
      <c r="F21" s="94">
        <f>'Detailed results'!AH96</f>
        <v>121.2</v>
      </c>
      <c r="G21" s="94">
        <f>'Detailed results'!AL96</f>
        <v>115.9</v>
      </c>
      <c r="I21" s="94">
        <f>'Detailed results'!AA96</f>
        <v>135</v>
      </c>
      <c r="J21" s="94">
        <f>'Detailed results'!AE96</f>
        <v>117</v>
      </c>
      <c r="K21" s="94">
        <f>'Detailed results'!AI96</f>
        <v>117</v>
      </c>
      <c r="L21" s="93">
        <f>'Detailed results'!AM96</f>
        <v>115</v>
      </c>
    </row>
    <row r="22" spans="1:12" x14ac:dyDescent="0.3">
      <c r="A22" t="str">
        <f>'Detailed results'!A97</f>
        <v>S16-P20</v>
      </c>
      <c r="B22" s="94">
        <f>'Detailed results'!D97</f>
        <v>90</v>
      </c>
      <c r="C22" s="94"/>
      <c r="D22" s="94">
        <f>'Detailed results'!Z97</f>
        <v>105.4</v>
      </c>
      <c r="E22" s="94">
        <f>'Detailed results'!AD97</f>
        <v>94.2</v>
      </c>
      <c r="F22" s="94">
        <f>'Detailed results'!AH97</f>
        <v>95.2</v>
      </c>
      <c r="G22" s="94">
        <f>'Detailed results'!AL97</f>
        <v>92</v>
      </c>
      <c r="I22" s="94">
        <f>'Detailed results'!AA97</f>
        <v>104</v>
      </c>
      <c r="J22" s="93">
        <f>'Detailed results'!AE97</f>
        <v>92</v>
      </c>
      <c r="K22" s="94">
        <f>'Detailed results'!AI97</f>
        <v>94</v>
      </c>
      <c r="L22" s="93">
        <f>'Detailed results'!AM97</f>
        <v>92</v>
      </c>
    </row>
    <row r="23" spans="1:12" x14ac:dyDescent="0.3">
      <c r="A23" t="str">
        <f>'Detailed results'!A98</f>
        <v>S16-P21</v>
      </c>
      <c r="B23" s="94">
        <f>'Detailed results'!D98</f>
        <v>88</v>
      </c>
      <c r="C23" s="94"/>
      <c r="D23" s="94">
        <f>'Detailed results'!Z98</f>
        <v>105.8</v>
      </c>
      <c r="E23" s="94">
        <f>'Detailed results'!AD98</f>
        <v>94.3</v>
      </c>
      <c r="F23" s="94">
        <f>'Detailed results'!AH98</f>
        <v>93.8</v>
      </c>
      <c r="G23" s="94">
        <f>'Detailed results'!AL98</f>
        <v>90</v>
      </c>
      <c r="I23" s="94">
        <f>'Detailed results'!AA98</f>
        <v>103</v>
      </c>
      <c r="J23" s="93">
        <f>'Detailed results'!AE98</f>
        <v>90</v>
      </c>
      <c r="K23" s="94">
        <f>'Detailed results'!AI98</f>
        <v>91</v>
      </c>
      <c r="L23" s="93">
        <f>'Detailed results'!AM98</f>
        <v>90</v>
      </c>
    </row>
    <row r="24" spans="1:12" x14ac:dyDescent="0.3">
      <c r="A24" t="str">
        <f>'Detailed results'!A99</f>
        <v>S16-P22</v>
      </c>
      <c r="B24" s="94">
        <f>'Detailed results'!D99</f>
        <v>60</v>
      </c>
      <c r="C24" s="94"/>
      <c r="D24" s="94">
        <f>'Detailed results'!Z99</f>
        <v>67.8</v>
      </c>
      <c r="E24" s="94">
        <f>'Detailed results'!AD99</f>
        <v>62.2</v>
      </c>
      <c r="F24" s="94">
        <f>'Detailed results'!AH99</f>
        <v>61.4</v>
      </c>
      <c r="G24" s="94">
        <f>'Detailed results'!AL99</f>
        <v>60</v>
      </c>
      <c r="I24" s="94">
        <f>'Detailed results'!AA99</f>
        <v>67</v>
      </c>
      <c r="J24" s="93">
        <f>'Detailed results'!AE99</f>
        <v>60</v>
      </c>
      <c r="K24" s="94">
        <f>'Detailed results'!AI99</f>
        <v>61</v>
      </c>
      <c r="L24" s="93">
        <f>'Detailed results'!AM99</f>
        <v>60</v>
      </c>
    </row>
    <row r="25" spans="1:12" x14ac:dyDescent="0.3">
      <c r="A25" t="str">
        <f>'Detailed results'!A100</f>
        <v>S16-P23</v>
      </c>
      <c r="B25" s="94">
        <f>'Detailed results'!D100</f>
        <v>70</v>
      </c>
      <c r="C25" s="94"/>
      <c r="D25" s="94">
        <f>'Detailed results'!Z100</f>
        <v>85.5</v>
      </c>
      <c r="E25" s="94">
        <f>'Detailed results'!AD100</f>
        <v>74.7</v>
      </c>
      <c r="F25" s="94">
        <f>'Detailed results'!AH100</f>
        <v>74.8</v>
      </c>
      <c r="G25" s="94">
        <f>'Detailed results'!AL100</f>
        <v>73</v>
      </c>
      <c r="I25" s="94">
        <f>'Detailed results'!AA100</f>
        <v>84</v>
      </c>
      <c r="J25" s="93">
        <f>'Detailed results'!AE100</f>
        <v>73</v>
      </c>
      <c r="K25" s="94">
        <f>'Detailed results'!AI100</f>
        <v>74</v>
      </c>
      <c r="L25" s="93">
        <f>'Detailed results'!AM100</f>
        <v>73</v>
      </c>
    </row>
    <row r="26" spans="1:12" x14ac:dyDescent="0.3">
      <c r="A26" t="str">
        <f>'Detailed results'!A101</f>
        <v>S16-P24</v>
      </c>
      <c r="B26" s="94">
        <f>'Detailed results'!D101</f>
        <v>60</v>
      </c>
      <c r="C26" s="94"/>
      <c r="D26" s="94">
        <f>'Detailed results'!Z101</f>
        <v>67.599999999999994</v>
      </c>
      <c r="E26" s="94">
        <f>'Detailed results'!AD101</f>
        <v>60.5</v>
      </c>
      <c r="F26" s="94">
        <f>'Detailed results'!AH101</f>
        <v>61.1</v>
      </c>
      <c r="G26" s="94">
        <f>'Detailed results'!AL101</f>
        <v>60</v>
      </c>
      <c r="I26" s="94">
        <f>'Detailed results'!AA101</f>
        <v>66</v>
      </c>
      <c r="J26" s="93">
        <f>'Detailed results'!AE101</f>
        <v>60</v>
      </c>
      <c r="K26" s="94">
        <f>'Detailed results'!AI101</f>
        <v>61</v>
      </c>
      <c r="L26" s="93">
        <f>'Detailed results'!AM101</f>
        <v>60</v>
      </c>
    </row>
    <row r="27" spans="1:12" x14ac:dyDescent="0.3">
      <c r="A27" s="111" t="str">
        <f>'Detailed results'!A102</f>
        <v>S16-P25</v>
      </c>
      <c r="B27" s="110">
        <f>'Detailed results'!D102</f>
        <v>120</v>
      </c>
      <c r="C27" s="110"/>
      <c r="D27" s="110">
        <f>'Detailed results'!Z102</f>
        <v>140.1</v>
      </c>
      <c r="E27" s="110">
        <f>'Detailed results'!AD102</f>
        <v>122.6</v>
      </c>
      <c r="F27" s="110">
        <f>'Detailed results'!AH102</f>
        <v>124.1</v>
      </c>
      <c r="G27" s="110">
        <f>'Detailed results'!AL102</f>
        <v>121</v>
      </c>
      <c r="H27" s="110"/>
      <c r="I27" s="110">
        <f>'Detailed results'!AA102</f>
        <v>137</v>
      </c>
      <c r="J27" s="112">
        <f>'Detailed results'!AE102</f>
        <v>121</v>
      </c>
      <c r="K27" s="110">
        <f>'Detailed results'!AI102</f>
        <v>123</v>
      </c>
      <c r="L27" s="112">
        <f>'Detailed results'!AM102</f>
        <v>121</v>
      </c>
    </row>
    <row r="28" spans="1:12" x14ac:dyDescent="0.3">
      <c r="B28" s="94"/>
      <c r="C28" s="94"/>
    </row>
    <row r="29" spans="1:12" x14ac:dyDescent="0.3">
      <c r="B29" s="94"/>
      <c r="C29" s="94"/>
    </row>
    <row r="30" spans="1:12" x14ac:dyDescent="0.3">
      <c r="B30" s="94"/>
      <c r="C30" s="94"/>
    </row>
    <row r="31" spans="1:12" x14ac:dyDescent="0.3">
      <c r="B31" s="94"/>
      <c r="C31" s="94"/>
    </row>
    <row r="32" spans="1:12" x14ac:dyDescent="0.3">
      <c r="B32" s="94"/>
      <c r="C32" s="94"/>
    </row>
  </sheetData>
  <mergeCells count="4">
    <mergeCell ref="A1:A2"/>
    <mergeCell ref="B1:B2"/>
    <mergeCell ref="D1:G1"/>
    <mergeCell ref="I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abSelected="1" workbookViewId="0">
      <selection activeCell="J6" sqref="J6"/>
    </sheetView>
  </sheetViews>
  <sheetFormatPr defaultRowHeight="14.4" x14ac:dyDescent="0.3"/>
  <cols>
    <col min="2" max="5" width="8.88671875" style="94"/>
    <col min="6" max="6" width="2.5546875" style="94" customWidth="1"/>
    <col min="7" max="10" width="8.88671875" style="94"/>
  </cols>
  <sheetData>
    <row r="1" spans="1:10" x14ac:dyDescent="0.3">
      <c r="A1" s="119"/>
      <c r="B1" s="96" t="s">
        <v>159</v>
      </c>
      <c r="C1" s="96"/>
      <c r="D1" s="96"/>
      <c r="E1" s="96"/>
      <c r="G1" s="96" t="s">
        <v>160</v>
      </c>
      <c r="H1" s="96"/>
      <c r="I1" s="96"/>
      <c r="J1" s="96"/>
    </row>
    <row r="2" spans="1:10" x14ac:dyDescent="0.3">
      <c r="A2" s="120" t="s">
        <v>158</v>
      </c>
      <c r="B2" s="94" t="s">
        <v>134</v>
      </c>
      <c r="C2" s="94" t="s">
        <v>135</v>
      </c>
      <c r="D2" s="94" t="s">
        <v>156</v>
      </c>
      <c r="E2" s="94" t="s">
        <v>157</v>
      </c>
      <c r="G2" s="94" t="s">
        <v>134</v>
      </c>
      <c r="H2" s="94" t="s">
        <v>135</v>
      </c>
      <c r="I2" s="94" t="s">
        <v>156</v>
      </c>
      <c r="J2" s="94" t="s">
        <v>157</v>
      </c>
    </row>
    <row r="3" spans="1:10" x14ac:dyDescent="0.3">
      <c r="A3" s="70">
        <v>4</v>
      </c>
      <c r="B3" s="71">
        <f>'Detailed results'!AC113</f>
        <v>8.152000000000001</v>
      </c>
      <c r="C3" s="71">
        <f>'Detailed results'!AD113</f>
        <v>9.8079999999999998</v>
      </c>
      <c r="D3" s="71">
        <f>'Detailed results'!AE113</f>
        <v>5.3108735708735697</v>
      </c>
      <c r="E3" s="71">
        <f>'Detailed results'!AF113</f>
        <v>3.3386080586080586</v>
      </c>
      <c r="G3" s="71">
        <f>'Detailed results'!AC122</f>
        <v>18.809199999999997</v>
      </c>
      <c r="H3" s="71">
        <f>'Detailed results'!AD122</f>
        <v>8.0531999999999986</v>
      </c>
      <c r="I3" s="71">
        <f>'Detailed results'!AE122</f>
        <v>12.027635999999999</v>
      </c>
      <c r="J3" s="71">
        <f>'Detailed results'!AF122*2.26</f>
        <v>21.083277840000004</v>
      </c>
    </row>
    <row r="4" spans="1:10" x14ac:dyDescent="0.3">
      <c r="A4" s="70">
        <v>8</v>
      </c>
      <c r="B4" s="71">
        <f>'Detailed results'!AC114</f>
        <v>15.188000000000002</v>
      </c>
      <c r="C4" s="71">
        <f>'Detailed results'!AD114</f>
        <v>5.5760000000000005</v>
      </c>
      <c r="D4" s="71">
        <f>'Detailed results'!AE114</f>
        <v>5.583077922077921</v>
      </c>
      <c r="E4" s="71">
        <f>'Detailed results'!AF114</f>
        <v>2.1371659451659442</v>
      </c>
      <c r="G4" s="71">
        <f>'Detailed results'!AC123</f>
        <v>120.64959999999999</v>
      </c>
      <c r="H4" s="71">
        <f>'Detailed results'!AD123</f>
        <v>55.657600000000009</v>
      </c>
      <c r="I4" s="71">
        <f>'Detailed results'!AE123</f>
        <v>70.321991999999995</v>
      </c>
      <c r="J4" s="71">
        <f>'Detailed results'!AF123*2.26</f>
        <v>134.86812159999999</v>
      </c>
    </row>
    <row r="5" spans="1:10" x14ac:dyDescent="0.3">
      <c r="A5" s="70">
        <v>16</v>
      </c>
      <c r="B5" s="71">
        <f>'Detailed results'!AC115</f>
        <v>17.796000000000003</v>
      </c>
      <c r="C5" s="71">
        <f>'Detailed results'!AD115</f>
        <v>4.1680000000000001</v>
      </c>
      <c r="D5" s="71">
        <f>'Detailed results'!AE115</f>
        <v>4.4891295674022942</v>
      </c>
      <c r="E5" s="71">
        <f>'Detailed results'!AF115</f>
        <v>1.8641886900977813</v>
      </c>
      <c r="G5" s="71">
        <f>'Detailed results'!AC124</f>
        <v>206.35919999999996</v>
      </c>
      <c r="H5" s="71">
        <f>'Detailed results'!AD124</f>
        <v>120.8064</v>
      </c>
      <c r="I5" s="71">
        <f>'Detailed results'!AE124</f>
        <v>148.080544</v>
      </c>
      <c r="J5" s="71">
        <f>'Detailed results'!AF124*2.26</f>
        <v>469.93210559999989</v>
      </c>
    </row>
  </sheetData>
  <mergeCells count="2">
    <mergeCell ref="B1:E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results</vt:lpstr>
      <vt:lpstr>Table2</vt:lpstr>
      <vt:lpstr>Table3</vt:lpstr>
      <vt:lpstr>Table4</vt:lpstr>
      <vt:lpstr>Table5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2019-07-24T10:00:17Z</dcterms:modified>
</cp:coreProperties>
</file>