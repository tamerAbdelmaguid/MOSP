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MOSP\PublicProgram\MOSPInstances\"/>
    </mc:Choice>
  </mc:AlternateContent>
  <xr:revisionPtr revIDLastSave="0" documentId="13_ncr:1_{D54130B2-422C-4377-82E4-B59CC511660E}" xr6:coauthVersionLast="45" xr6:coauthVersionMax="45" xr10:uidLastSave="{00000000-0000-0000-0000-000000000000}"/>
  <bookViews>
    <workbookView xWindow="-108" yWindow="-108" windowWidth="23256" windowHeight="12576" xr2:uid="{763693C1-A712-4156-BE04-F4DDD4C1FDD3}"/>
  </bookViews>
  <sheets>
    <sheet name="MOSP results" sheetId="2" r:id="rId1"/>
    <sheet name="Small instances" sheetId="4" r:id="rId2"/>
    <sheet name="CPLEXTable1" sheetId="5" r:id="rId3"/>
    <sheet name="Sice cal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4" i="5" l="1"/>
  <c r="S4" i="5" s="1"/>
  <c r="R12" i="5"/>
  <c r="S12" i="5" s="1"/>
  <c r="R20" i="5"/>
  <c r="S20" i="5" s="1"/>
  <c r="R27" i="5"/>
  <c r="S27" i="5" s="1"/>
  <c r="R28" i="5"/>
  <c r="R35" i="5"/>
  <c r="R36" i="5"/>
  <c r="R43" i="5"/>
  <c r="S43" i="5" s="1"/>
  <c r="R44" i="5"/>
  <c r="R59" i="5"/>
  <c r="S59" i="5" s="1"/>
  <c r="R60" i="5"/>
  <c r="P6" i="5"/>
  <c r="P14" i="5"/>
  <c r="P22" i="5"/>
  <c r="P30" i="5"/>
  <c r="P31" i="5"/>
  <c r="P47" i="5"/>
  <c r="P2" i="5"/>
  <c r="N17" i="5"/>
  <c r="N18" i="5"/>
  <c r="E2" i="5"/>
  <c r="F2" i="5"/>
  <c r="R2" i="5" s="1"/>
  <c r="G2" i="5"/>
  <c r="H2" i="5"/>
  <c r="L2" i="5"/>
  <c r="E3" i="5"/>
  <c r="F3" i="5"/>
  <c r="G3" i="5"/>
  <c r="P3" i="5" s="1"/>
  <c r="H3" i="5"/>
  <c r="E4" i="5"/>
  <c r="F4" i="5"/>
  <c r="P4" i="5" s="1"/>
  <c r="G4" i="5"/>
  <c r="H4" i="5"/>
  <c r="E5" i="5"/>
  <c r="F5" i="5"/>
  <c r="G5" i="5"/>
  <c r="H5" i="5"/>
  <c r="E6" i="5"/>
  <c r="F6" i="5"/>
  <c r="R6" i="5" s="1"/>
  <c r="S6" i="5" s="1"/>
  <c r="G6" i="5"/>
  <c r="H6" i="5"/>
  <c r="L6" i="5"/>
  <c r="E7" i="5"/>
  <c r="F7" i="5"/>
  <c r="G7" i="5"/>
  <c r="R7" i="5" s="1"/>
  <c r="S7" i="5" s="1"/>
  <c r="H7" i="5"/>
  <c r="E8" i="5"/>
  <c r="F8" i="5"/>
  <c r="P8" i="5" s="1"/>
  <c r="G8" i="5"/>
  <c r="R8" i="5" s="1"/>
  <c r="S8" i="5" s="1"/>
  <c r="H8" i="5"/>
  <c r="K8" i="5"/>
  <c r="E9" i="5"/>
  <c r="F9" i="5"/>
  <c r="G9" i="5"/>
  <c r="H9" i="5"/>
  <c r="E10" i="5"/>
  <c r="F10" i="5"/>
  <c r="R10" i="5" s="1"/>
  <c r="S10" i="5" s="1"/>
  <c r="G10" i="5"/>
  <c r="P10" i="5" s="1"/>
  <c r="H10" i="5"/>
  <c r="L10" i="5"/>
  <c r="E11" i="5"/>
  <c r="F11" i="5"/>
  <c r="G11" i="5"/>
  <c r="P11" i="5" s="1"/>
  <c r="H11" i="5"/>
  <c r="E12" i="5"/>
  <c r="F12" i="5"/>
  <c r="P12" i="5" s="1"/>
  <c r="G12" i="5"/>
  <c r="H12" i="5"/>
  <c r="E13" i="5"/>
  <c r="F13" i="5"/>
  <c r="G13" i="5"/>
  <c r="H13" i="5"/>
  <c r="E14" i="5"/>
  <c r="F14" i="5"/>
  <c r="R14" i="5" s="1"/>
  <c r="S14" i="5" s="1"/>
  <c r="G14" i="5"/>
  <c r="H14" i="5"/>
  <c r="E15" i="5"/>
  <c r="F15" i="5"/>
  <c r="G15" i="5"/>
  <c r="R15" i="5" s="1"/>
  <c r="S15" i="5" s="1"/>
  <c r="H15" i="5"/>
  <c r="E16" i="5"/>
  <c r="F16" i="5"/>
  <c r="P16" i="5" s="1"/>
  <c r="G16" i="5"/>
  <c r="R16" i="5" s="1"/>
  <c r="S16" i="5" s="1"/>
  <c r="H16" i="5"/>
  <c r="E17" i="5"/>
  <c r="F17" i="5"/>
  <c r="G17" i="5"/>
  <c r="H17" i="5"/>
  <c r="E18" i="5"/>
  <c r="F18" i="5"/>
  <c r="R18" i="5" s="1"/>
  <c r="S18" i="5" s="1"/>
  <c r="G18" i="5"/>
  <c r="P18" i="5" s="1"/>
  <c r="H18" i="5"/>
  <c r="K18" i="5"/>
  <c r="L18" i="5"/>
  <c r="E19" i="5"/>
  <c r="F19" i="5"/>
  <c r="G19" i="5"/>
  <c r="P19" i="5" s="1"/>
  <c r="H19" i="5"/>
  <c r="E20" i="5"/>
  <c r="F20" i="5"/>
  <c r="P20" i="5" s="1"/>
  <c r="G20" i="5"/>
  <c r="H20" i="5"/>
  <c r="L20" i="5"/>
  <c r="E21" i="5"/>
  <c r="F21" i="5"/>
  <c r="G21" i="5"/>
  <c r="H21" i="5"/>
  <c r="E22" i="5"/>
  <c r="F22" i="5"/>
  <c r="R22" i="5" s="1"/>
  <c r="S22" i="5" s="1"/>
  <c r="G22" i="5"/>
  <c r="H22" i="5"/>
  <c r="K22" i="5"/>
  <c r="L22" i="5"/>
  <c r="E23" i="5"/>
  <c r="F23" i="5"/>
  <c r="G23" i="5"/>
  <c r="R23" i="5" s="1"/>
  <c r="S23" i="5" s="1"/>
  <c r="H23" i="5"/>
  <c r="E24" i="5"/>
  <c r="F24" i="5"/>
  <c r="P24" i="5" s="1"/>
  <c r="G24" i="5"/>
  <c r="R24" i="5" s="1"/>
  <c r="S24" i="5" s="1"/>
  <c r="H24" i="5"/>
  <c r="E25" i="5"/>
  <c r="F25" i="5"/>
  <c r="G25" i="5"/>
  <c r="H25" i="5"/>
  <c r="L25" i="5"/>
  <c r="E26" i="5"/>
  <c r="F26" i="5"/>
  <c r="G26" i="5"/>
  <c r="H26" i="5"/>
  <c r="E27" i="5"/>
  <c r="F27" i="5"/>
  <c r="P27" i="5" s="1"/>
  <c r="G27" i="5"/>
  <c r="H27" i="5"/>
  <c r="L27" i="5"/>
  <c r="E28" i="5"/>
  <c r="F28" i="5"/>
  <c r="G28" i="5"/>
  <c r="H28" i="5"/>
  <c r="I28" i="5"/>
  <c r="E29" i="5"/>
  <c r="F29" i="5"/>
  <c r="G29" i="5"/>
  <c r="H29" i="5"/>
  <c r="L29" i="5"/>
  <c r="E30" i="5"/>
  <c r="F30" i="5"/>
  <c r="G30" i="5"/>
  <c r="H30" i="5"/>
  <c r="I30" i="5"/>
  <c r="E31" i="5"/>
  <c r="F31" i="5"/>
  <c r="R31" i="5" s="1"/>
  <c r="S31" i="5" s="1"/>
  <c r="G31" i="5"/>
  <c r="H31" i="5"/>
  <c r="L31" i="5"/>
  <c r="E32" i="5"/>
  <c r="F32" i="5"/>
  <c r="R32" i="5" s="1"/>
  <c r="S32" i="5" s="1"/>
  <c r="G32" i="5"/>
  <c r="H32" i="5"/>
  <c r="I32" i="5"/>
  <c r="N32" i="5" s="1"/>
  <c r="E33" i="5"/>
  <c r="F33" i="5"/>
  <c r="G33" i="5"/>
  <c r="H33" i="5"/>
  <c r="E34" i="5"/>
  <c r="F34" i="5"/>
  <c r="G34" i="5"/>
  <c r="H34" i="5"/>
  <c r="I34" i="5"/>
  <c r="N34" i="5" s="1"/>
  <c r="E35" i="5"/>
  <c r="F35" i="5"/>
  <c r="P35" i="5" s="1"/>
  <c r="G35" i="5"/>
  <c r="H35" i="5"/>
  <c r="E36" i="5"/>
  <c r="F36" i="5"/>
  <c r="P36" i="5" s="1"/>
  <c r="G36" i="5"/>
  <c r="H36" i="5"/>
  <c r="I36" i="5"/>
  <c r="E37" i="5"/>
  <c r="F37" i="5"/>
  <c r="G37" i="5"/>
  <c r="H37" i="5"/>
  <c r="I37" i="5"/>
  <c r="J37" i="5"/>
  <c r="L37" i="5"/>
  <c r="E38" i="5"/>
  <c r="F38" i="5"/>
  <c r="R38" i="5" s="1"/>
  <c r="S38" i="5" s="1"/>
  <c r="G38" i="5"/>
  <c r="H38" i="5"/>
  <c r="I38" i="5"/>
  <c r="J38" i="5"/>
  <c r="L38" i="5"/>
  <c r="E39" i="5"/>
  <c r="F39" i="5"/>
  <c r="R39" i="5" s="1"/>
  <c r="S39" i="5" s="1"/>
  <c r="G39" i="5"/>
  <c r="H39" i="5"/>
  <c r="L39" i="5"/>
  <c r="E40" i="5"/>
  <c r="F40" i="5"/>
  <c r="G40" i="5"/>
  <c r="H40" i="5"/>
  <c r="L40" i="5"/>
  <c r="E41" i="5"/>
  <c r="F41" i="5"/>
  <c r="G41" i="5"/>
  <c r="H41" i="5"/>
  <c r="J41" i="5"/>
  <c r="L41" i="5"/>
  <c r="E42" i="5"/>
  <c r="F42" i="5"/>
  <c r="G42" i="5"/>
  <c r="H42" i="5"/>
  <c r="J42" i="5"/>
  <c r="L42" i="5"/>
  <c r="E43" i="5"/>
  <c r="F43" i="5"/>
  <c r="P43" i="5" s="1"/>
  <c r="G43" i="5"/>
  <c r="H43" i="5"/>
  <c r="J43" i="5"/>
  <c r="L43" i="5"/>
  <c r="E44" i="5"/>
  <c r="F44" i="5"/>
  <c r="P44" i="5" s="1"/>
  <c r="G44" i="5"/>
  <c r="H44" i="5"/>
  <c r="E45" i="5"/>
  <c r="F45" i="5"/>
  <c r="G45" i="5"/>
  <c r="H45" i="5"/>
  <c r="E46" i="5"/>
  <c r="F46" i="5"/>
  <c r="R46" i="5" s="1"/>
  <c r="S46" i="5" s="1"/>
  <c r="G46" i="5"/>
  <c r="H46" i="5"/>
  <c r="L46" i="5"/>
  <c r="E47" i="5"/>
  <c r="F47" i="5"/>
  <c r="R47" i="5" s="1"/>
  <c r="S47" i="5" s="1"/>
  <c r="G47" i="5"/>
  <c r="H47" i="5"/>
  <c r="L47" i="5"/>
  <c r="E48" i="5"/>
  <c r="F48" i="5"/>
  <c r="G48" i="5"/>
  <c r="H48" i="5"/>
  <c r="I48" i="5"/>
  <c r="E49" i="5"/>
  <c r="F49" i="5"/>
  <c r="G49" i="5"/>
  <c r="H49" i="5"/>
  <c r="I49" i="5"/>
  <c r="E50" i="5"/>
  <c r="F50" i="5"/>
  <c r="G50" i="5"/>
  <c r="H50" i="5"/>
  <c r="L50" i="5"/>
  <c r="E51" i="5"/>
  <c r="F51" i="5"/>
  <c r="P51" i="5" s="1"/>
  <c r="G51" i="5"/>
  <c r="H51" i="5"/>
  <c r="L51" i="5"/>
  <c r="E52" i="5"/>
  <c r="F52" i="5"/>
  <c r="P52" i="5" s="1"/>
  <c r="G52" i="5"/>
  <c r="H52" i="5"/>
  <c r="I52" i="5"/>
  <c r="E53" i="5"/>
  <c r="F53" i="5"/>
  <c r="G53" i="5"/>
  <c r="H53" i="5"/>
  <c r="I53" i="5"/>
  <c r="J53" i="5"/>
  <c r="E54" i="5"/>
  <c r="F54" i="5"/>
  <c r="R54" i="5" s="1"/>
  <c r="S54" i="5" s="1"/>
  <c r="G54" i="5"/>
  <c r="H54" i="5"/>
  <c r="J54" i="5"/>
  <c r="L54" i="5"/>
  <c r="E55" i="5"/>
  <c r="F55" i="5"/>
  <c r="R55" i="5" s="1"/>
  <c r="S55" i="5" s="1"/>
  <c r="G55" i="5"/>
  <c r="H55" i="5"/>
  <c r="E56" i="5"/>
  <c r="F56" i="5"/>
  <c r="G56" i="5"/>
  <c r="H56" i="5"/>
  <c r="I56" i="5"/>
  <c r="E57" i="5"/>
  <c r="F57" i="5"/>
  <c r="G57" i="5"/>
  <c r="H57" i="5"/>
  <c r="I57" i="5"/>
  <c r="N57" i="5" s="1"/>
  <c r="J57" i="5"/>
  <c r="L57" i="5"/>
  <c r="E58" i="5"/>
  <c r="F58" i="5"/>
  <c r="G58" i="5"/>
  <c r="H58" i="5"/>
  <c r="I58" i="5"/>
  <c r="N58" i="5" s="1"/>
  <c r="J58" i="5"/>
  <c r="L58" i="5"/>
  <c r="E59" i="5"/>
  <c r="F59" i="5"/>
  <c r="P59" i="5" s="1"/>
  <c r="G59" i="5"/>
  <c r="H59" i="5"/>
  <c r="L59" i="5"/>
  <c r="E60" i="5"/>
  <c r="F60" i="5"/>
  <c r="P60" i="5" s="1"/>
  <c r="G60" i="5"/>
  <c r="H60" i="5"/>
  <c r="L60" i="5"/>
  <c r="E61" i="5"/>
  <c r="F61" i="5"/>
  <c r="G61" i="5"/>
  <c r="H61" i="5"/>
  <c r="J61" i="5"/>
  <c r="L61" i="5"/>
  <c r="Q3" i="4"/>
  <c r="L7" i="5" s="1"/>
  <c r="Q4" i="4"/>
  <c r="L12" i="5" s="1"/>
  <c r="Q5" i="4"/>
  <c r="L17" i="5" s="1"/>
  <c r="Q6" i="4"/>
  <c r="Q7" i="4"/>
  <c r="Q8" i="4"/>
  <c r="L32" i="5" s="1"/>
  <c r="Q9" i="4"/>
  <c r="Q10" i="4"/>
  <c r="Q11" i="4"/>
  <c r="Q12" i="4"/>
  <c r="L52" i="5" s="1"/>
  <c r="Q13" i="4"/>
  <c r="Q14" i="4"/>
  <c r="L3" i="5" s="1"/>
  <c r="Q15" i="4"/>
  <c r="L8" i="5" s="1"/>
  <c r="Q16" i="4"/>
  <c r="L13" i="5" s="1"/>
  <c r="Q17" i="4"/>
  <c r="Q18" i="4"/>
  <c r="L23" i="5" s="1"/>
  <c r="Q19" i="4"/>
  <c r="L28" i="5" s="1"/>
  <c r="Q20" i="4"/>
  <c r="L33" i="5" s="1"/>
  <c r="Q21" i="4"/>
  <c r="Q22" i="4"/>
  <c r="Q23" i="4"/>
  <c r="L48" i="5" s="1"/>
  <c r="Q24" i="4"/>
  <c r="L53" i="5" s="1"/>
  <c r="Q25" i="4"/>
  <c r="Q26" i="4"/>
  <c r="L4" i="5" s="1"/>
  <c r="Q27" i="4"/>
  <c r="L9" i="5" s="1"/>
  <c r="Q28" i="4"/>
  <c r="L14" i="5" s="1"/>
  <c r="Q29" i="4"/>
  <c r="L19" i="5" s="1"/>
  <c r="Q30" i="4"/>
  <c r="L24" i="5" s="1"/>
  <c r="Q31" i="4"/>
  <c r="Q32" i="4"/>
  <c r="L34" i="5" s="1"/>
  <c r="Q33" i="4"/>
  <c r="Q34" i="4"/>
  <c r="L44" i="5" s="1"/>
  <c r="Q35" i="4"/>
  <c r="L49" i="5" s="1"/>
  <c r="Q36" i="4"/>
  <c r="Q37" i="4"/>
  <c r="Q38" i="4"/>
  <c r="L5" i="5" s="1"/>
  <c r="Q39" i="4"/>
  <c r="Q40" i="4"/>
  <c r="L15" i="5" s="1"/>
  <c r="Q41" i="4"/>
  <c r="Q42" i="4"/>
  <c r="Q43" i="4"/>
  <c r="L30" i="5" s="1"/>
  <c r="Q44" i="4"/>
  <c r="L35" i="5" s="1"/>
  <c r="Q45" i="4"/>
  <c r="Q46" i="4"/>
  <c r="L45" i="5" s="1"/>
  <c r="Q47" i="4"/>
  <c r="Q48" i="4"/>
  <c r="L55" i="5" s="1"/>
  <c r="Q49" i="4"/>
  <c r="Q50" i="4"/>
  <c r="Q51" i="4"/>
  <c r="L11" i="5" s="1"/>
  <c r="Q52" i="4"/>
  <c r="L16" i="5" s="1"/>
  <c r="Q53" i="4"/>
  <c r="L21" i="5" s="1"/>
  <c r="Q54" i="4"/>
  <c r="L26" i="5" s="1"/>
  <c r="Q55" i="4"/>
  <c r="Q56" i="4"/>
  <c r="L36" i="5" s="1"/>
  <c r="Q57" i="4"/>
  <c r="Q58" i="4"/>
  <c r="Q59" i="4"/>
  <c r="Q60" i="4"/>
  <c r="L56" i="5" s="1"/>
  <c r="Q61" i="4"/>
  <c r="Q2" i="4"/>
  <c r="N3" i="4"/>
  <c r="I7" i="5" s="1"/>
  <c r="O3" i="4"/>
  <c r="J7" i="5" s="1"/>
  <c r="P3" i="4"/>
  <c r="K7" i="5" s="1"/>
  <c r="N4" i="4"/>
  <c r="I12" i="5" s="1"/>
  <c r="O4" i="4"/>
  <c r="J12" i="5" s="1"/>
  <c r="P4" i="4"/>
  <c r="K12" i="5" s="1"/>
  <c r="N5" i="4"/>
  <c r="I17" i="5" s="1"/>
  <c r="O5" i="4"/>
  <c r="J17" i="5" s="1"/>
  <c r="P5" i="4"/>
  <c r="K17" i="5" s="1"/>
  <c r="N6" i="4"/>
  <c r="I22" i="5" s="1"/>
  <c r="N22" i="5" s="1"/>
  <c r="O6" i="4"/>
  <c r="J22" i="5" s="1"/>
  <c r="P6" i="4"/>
  <c r="N7" i="4"/>
  <c r="I27" i="5" s="1"/>
  <c r="N27" i="5" s="1"/>
  <c r="O7" i="4"/>
  <c r="J27" i="5" s="1"/>
  <c r="P7" i="4"/>
  <c r="K27" i="5" s="1"/>
  <c r="N8" i="4"/>
  <c r="O8" i="4"/>
  <c r="J32" i="5" s="1"/>
  <c r="P8" i="4"/>
  <c r="K32" i="5" s="1"/>
  <c r="N9" i="4"/>
  <c r="O9" i="4"/>
  <c r="P9" i="4"/>
  <c r="K37" i="5" s="1"/>
  <c r="N10" i="4"/>
  <c r="I42" i="5" s="1"/>
  <c r="N42" i="5" s="1"/>
  <c r="O10" i="4"/>
  <c r="P10" i="4"/>
  <c r="K42" i="5" s="1"/>
  <c r="N11" i="4"/>
  <c r="I47" i="5" s="1"/>
  <c r="O11" i="4"/>
  <c r="J47" i="5" s="1"/>
  <c r="P11" i="4"/>
  <c r="K47" i="5" s="1"/>
  <c r="N12" i="4"/>
  <c r="O12" i="4"/>
  <c r="J52" i="5" s="1"/>
  <c r="P12" i="4"/>
  <c r="K52" i="5" s="1"/>
  <c r="N13" i="4"/>
  <c r="O13" i="4"/>
  <c r="P13" i="4"/>
  <c r="K57" i="5" s="1"/>
  <c r="N14" i="4"/>
  <c r="I3" i="5" s="1"/>
  <c r="N3" i="5" s="1"/>
  <c r="O14" i="4"/>
  <c r="J3" i="5" s="1"/>
  <c r="P14" i="4"/>
  <c r="K3" i="5" s="1"/>
  <c r="N15" i="4"/>
  <c r="I8" i="5" s="1"/>
  <c r="O15" i="4"/>
  <c r="J8" i="5" s="1"/>
  <c r="P15" i="4"/>
  <c r="N16" i="4"/>
  <c r="I13" i="5" s="1"/>
  <c r="O16" i="4"/>
  <c r="J13" i="5" s="1"/>
  <c r="P16" i="4"/>
  <c r="K13" i="5" s="1"/>
  <c r="N17" i="4"/>
  <c r="I18" i="5" s="1"/>
  <c r="O17" i="4"/>
  <c r="J18" i="5" s="1"/>
  <c r="P17" i="4"/>
  <c r="N18" i="4"/>
  <c r="I23" i="5" s="1"/>
  <c r="N23" i="5" s="1"/>
  <c r="O18" i="4"/>
  <c r="J23" i="5" s="1"/>
  <c r="P18" i="4"/>
  <c r="K23" i="5" s="1"/>
  <c r="N19" i="4"/>
  <c r="O19" i="4"/>
  <c r="J28" i="5" s="1"/>
  <c r="P19" i="4"/>
  <c r="K28" i="5" s="1"/>
  <c r="N20" i="4"/>
  <c r="I33" i="5" s="1"/>
  <c r="N33" i="5" s="1"/>
  <c r="O20" i="4"/>
  <c r="J33" i="5" s="1"/>
  <c r="P20" i="4"/>
  <c r="K33" i="5" s="1"/>
  <c r="N21" i="4"/>
  <c r="O21" i="4"/>
  <c r="P21" i="4"/>
  <c r="K38" i="5" s="1"/>
  <c r="N22" i="4"/>
  <c r="I43" i="5" s="1"/>
  <c r="N43" i="5" s="1"/>
  <c r="O22" i="4"/>
  <c r="P22" i="4"/>
  <c r="K43" i="5" s="1"/>
  <c r="N23" i="4"/>
  <c r="O23" i="4"/>
  <c r="J48" i="5" s="1"/>
  <c r="P23" i="4"/>
  <c r="K48" i="5" s="1"/>
  <c r="N24" i="4"/>
  <c r="O24" i="4"/>
  <c r="P24" i="4"/>
  <c r="K53" i="5" s="1"/>
  <c r="N25" i="4"/>
  <c r="O25" i="4"/>
  <c r="P25" i="4"/>
  <c r="K58" i="5" s="1"/>
  <c r="N26" i="4"/>
  <c r="I4" i="5" s="1"/>
  <c r="N4" i="5" s="1"/>
  <c r="O26" i="4"/>
  <c r="J4" i="5" s="1"/>
  <c r="P26" i="4"/>
  <c r="K4" i="5" s="1"/>
  <c r="N27" i="4"/>
  <c r="I9" i="5" s="1"/>
  <c r="N9" i="5" s="1"/>
  <c r="O27" i="4"/>
  <c r="J9" i="5" s="1"/>
  <c r="P27" i="4"/>
  <c r="K9" i="5" s="1"/>
  <c r="N28" i="4"/>
  <c r="I14" i="5" s="1"/>
  <c r="N14" i="5" s="1"/>
  <c r="O28" i="4"/>
  <c r="J14" i="5" s="1"/>
  <c r="P28" i="4"/>
  <c r="K14" i="5" s="1"/>
  <c r="N29" i="4"/>
  <c r="I19" i="5" s="1"/>
  <c r="O29" i="4"/>
  <c r="J19" i="5" s="1"/>
  <c r="P29" i="4"/>
  <c r="K19" i="5" s="1"/>
  <c r="N30" i="4"/>
  <c r="I24" i="5" s="1"/>
  <c r="N24" i="5" s="1"/>
  <c r="O30" i="4"/>
  <c r="J24" i="5" s="1"/>
  <c r="P30" i="4"/>
  <c r="K24" i="5" s="1"/>
  <c r="N31" i="4"/>
  <c r="I29" i="5" s="1"/>
  <c r="N29" i="5" s="1"/>
  <c r="O31" i="4"/>
  <c r="J29" i="5" s="1"/>
  <c r="P31" i="4"/>
  <c r="K29" i="5" s="1"/>
  <c r="N32" i="4"/>
  <c r="O32" i="4"/>
  <c r="J34" i="5" s="1"/>
  <c r="P32" i="4"/>
  <c r="K34" i="5" s="1"/>
  <c r="N33" i="4"/>
  <c r="I39" i="5" s="1"/>
  <c r="O33" i="4"/>
  <c r="J39" i="5" s="1"/>
  <c r="P33" i="4"/>
  <c r="K39" i="5" s="1"/>
  <c r="N34" i="4"/>
  <c r="I44" i="5" s="1"/>
  <c r="N44" i="5" s="1"/>
  <c r="O34" i="4"/>
  <c r="J44" i="5" s="1"/>
  <c r="P34" i="4"/>
  <c r="K44" i="5" s="1"/>
  <c r="N35" i="4"/>
  <c r="O35" i="4"/>
  <c r="J49" i="5" s="1"/>
  <c r="P35" i="4"/>
  <c r="K49" i="5" s="1"/>
  <c r="N36" i="4"/>
  <c r="I54" i="5" s="1"/>
  <c r="N54" i="5" s="1"/>
  <c r="O36" i="4"/>
  <c r="P36" i="4"/>
  <c r="K54" i="5" s="1"/>
  <c r="N37" i="4"/>
  <c r="I59" i="5" s="1"/>
  <c r="O37" i="4"/>
  <c r="J59" i="5" s="1"/>
  <c r="P37" i="4"/>
  <c r="K59" i="5" s="1"/>
  <c r="N38" i="4"/>
  <c r="I5" i="5" s="1"/>
  <c r="N5" i="5" s="1"/>
  <c r="O38" i="4"/>
  <c r="J5" i="5" s="1"/>
  <c r="P38" i="4"/>
  <c r="K5" i="5" s="1"/>
  <c r="N39" i="4"/>
  <c r="I10" i="5" s="1"/>
  <c r="N10" i="5" s="1"/>
  <c r="O39" i="4"/>
  <c r="J10" i="5" s="1"/>
  <c r="P39" i="4"/>
  <c r="K10" i="5" s="1"/>
  <c r="N40" i="4"/>
  <c r="I15" i="5" s="1"/>
  <c r="N15" i="5" s="1"/>
  <c r="O40" i="4"/>
  <c r="J15" i="5" s="1"/>
  <c r="P40" i="4"/>
  <c r="K15" i="5" s="1"/>
  <c r="N41" i="4"/>
  <c r="I20" i="5" s="1"/>
  <c r="N20" i="5" s="1"/>
  <c r="O41" i="4"/>
  <c r="J20" i="5" s="1"/>
  <c r="P41" i="4"/>
  <c r="K20" i="5" s="1"/>
  <c r="N42" i="4"/>
  <c r="I25" i="5" s="1"/>
  <c r="N25" i="5" s="1"/>
  <c r="O42" i="4"/>
  <c r="J25" i="5" s="1"/>
  <c r="P42" i="4"/>
  <c r="K25" i="5" s="1"/>
  <c r="N43" i="4"/>
  <c r="O43" i="4"/>
  <c r="J30" i="5" s="1"/>
  <c r="P43" i="4"/>
  <c r="K30" i="5" s="1"/>
  <c r="N44" i="4"/>
  <c r="I35" i="5" s="1"/>
  <c r="N35" i="5" s="1"/>
  <c r="O44" i="4"/>
  <c r="J35" i="5" s="1"/>
  <c r="P44" i="4"/>
  <c r="K35" i="5" s="1"/>
  <c r="N45" i="4"/>
  <c r="I40" i="5" s="1"/>
  <c r="O45" i="4"/>
  <c r="J40" i="5" s="1"/>
  <c r="P45" i="4"/>
  <c r="K40" i="5" s="1"/>
  <c r="N46" i="4"/>
  <c r="I45" i="5" s="1"/>
  <c r="N45" i="5" s="1"/>
  <c r="O46" i="4"/>
  <c r="J45" i="5" s="1"/>
  <c r="P46" i="4"/>
  <c r="K45" i="5" s="1"/>
  <c r="N47" i="4"/>
  <c r="I50" i="5" s="1"/>
  <c r="O47" i="4"/>
  <c r="J50" i="5" s="1"/>
  <c r="P47" i="4"/>
  <c r="K50" i="5" s="1"/>
  <c r="N48" i="4"/>
  <c r="I55" i="5" s="1"/>
  <c r="O48" i="4"/>
  <c r="J55" i="5" s="1"/>
  <c r="P48" i="4"/>
  <c r="K55" i="5" s="1"/>
  <c r="N49" i="4"/>
  <c r="I60" i="5" s="1"/>
  <c r="O49" i="4"/>
  <c r="J60" i="5" s="1"/>
  <c r="P49" i="4"/>
  <c r="K60" i="5" s="1"/>
  <c r="N50" i="4"/>
  <c r="I6" i="5" s="1"/>
  <c r="O50" i="4"/>
  <c r="J6" i="5" s="1"/>
  <c r="P50" i="4"/>
  <c r="K6" i="5" s="1"/>
  <c r="N51" i="4"/>
  <c r="I11" i="5" s="1"/>
  <c r="O51" i="4"/>
  <c r="J11" i="5" s="1"/>
  <c r="P51" i="4"/>
  <c r="K11" i="5" s="1"/>
  <c r="N52" i="4"/>
  <c r="I16" i="5" s="1"/>
  <c r="N16" i="5" s="1"/>
  <c r="O52" i="4"/>
  <c r="J16" i="5" s="1"/>
  <c r="P52" i="4"/>
  <c r="K16" i="5" s="1"/>
  <c r="N53" i="4"/>
  <c r="I21" i="5" s="1"/>
  <c r="N21" i="5" s="1"/>
  <c r="O53" i="4"/>
  <c r="J21" i="5" s="1"/>
  <c r="P53" i="4"/>
  <c r="K21" i="5" s="1"/>
  <c r="N54" i="4"/>
  <c r="I26" i="5" s="1"/>
  <c r="N26" i="5" s="1"/>
  <c r="O54" i="4"/>
  <c r="J26" i="5" s="1"/>
  <c r="P54" i="4"/>
  <c r="K26" i="5" s="1"/>
  <c r="N55" i="4"/>
  <c r="I31" i="5" s="1"/>
  <c r="N31" i="5" s="1"/>
  <c r="O55" i="4"/>
  <c r="J31" i="5" s="1"/>
  <c r="P55" i="4"/>
  <c r="K31" i="5" s="1"/>
  <c r="N56" i="4"/>
  <c r="O56" i="4"/>
  <c r="J36" i="5" s="1"/>
  <c r="P56" i="4"/>
  <c r="K36" i="5" s="1"/>
  <c r="N57" i="4"/>
  <c r="I41" i="5" s="1"/>
  <c r="N41" i="5" s="1"/>
  <c r="O57" i="4"/>
  <c r="P57" i="4"/>
  <c r="K41" i="5" s="1"/>
  <c r="N58" i="4"/>
  <c r="I46" i="5" s="1"/>
  <c r="N46" i="5" s="1"/>
  <c r="O58" i="4"/>
  <c r="J46" i="5" s="1"/>
  <c r="P58" i="4"/>
  <c r="K46" i="5" s="1"/>
  <c r="N59" i="4"/>
  <c r="I51" i="5" s="1"/>
  <c r="O59" i="4"/>
  <c r="J51" i="5" s="1"/>
  <c r="P59" i="4"/>
  <c r="K51" i="5" s="1"/>
  <c r="N60" i="4"/>
  <c r="O60" i="4"/>
  <c r="J56" i="5" s="1"/>
  <c r="P60" i="4"/>
  <c r="K56" i="5" s="1"/>
  <c r="N61" i="4"/>
  <c r="I61" i="5" s="1"/>
  <c r="N61" i="5" s="1"/>
  <c r="O61" i="4"/>
  <c r="P61" i="4"/>
  <c r="K61" i="5" s="1"/>
  <c r="O2" i="4"/>
  <c r="J2" i="5" s="1"/>
  <c r="P2" i="4"/>
  <c r="K2" i="5" s="1"/>
  <c r="N2" i="4"/>
  <c r="I2" i="5" s="1"/>
  <c r="N51" i="5" l="1"/>
  <c r="N47" i="5"/>
  <c r="N49" i="5"/>
  <c r="N50" i="5"/>
  <c r="N55" i="5"/>
  <c r="N60" i="5"/>
  <c r="N40" i="5"/>
  <c r="N59" i="5"/>
  <c r="N39" i="5"/>
  <c r="N6" i="5"/>
  <c r="R50" i="5"/>
  <c r="S50" i="5" s="1"/>
  <c r="P50" i="5"/>
  <c r="R42" i="5"/>
  <c r="S42" i="5" s="1"/>
  <c r="P42" i="5"/>
  <c r="N37" i="5"/>
  <c r="P46" i="5"/>
  <c r="N11" i="5"/>
  <c r="N8" i="5"/>
  <c r="N7" i="5"/>
  <c r="N38" i="5"/>
  <c r="P55" i="5"/>
  <c r="P39" i="5"/>
  <c r="P23" i="5"/>
  <c r="P7" i="5"/>
  <c r="R52" i="5"/>
  <c r="S52" i="5" s="1"/>
  <c r="S36" i="5"/>
  <c r="R58" i="5"/>
  <c r="S58" i="5" s="1"/>
  <c r="P58" i="5"/>
  <c r="N53" i="5"/>
  <c r="N2" i="5"/>
  <c r="N13" i="5"/>
  <c r="N12" i="5"/>
  <c r="P56" i="5"/>
  <c r="R56" i="5"/>
  <c r="S56" i="5" s="1"/>
  <c r="P48" i="5"/>
  <c r="R48" i="5"/>
  <c r="S48" i="5" s="1"/>
  <c r="P40" i="5"/>
  <c r="R40" i="5"/>
  <c r="S40" i="5" s="1"/>
  <c r="P54" i="5"/>
  <c r="P38" i="5"/>
  <c r="R51" i="5"/>
  <c r="S51" i="5" s="1"/>
  <c r="S35" i="5"/>
  <c r="R19" i="5"/>
  <c r="S19" i="5" s="1"/>
  <c r="R3" i="5"/>
  <c r="S3" i="5" s="1"/>
  <c r="R61" i="5"/>
  <c r="S61" i="5" s="1"/>
  <c r="P61" i="5"/>
  <c r="R57" i="5"/>
  <c r="S57" i="5" s="1"/>
  <c r="P57" i="5"/>
  <c r="N56" i="5"/>
  <c r="R53" i="5"/>
  <c r="S53" i="5" s="1"/>
  <c r="P53" i="5"/>
  <c r="N52" i="5"/>
  <c r="R49" i="5"/>
  <c r="S49" i="5" s="1"/>
  <c r="P49" i="5"/>
  <c r="N48" i="5"/>
  <c r="R45" i="5"/>
  <c r="S45" i="5" s="1"/>
  <c r="P45" i="5"/>
  <c r="R41" i="5"/>
  <c r="S41" i="5" s="1"/>
  <c r="P41" i="5"/>
  <c r="R37" i="5"/>
  <c r="S37" i="5" s="1"/>
  <c r="P37" i="5"/>
  <c r="N36" i="5"/>
  <c r="N30" i="5"/>
  <c r="N28" i="5"/>
  <c r="S2" i="5"/>
  <c r="P15" i="5"/>
  <c r="S60" i="5"/>
  <c r="S44" i="5"/>
  <c r="S28" i="5"/>
  <c r="R11" i="5"/>
  <c r="S11" i="5" s="1"/>
  <c r="N19" i="5"/>
  <c r="R25" i="5"/>
  <c r="S25" i="5" s="1"/>
  <c r="P25" i="5"/>
  <c r="R21" i="5"/>
  <c r="S21" i="5" s="1"/>
  <c r="R17" i="5"/>
  <c r="S17" i="5" s="1"/>
  <c r="R13" i="5"/>
  <c r="S13" i="5" s="1"/>
  <c r="R9" i="5"/>
  <c r="S9" i="5" s="1"/>
  <c r="R5" i="5"/>
  <c r="S5" i="5" s="1"/>
  <c r="R34" i="5"/>
  <c r="S34" i="5" s="1"/>
  <c r="R33" i="5"/>
  <c r="S33" i="5" s="1"/>
  <c r="P33" i="5"/>
  <c r="P32" i="5"/>
  <c r="R30" i="5"/>
  <c r="S30" i="5" s="1"/>
  <c r="R29" i="5"/>
  <c r="S29" i="5" s="1"/>
  <c r="P29" i="5"/>
  <c r="P28" i="5"/>
  <c r="R26" i="5"/>
  <c r="S26" i="5" s="1"/>
  <c r="P34" i="5"/>
  <c r="P26" i="5"/>
  <c r="P21" i="5"/>
  <c r="P17" i="5"/>
  <c r="P13" i="5"/>
  <c r="P9" i="5"/>
  <c r="P5" i="5"/>
  <c r="P63" i="5" s="1"/>
  <c r="C364" i="3"/>
  <c r="B363" i="3"/>
  <c r="C363" i="3"/>
  <c r="D363" i="3"/>
  <c r="B364" i="3"/>
  <c r="D364" i="3"/>
  <c r="B365" i="3"/>
  <c r="C365" i="3"/>
  <c r="D365" i="3"/>
  <c r="B366" i="3"/>
  <c r="C366" i="3"/>
  <c r="D366" i="3"/>
  <c r="A366" i="3"/>
  <c r="A365" i="3"/>
  <c r="A364" i="3"/>
  <c r="A363" i="3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EL75" i="2"/>
  <c r="EM75" i="2"/>
  <c r="EN75" i="2"/>
  <c r="EO75" i="2"/>
  <c r="EP75" i="2"/>
  <c r="EQ75" i="2"/>
  <c r="ER75" i="2"/>
  <c r="ES75" i="2"/>
  <c r="ET75" i="2"/>
  <c r="EU75" i="2"/>
  <c r="EV75" i="2"/>
  <c r="EW75" i="2"/>
  <c r="EX75" i="2"/>
  <c r="EY75" i="2"/>
  <c r="EZ75" i="2"/>
  <c r="FA75" i="2"/>
  <c r="FB75" i="2"/>
  <c r="FC75" i="2"/>
  <c r="FD75" i="2"/>
  <c r="FE75" i="2"/>
  <c r="FF75" i="2"/>
  <c r="FG75" i="2"/>
  <c r="FH75" i="2"/>
  <c r="FI75" i="2"/>
  <c r="FJ75" i="2"/>
  <c r="FK75" i="2"/>
  <c r="FL75" i="2"/>
  <c r="FM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GU75" i="2"/>
  <c r="GV75" i="2"/>
  <c r="GW75" i="2"/>
  <c r="GX75" i="2"/>
  <c r="GY75" i="2"/>
  <c r="GZ75" i="2"/>
  <c r="HA75" i="2"/>
  <c r="HB75" i="2"/>
  <c r="HC75" i="2"/>
  <c r="HD75" i="2"/>
  <c r="HE75" i="2"/>
  <c r="HF75" i="2"/>
  <c r="HG75" i="2"/>
  <c r="HH75" i="2"/>
  <c r="HI75" i="2"/>
  <c r="HJ75" i="2"/>
  <c r="HK75" i="2"/>
  <c r="HL75" i="2"/>
  <c r="HM75" i="2"/>
  <c r="HN75" i="2"/>
  <c r="HO75" i="2"/>
  <c r="HP75" i="2"/>
  <c r="HQ75" i="2"/>
  <c r="HR75" i="2"/>
  <c r="HS75" i="2"/>
  <c r="HT75" i="2"/>
  <c r="HU75" i="2"/>
  <c r="HV75" i="2"/>
  <c r="HW75" i="2"/>
  <c r="HX75" i="2"/>
  <c r="HY75" i="2"/>
  <c r="HZ75" i="2"/>
  <c r="IA75" i="2"/>
  <c r="IB75" i="2"/>
  <c r="IC75" i="2"/>
  <c r="ID75" i="2"/>
  <c r="IE75" i="2"/>
  <c r="IF75" i="2"/>
  <c r="IG75" i="2"/>
  <c r="IH75" i="2"/>
  <c r="II75" i="2"/>
  <c r="IJ75" i="2"/>
  <c r="IK75" i="2"/>
  <c r="IL75" i="2"/>
  <c r="IM75" i="2"/>
  <c r="IN75" i="2"/>
  <c r="IO75" i="2"/>
  <c r="IP75" i="2"/>
  <c r="IQ75" i="2"/>
  <c r="IR75" i="2"/>
  <c r="IS75" i="2"/>
  <c r="IT75" i="2"/>
  <c r="IU75" i="2"/>
  <c r="IV75" i="2"/>
  <c r="IW75" i="2"/>
  <c r="IX75" i="2"/>
  <c r="IY75" i="2"/>
  <c r="IZ75" i="2"/>
  <c r="JA75" i="2"/>
  <c r="JB75" i="2"/>
  <c r="JC75" i="2"/>
  <c r="JD75" i="2"/>
  <c r="JE75" i="2"/>
  <c r="JF75" i="2"/>
  <c r="JG75" i="2"/>
  <c r="JH75" i="2"/>
  <c r="JI75" i="2"/>
  <c r="JJ75" i="2"/>
  <c r="JK75" i="2"/>
  <c r="JL75" i="2"/>
  <c r="JM75" i="2"/>
  <c r="JN75" i="2"/>
  <c r="JO75" i="2"/>
  <c r="JP75" i="2"/>
  <c r="JQ75" i="2"/>
  <c r="JR75" i="2"/>
  <c r="JS75" i="2"/>
  <c r="JT75" i="2"/>
  <c r="JU75" i="2"/>
  <c r="JV75" i="2"/>
  <c r="JW75" i="2"/>
  <c r="JX75" i="2"/>
  <c r="JY75" i="2"/>
  <c r="JZ75" i="2"/>
  <c r="KA75" i="2"/>
  <c r="KB75" i="2"/>
  <c r="KC75" i="2"/>
  <c r="KD75" i="2"/>
  <c r="KE75" i="2"/>
  <c r="KF75" i="2"/>
  <c r="KG75" i="2"/>
  <c r="KH75" i="2"/>
  <c r="KI75" i="2"/>
  <c r="KJ75" i="2"/>
  <c r="KK75" i="2"/>
  <c r="KL75" i="2"/>
  <c r="KM75" i="2"/>
  <c r="KN75" i="2"/>
  <c r="KO75" i="2"/>
  <c r="KP75" i="2"/>
  <c r="KQ75" i="2"/>
  <c r="KR75" i="2"/>
  <c r="KS75" i="2"/>
  <c r="KT75" i="2"/>
  <c r="KU75" i="2"/>
  <c r="KV75" i="2"/>
  <c r="KW75" i="2"/>
  <c r="KX75" i="2"/>
  <c r="KY75" i="2"/>
  <c r="KZ75" i="2"/>
  <c r="LA75" i="2"/>
  <c r="LB75" i="2"/>
  <c r="LC75" i="2"/>
  <c r="LD75" i="2"/>
  <c r="LE75" i="2"/>
  <c r="LF75" i="2"/>
  <c r="LG75" i="2"/>
  <c r="LH75" i="2"/>
  <c r="LI75" i="2"/>
  <c r="LJ75" i="2"/>
  <c r="LK75" i="2"/>
  <c r="LL75" i="2"/>
  <c r="LM75" i="2"/>
  <c r="LN75" i="2"/>
  <c r="LO75" i="2"/>
  <c r="LP75" i="2"/>
  <c r="LQ75" i="2"/>
  <c r="LR75" i="2"/>
  <c r="LS75" i="2"/>
  <c r="LT75" i="2"/>
  <c r="LU75" i="2"/>
  <c r="LV75" i="2"/>
  <c r="LW75" i="2"/>
  <c r="LX75" i="2"/>
  <c r="LY75" i="2"/>
  <c r="LZ75" i="2"/>
  <c r="MA75" i="2"/>
  <c r="MB75" i="2"/>
  <c r="MC75" i="2"/>
  <c r="MD75" i="2"/>
  <c r="ME75" i="2"/>
  <c r="MF75" i="2"/>
  <c r="MG75" i="2"/>
  <c r="MH75" i="2"/>
  <c r="MI75" i="2"/>
  <c r="MJ75" i="2"/>
  <c r="MK75" i="2"/>
  <c r="ML75" i="2"/>
  <c r="MM75" i="2"/>
  <c r="MN75" i="2"/>
  <c r="MO75" i="2"/>
  <c r="MP75" i="2"/>
  <c r="MQ75" i="2"/>
  <c r="MR75" i="2"/>
  <c r="MS75" i="2"/>
  <c r="MT75" i="2"/>
  <c r="MU75" i="2"/>
  <c r="MV75" i="2"/>
  <c r="MW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EL76" i="2"/>
  <c r="EM76" i="2"/>
  <c r="EN76" i="2"/>
  <c r="EO76" i="2"/>
  <c r="EP76" i="2"/>
  <c r="EQ76" i="2"/>
  <c r="ER76" i="2"/>
  <c r="ES76" i="2"/>
  <c r="ET76" i="2"/>
  <c r="EU76" i="2"/>
  <c r="EV76" i="2"/>
  <c r="EW76" i="2"/>
  <c r="EX76" i="2"/>
  <c r="EY76" i="2"/>
  <c r="EZ76" i="2"/>
  <c r="FA76" i="2"/>
  <c r="FB76" i="2"/>
  <c r="FC76" i="2"/>
  <c r="FD76" i="2"/>
  <c r="FE76" i="2"/>
  <c r="FF76" i="2"/>
  <c r="FG76" i="2"/>
  <c r="FH76" i="2"/>
  <c r="FI76" i="2"/>
  <c r="FJ76" i="2"/>
  <c r="FK76" i="2"/>
  <c r="FL76" i="2"/>
  <c r="FM76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GY76" i="2"/>
  <c r="GZ76" i="2"/>
  <c r="HA76" i="2"/>
  <c r="HB76" i="2"/>
  <c r="HC76" i="2"/>
  <c r="HD76" i="2"/>
  <c r="HE76" i="2"/>
  <c r="HF76" i="2"/>
  <c r="HG76" i="2"/>
  <c r="HH76" i="2"/>
  <c r="HI76" i="2"/>
  <c r="HJ76" i="2"/>
  <c r="HK76" i="2"/>
  <c r="HL76" i="2"/>
  <c r="HM76" i="2"/>
  <c r="HN76" i="2"/>
  <c r="HO76" i="2"/>
  <c r="HP76" i="2"/>
  <c r="HQ76" i="2"/>
  <c r="HR76" i="2"/>
  <c r="HS76" i="2"/>
  <c r="HT76" i="2"/>
  <c r="HU76" i="2"/>
  <c r="HV76" i="2"/>
  <c r="HW76" i="2"/>
  <c r="HX76" i="2"/>
  <c r="HY76" i="2"/>
  <c r="HZ76" i="2"/>
  <c r="IA76" i="2"/>
  <c r="IB76" i="2"/>
  <c r="IC76" i="2"/>
  <c r="ID76" i="2"/>
  <c r="IE76" i="2"/>
  <c r="IF76" i="2"/>
  <c r="IG76" i="2"/>
  <c r="IH76" i="2"/>
  <c r="II76" i="2"/>
  <c r="IJ76" i="2"/>
  <c r="IK76" i="2"/>
  <c r="IL76" i="2"/>
  <c r="IM76" i="2"/>
  <c r="IN76" i="2"/>
  <c r="IO76" i="2"/>
  <c r="IP76" i="2"/>
  <c r="IQ76" i="2"/>
  <c r="IR76" i="2"/>
  <c r="IS76" i="2"/>
  <c r="IT76" i="2"/>
  <c r="IU76" i="2"/>
  <c r="IV76" i="2"/>
  <c r="IW76" i="2"/>
  <c r="IX76" i="2"/>
  <c r="IY76" i="2"/>
  <c r="IZ76" i="2"/>
  <c r="JA76" i="2"/>
  <c r="JB76" i="2"/>
  <c r="JC76" i="2"/>
  <c r="JD76" i="2"/>
  <c r="JE76" i="2"/>
  <c r="JF76" i="2"/>
  <c r="JG76" i="2"/>
  <c r="JH76" i="2"/>
  <c r="JI76" i="2"/>
  <c r="JJ76" i="2"/>
  <c r="JK76" i="2"/>
  <c r="JL76" i="2"/>
  <c r="JM76" i="2"/>
  <c r="JN76" i="2"/>
  <c r="JO76" i="2"/>
  <c r="JP76" i="2"/>
  <c r="JQ76" i="2"/>
  <c r="JR76" i="2"/>
  <c r="JS76" i="2"/>
  <c r="JT76" i="2"/>
  <c r="JU76" i="2"/>
  <c r="JV76" i="2"/>
  <c r="JW76" i="2"/>
  <c r="JX76" i="2"/>
  <c r="JY76" i="2"/>
  <c r="JZ76" i="2"/>
  <c r="KA76" i="2"/>
  <c r="KB76" i="2"/>
  <c r="KC76" i="2"/>
  <c r="KD76" i="2"/>
  <c r="KE76" i="2"/>
  <c r="KF76" i="2"/>
  <c r="KG76" i="2"/>
  <c r="KH76" i="2"/>
  <c r="KI76" i="2"/>
  <c r="KJ76" i="2"/>
  <c r="KK76" i="2"/>
  <c r="KL76" i="2"/>
  <c r="KM76" i="2"/>
  <c r="KN76" i="2"/>
  <c r="KO76" i="2"/>
  <c r="KP76" i="2"/>
  <c r="KQ76" i="2"/>
  <c r="KR76" i="2"/>
  <c r="KS76" i="2"/>
  <c r="KT76" i="2"/>
  <c r="KU76" i="2"/>
  <c r="KV76" i="2"/>
  <c r="KW76" i="2"/>
  <c r="KX76" i="2"/>
  <c r="KY76" i="2"/>
  <c r="KZ76" i="2"/>
  <c r="LA76" i="2"/>
  <c r="LB76" i="2"/>
  <c r="LC76" i="2"/>
  <c r="LD76" i="2"/>
  <c r="LE76" i="2"/>
  <c r="LF76" i="2"/>
  <c r="LG76" i="2"/>
  <c r="LH76" i="2"/>
  <c r="LI76" i="2"/>
  <c r="LJ76" i="2"/>
  <c r="LK76" i="2"/>
  <c r="LL76" i="2"/>
  <c r="LM76" i="2"/>
  <c r="LN76" i="2"/>
  <c r="LO76" i="2"/>
  <c r="LP76" i="2"/>
  <c r="LQ76" i="2"/>
  <c r="LR76" i="2"/>
  <c r="LS76" i="2"/>
  <c r="LT76" i="2"/>
  <c r="LU76" i="2"/>
  <c r="LV76" i="2"/>
  <c r="LW76" i="2"/>
  <c r="LX76" i="2"/>
  <c r="LY76" i="2"/>
  <c r="LZ76" i="2"/>
  <c r="MA76" i="2"/>
  <c r="MB76" i="2"/>
  <c r="MC76" i="2"/>
  <c r="MD76" i="2"/>
  <c r="ME76" i="2"/>
  <c r="MF76" i="2"/>
  <c r="MG76" i="2"/>
  <c r="MH76" i="2"/>
  <c r="MI76" i="2"/>
  <c r="MJ76" i="2"/>
  <c r="MK76" i="2"/>
  <c r="ML76" i="2"/>
  <c r="MM76" i="2"/>
  <c r="MN76" i="2"/>
  <c r="MO76" i="2"/>
  <c r="MP76" i="2"/>
  <c r="MQ76" i="2"/>
  <c r="MR76" i="2"/>
  <c r="MS76" i="2"/>
  <c r="MT76" i="2"/>
  <c r="MU76" i="2"/>
  <c r="MV76" i="2"/>
  <c r="MW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EL77" i="2"/>
  <c r="EM77" i="2"/>
  <c r="EN77" i="2"/>
  <c r="EO77" i="2"/>
  <c r="EP77" i="2"/>
  <c r="EQ77" i="2"/>
  <c r="ER77" i="2"/>
  <c r="ES77" i="2"/>
  <c r="ET77" i="2"/>
  <c r="EU77" i="2"/>
  <c r="EV77" i="2"/>
  <c r="EW77" i="2"/>
  <c r="EX77" i="2"/>
  <c r="EY77" i="2"/>
  <c r="EZ77" i="2"/>
  <c r="FA77" i="2"/>
  <c r="FB77" i="2"/>
  <c r="FC77" i="2"/>
  <c r="FD77" i="2"/>
  <c r="FE77" i="2"/>
  <c r="FF77" i="2"/>
  <c r="FG77" i="2"/>
  <c r="FH77" i="2"/>
  <c r="FI77" i="2"/>
  <c r="FJ77" i="2"/>
  <c r="FK77" i="2"/>
  <c r="FL77" i="2"/>
  <c r="FM77" i="2"/>
  <c r="FN77" i="2"/>
  <c r="FO7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GG77" i="2"/>
  <c r="GH77" i="2"/>
  <c r="GI77" i="2"/>
  <c r="GJ77" i="2"/>
  <c r="GK77" i="2"/>
  <c r="GL77" i="2"/>
  <c r="GM77" i="2"/>
  <c r="GN77" i="2"/>
  <c r="GO77" i="2"/>
  <c r="GP77" i="2"/>
  <c r="GQ77" i="2"/>
  <c r="GR77" i="2"/>
  <c r="GS77" i="2"/>
  <c r="GT77" i="2"/>
  <c r="GU77" i="2"/>
  <c r="GV77" i="2"/>
  <c r="GW77" i="2"/>
  <c r="GX77" i="2"/>
  <c r="GY77" i="2"/>
  <c r="GZ77" i="2"/>
  <c r="HA77" i="2"/>
  <c r="HB77" i="2"/>
  <c r="HC77" i="2"/>
  <c r="HD77" i="2"/>
  <c r="HE77" i="2"/>
  <c r="HF77" i="2"/>
  <c r="HG77" i="2"/>
  <c r="HH77" i="2"/>
  <c r="HI77" i="2"/>
  <c r="HJ77" i="2"/>
  <c r="HK77" i="2"/>
  <c r="HL77" i="2"/>
  <c r="HM77" i="2"/>
  <c r="HN77" i="2"/>
  <c r="HO77" i="2"/>
  <c r="HP77" i="2"/>
  <c r="HQ77" i="2"/>
  <c r="HR77" i="2"/>
  <c r="HS77" i="2"/>
  <c r="HT77" i="2"/>
  <c r="HU77" i="2"/>
  <c r="HV77" i="2"/>
  <c r="HW77" i="2"/>
  <c r="HX77" i="2"/>
  <c r="HY77" i="2"/>
  <c r="HZ77" i="2"/>
  <c r="IA77" i="2"/>
  <c r="IB77" i="2"/>
  <c r="IC77" i="2"/>
  <c r="ID77" i="2"/>
  <c r="IE77" i="2"/>
  <c r="IF77" i="2"/>
  <c r="IG77" i="2"/>
  <c r="IH77" i="2"/>
  <c r="II77" i="2"/>
  <c r="IJ77" i="2"/>
  <c r="IK77" i="2"/>
  <c r="IL77" i="2"/>
  <c r="IM77" i="2"/>
  <c r="IN77" i="2"/>
  <c r="IO77" i="2"/>
  <c r="IP77" i="2"/>
  <c r="IQ77" i="2"/>
  <c r="IR77" i="2"/>
  <c r="IS77" i="2"/>
  <c r="IT77" i="2"/>
  <c r="IU77" i="2"/>
  <c r="IV77" i="2"/>
  <c r="IW77" i="2"/>
  <c r="IX77" i="2"/>
  <c r="IY77" i="2"/>
  <c r="IZ77" i="2"/>
  <c r="JA77" i="2"/>
  <c r="JB77" i="2"/>
  <c r="JC77" i="2"/>
  <c r="JD77" i="2"/>
  <c r="JE77" i="2"/>
  <c r="JF77" i="2"/>
  <c r="JG77" i="2"/>
  <c r="JH77" i="2"/>
  <c r="JI77" i="2"/>
  <c r="JJ77" i="2"/>
  <c r="JK77" i="2"/>
  <c r="JL77" i="2"/>
  <c r="JM77" i="2"/>
  <c r="JN77" i="2"/>
  <c r="JO77" i="2"/>
  <c r="JP77" i="2"/>
  <c r="JQ77" i="2"/>
  <c r="JR77" i="2"/>
  <c r="JS77" i="2"/>
  <c r="JT77" i="2"/>
  <c r="JU77" i="2"/>
  <c r="JV77" i="2"/>
  <c r="JW77" i="2"/>
  <c r="JX77" i="2"/>
  <c r="JY77" i="2"/>
  <c r="JZ77" i="2"/>
  <c r="KA77" i="2"/>
  <c r="KB77" i="2"/>
  <c r="KC77" i="2"/>
  <c r="KD77" i="2"/>
  <c r="KE77" i="2"/>
  <c r="KF77" i="2"/>
  <c r="KG77" i="2"/>
  <c r="KH77" i="2"/>
  <c r="KI77" i="2"/>
  <c r="KJ77" i="2"/>
  <c r="KK77" i="2"/>
  <c r="KL77" i="2"/>
  <c r="KM77" i="2"/>
  <c r="KN77" i="2"/>
  <c r="KO77" i="2"/>
  <c r="KP77" i="2"/>
  <c r="KQ77" i="2"/>
  <c r="KR77" i="2"/>
  <c r="KS77" i="2"/>
  <c r="KT77" i="2"/>
  <c r="KU77" i="2"/>
  <c r="KV77" i="2"/>
  <c r="KW77" i="2"/>
  <c r="KX77" i="2"/>
  <c r="KY77" i="2"/>
  <c r="KZ77" i="2"/>
  <c r="LA77" i="2"/>
  <c r="LB77" i="2"/>
  <c r="LC77" i="2"/>
  <c r="LD77" i="2"/>
  <c r="LE77" i="2"/>
  <c r="LF77" i="2"/>
  <c r="LG77" i="2"/>
  <c r="LH77" i="2"/>
  <c r="LI77" i="2"/>
  <c r="LJ77" i="2"/>
  <c r="LK77" i="2"/>
  <c r="LL77" i="2"/>
  <c r="LM77" i="2"/>
  <c r="LN77" i="2"/>
  <c r="LO77" i="2"/>
  <c r="LP77" i="2"/>
  <c r="LQ77" i="2"/>
  <c r="LR77" i="2"/>
  <c r="LS77" i="2"/>
  <c r="LT77" i="2"/>
  <c r="LU77" i="2"/>
  <c r="LV77" i="2"/>
  <c r="LW77" i="2"/>
  <c r="LX77" i="2"/>
  <c r="LY77" i="2"/>
  <c r="LZ77" i="2"/>
  <c r="MA77" i="2"/>
  <c r="MB77" i="2"/>
  <c r="MC77" i="2"/>
  <c r="MD77" i="2"/>
  <c r="ME77" i="2"/>
  <c r="MF77" i="2"/>
  <c r="MG77" i="2"/>
  <c r="MH77" i="2"/>
  <c r="MI77" i="2"/>
  <c r="MJ77" i="2"/>
  <c r="MK77" i="2"/>
  <c r="ML77" i="2"/>
  <c r="MM77" i="2"/>
  <c r="MN77" i="2"/>
  <c r="MO77" i="2"/>
  <c r="MP77" i="2"/>
  <c r="MQ77" i="2"/>
  <c r="MR77" i="2"/>
  <c r="MS77" i="2"/>
  <c r="MT77" i="2"/>
  <c r="MU77" i="2"/>
  <c r="MV77" i="2"/>
  <c r="MW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EM78" i="2"/>
  <c r="EN78" i="2"/>
  <c r="EO78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HF78" i="2"/>
  <c r="HG78" i="2"/>
  <c r="HH78" i="2"/>
  <c r="HI78" i="2"/>
  <c r="HJ78" i="2"/>
  <c r="HK78" i="2"/>
  <c r="HL78" i="2"/>
  <c r="HM78" i="2"/>
  <c r="HN78" i="2"/>
  <c r="HO78" i="2"/>
  <c r="HP78" i="2"/>
  <c r="HQ78" i="2"/>
  <c r="HR78" i="2"/>
  <c r="HS78" i="2"/>
  <c r="HT78" i="2"/>
  <c r="HU78" i="2"/>
  <c r="HV78" i="2"/>
  <c r="HW78" i="2"/>
  <c r="HX78" i="2"/>
  <c r="HY78" i="2"/>
  <c r="HZ78" i="2"/>
  <c r="IA78" i="2"/>
  <c r="IB78" i="2"/>
  <c r="IC78" i="2"/>
  <c r="ID78" i="2"/>
  <c r="IE78" i="2"/>
  <c r="IF78" i="2"/>
  <c r="IG78" i="2"/>
  <c r="IH78" i="2"/>
  <c r="II78" i="2"/>
  <c r="IJ78" i="2"/>
  <c r="IK78" i="2"/>
  <c r="IL78" i="2"/>
  <c r="IM78" i="2"/>
  <c r="IN78" i="2"/>
  <c r="IO78" i="2"/>
  <c r="IP78" i="2"/>
  <c r="IQ78" i="2"/>
  <c r="IR78" i="2"/>
  <c r="IS78" i="2"/>
  <c r="IT78" i="2"/>
  <c r="IU78" i="2"/>
  <c r="IV78" i="2"/>
  <c r="IW78" i="2"/>
  <c r="IX78" i="2"/>
  <c r="IY78" i="2"/>
  <c r="IZ78" i="2"/>
  <c r="JA78" i="2"/>
  <c r="JB78" i="2"/>
  <c r="JC78" i="2"/>
  <c r="JD78" i="2"/>
  <c r="JE78" i="2"/>
  <c r="JF78" i="2"/>
  <c r="JG78" i="2"/>
  <c r="JH78" i="2"/>
  <c r="JI78" i="2"/>
  <c r="JJ78" i="2"/>
  <c r="JK78" i="2"/>
  <c r="JL78" i="2"/>
  <c r="JM78" i="2"/>
  <c r="JN78" i="2"/>
  <c r="JO78" i="2"/>
  <c r="JP78" i="2"/>
  <c r="JQ78" i="2"/>
  <c r="JR78" i="2"/>
  <c r="JS78" i="2"/>
  <c r="JT78" i="2"/>
  <c r="JU78" i="2"/>
  <c r="JV78" i="2"/>
  <c r="JW78" i="2"/>
  <c r="JX78" i="2"/>
  <c r="JY78" i="2"/>
  <c r="JZ78" i="2"/>
  <c r="KA78" i="2"/>
  <c r="KB78" i="2"/>
  <c r="KC78" i="2"/>
  <c r="KD78" i="2"/>
  <c r="KE78" i="2"/>
  <c r="KF78" i="2"/>
  <c r="KG78" i="2"/>
  <c r="KH78" i="2"/>
  <c r="KI78" i="2"/>
  <c r="KJ78" i="2"/>
  <c r="KK78" i="2"/>
  <c r="KL78" i="2"/>
  <c r="KM78" i="2"/>
  <c r="KN78" i="2"/>
  <c r="KO78" i="2"/>
  <c r="KP78" i="2"/>
  <c r="KQ78" i="2"/>
  <c r="KR78" i="2"/>
  <c r="KS78" i="2"/>
  <c r="KT78" i="2"/>
  <c r="KU78" i="2"/>
  <c r="KV78" i="2"/>
  <c r="KW78" i="2"/>
  <c r="KX78" i="2"/>
  <c r="KY78" i="2"/>
  <c r="KZ78" i="2"/>
  <c r="LA78" i="2"/>
  <c r="LB78" i="2"/>
  <c r="LC78" i="2"/>
  <c r="LD78" i="2"/>
  <c r="LE78" i="2"/>
  <c r="LF78" i="2"/>
  <c r="LG78" i="2"/>
  <c r="LH78" i="2"/>
  <c r="LI78" i="2"/>
  <c r="LJ78" i="2"/>
  <c r="LK78" i="2"/>
  <c r="LL78" i="2"/>
  <c r="LM78" i="2"/>
  <c r="LN78" i="2"/>
  <c r="LO78" i="2"/>
  <c r="LP78" i="2"/>
  <c r="LQ78" i="2"/>
  <c r="LR78" i="2"/>
  <c r="LS78" i="2"/>
  <c r="LT78" i="2"/>
  <c r="LU78" i="2"/>
  <c r="LV78" i="2"/>
  <c r="LW78" i="2"/>
  <c r="LX78" i="2"/>
  <c r="LY78" i="2"/>
  <c r="LZ78" i="2"/>
  <c r="MA78" i="2"/>
  <c r="MB78" i="2"/>
  <c r="MC78" i="2"/>
  <c r="MD78" i="2"/>
  <c r="ME78" i="2"/>
  <c r="MF78" i="2"/>
  <c r="MG78" i="2"/>
  <c r="MH78" i="2"/>
  <c r="MI78" i="2"/>
  <c r="MJ78" i="2"/>
  <c r="MK78" i="2"/>
  <c r="ML78" i="2"/>
  <c r="MM78" i="2"/>
  <c r="MN78" i="2"/>
  <c r="MO78" i="2"/>
  <c r="MP78" i="2"/>
  <c r="MQ78" i="2"/>
  <c r="MR78" i="2"/>
  <c r="MS78" i="2"/>
  <c r="MT78" i="2"/>
  <c r="MU78" i="2"/>
  <c r="MV78" i="2"/>
  <c r="MW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EL79" i="2"/>
  <c r="EM79" i="2"/>
  <c r="EN79" i="2"/>
  <c r="EO79" i="2"/>
  <c r="EP79" i="2"/>
  <c r="EQ79" i="2"/>
  <c r="ER79" i="2"/>
  <c r="ES79" i="2"/>
  <c r="ET79" i="2"/>
  <c r="EU79" i="2"/>
  <c r="EV79" i="2"/>
  <c r="EW79" i="2"/>
  <c r="EX79" i="2"/>
  <c r="EY79" i="2"/>
  <c r="EZ79" i="2"/>
  <c r="FA79" i="2"/>
  <c r="FB79" i="2"/>
  <c r="FC79" i="2"/>
  <c r="FD79" i="2"/>
  <c r="FE79" i="2"/>
  <c r="FF79" i="2"/>
  <c r="FG79" i="2"/>
  <c r="FH79" i="2"/>
  <c r="FI79" i="2"/>
  <c r="FJ79" i="2"/>
  <c r="FK79" i="2"/>
  <c r="FL79" i="2"/>
  <c r="FM79" i="2"/>
  <c r="FN79" i="2"/>
  <c r="FO79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GG79" i="2"/>
  <c r="GH79" i="2"/>
  <c r="GI79" i="2"/>
  <c r="GJ79" i="2"/>
  <c r="GK79" i="2"/>
  <c r="GL79" i="2"/>
  <c r="GM79" i="2"/>
  <c r="GN79" i="2"/>
  <c r="GO79" i="2"/>
  <c r="GP79" i="2"/>
  <c r="GQ79" i="2"/>
  <c r="GR79" i="2"/>
  <c r="GS79" i="2"/>
  <c r="GT79" i="2"/>
  <c r="GU79" i="2"/>
  <c r="GV79" i="2"/>
  <c r="GW79" i="2"/>
  <c r="GX79" i="2"/>
  <c r="GY79" i="2"/>
  <c r="GZ79" i="2"/>
  <c r="HA79" i="2"/>
  <c r="HB79" i="2"/>
  <c r="HC79" i="2"/>
  <c r="HD79" i="2"/>
  <c r="HE79" i="2"/>
  <c r="HF79" i="2"/>
  <c r="HG79" i="2"/>
  <c r="HH79" i="2"/>
  <c r="HI79" i="2"/>
  <c r="HJ79" i="2"/>
  <c r="HK79" i="2"/>
  <c r="HL79" i="2"/>
  <c r="HM79" i="2"/>
  <c r="HN79" i="2"/>
  <c r="HO79" i="2"/>
  <c r="HP79" i="2"/>
  <c r="HQ79" i="2"/>
  <c r="HR79" i="2"/>
  <c r="HS79" i="2"/>
  <c r="HT79" i="2"/>
  <c r="HU79" i="2"/>
  <c r="HV79" i="2"/>
  <c r="HW79" i="2"/>
  <c r="HX79" i="2"/>
  <c r="HY79" i="2"/>
  <c r="HZ79" i="2"/>
  <c r="IA79" i="2"/>
  <c r="IB79" i="2"/>
  <c r="IC79" i="2"/>
  <c r="ID79" i="2"/>
  <c r="IE79" i="2"/>
  <c r="IF79" i="2"/>
  <c r="IG79" i="2"/>
  <c r="IH79" i="2"/>
  <c r="II79" i="2"/>
  <c r="IJ79" i="2"/>
  <c r="IK79" i="2"/>
  <c r="IL79" i="2"/>
  <c r="IM79" i="2"/>
  <c r="IN79" i="2"/>
  <c r="IO79" i="2"/>
  <c r="IP79" i="2"/>
  <c r="IQ79" i="2"/>
  <c r="IR79" i="2"/>
  <c r="IS79" i="2"/>
  <c r="IT79" i="2"/>
  <c r="IU79" i="2"/>
  <c r="IV79" i="2"/>
  <c r="IW79" i="2"/>
  <c r="IX79" i="2"/>
  <c r="IY79" i="2"/>
  <c r="IZ79" i="2"/>
  <c r="JA79" i="2"/>
  <c r="JB79" i="2"/>
  <c r="JC79" i="2"/>
  <c r="JD79" i="2"/>
  <c r="JE79" i="2"/>
  <c r="JF79" i="2"/>
  <c r="JG79" i="2"/>
  <c r="JH79" i="2"/>
  <c r="JI79" i="2"/>
  <c r="JJ79" i="2"/>
  <c r="JK79" i="2"/>
  <c r="JL79" i="2"/>
  <c r="JM79" i="2"/>
  <c r="JN79" i="2"/>
  <c r="JO79" i="2"/>
  <c r="JP79" i="2"/>
  <c r="JQ79" i="2"/>
  <c r="JR79" i="2"/>
  <c r="JS79" i="2"/>
  <c r="JT79" i="2"/>
  <c r="JU79" i="2"/>
  <c r="JV79" i="2"/>
  <c r="JW79" i="2"/>
  <c r="JX79" i="2"/>
  <c r="JY79" i="2"/>
  <c r="JZ79" i="2"/>
  <c r="KA79" i="2"/>
  <c r="KB79" i="2"/>
  <c r="KC79" i="2"/>
  <c r="KD79" i="2"/>
  <c r="KE79" i="2"/>
  <c r="KF79" i="2"/>
  <c r="KG79" i="2"/>
  <c r="KH79" i="2"/>
  <c r="KI79" i="2"/>
  <c r="KJ79" i="2"/>
  <c r="KK79" i="2"/>
  <c r="KL79" i="2"/>
  <c r="KM79" i="2"/>
  <c r="KN79" i="2"/>
  <c r="KO79" i="2"/>
  <c r="KP79" i="2"/>
  <c r="KQ79" i="2"/>
  <c r="KR79" i="2"/>
  <c r="KS79" i="2"/>
  <c r="KT79" i="2"/>
  <c r="KU79" i="2"/>
  <c r="KV79" i="2"/>
  <c r="KW79" i="2"/>
  <c r="KX79" i="2"/>
  <c r="KY79" i="2"/>
  <c r="KZ79" i="2"/>
  <c r="LA79" i="2"/>
  <c r="LB79" i="2"/>
  <c r="LC79" i="2"/>
  <c r="LD79" i="2"/>
  <c r="LE79" i="2"/>
  <c r="LF79" i="2"/>
  <c r="LG79" i="2"/>
  <c r="LH79" i="2"/>
  <c r="LI79" i="2"/>
  <c r="LJ79" i="2"/>
  <c r="LK79" i="2"/>
  <c r="LL79" i="2"/>
  <c r="LM79" i="2"/>
  <c r="LN79" i="2"/>
  <c r="LO79" i="2"/>
  <c r="LP79" i="2"/>
  <c r="LQ79" i="2"/>
  <c r="LR79" i="2"/>
  <c r="LS79" i="2"/>
  <c r="LT79" i="2"/>
  <c r="LU79" i="2"/>
  <c r="LV79" i="2"/>
  <c r="LW79" i="2"/>
  <c r="LX79" i="2"/>
  <c r="LY79" i="2"/>
  <c r="LZ79" i="2"/>
  <c r="MA79" i="2"/>
  <c r="MB79" i="2"/>
  <c r="MC79" i="2"/>
  <c r="MD79" i="2"/>
  <c r="ME79" i="2"/>
  <c r="MF79" i="2"/>
  <c r="MG79" i="2"/>
  <c r="MH79" i="2"/>
  <c r="MI79" i="2"/>
  <c r="MJ79" i="2"/>
  <c r="MK79" i="2"/>
  <c r="ML79" i="2"/>
  <c r="MM79" i="2"/>
  <c r="MN79" i="2"/>
  <c r="MO79" i="2"/>
  <c r="MP79" i="2"/>
  <c r="MQ79" i="2"/>
  <c r="MR79" i="2"/>
  <c r="MS79" i="2"/>
  <c r="MT79" i="2"/>
  <c r="MU79" i="2"/>
  <c r="MV79" i="2"/>
  <c r="MW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EL80" i="2"/>
  <c r="EM80" i="2"/>
  <c r="EN80" i="2"/>
  <c r="EO80" i="2"/>
  <c r="EP80" i="2"/>
  <c r="EQ80" i="2"/>
  <c r="ER80" i="2"/>
  <c r="ES80" i="2"/>
  <c r="ET80" i="2"/>
  <c r="EU80" i="2"/>
  <c r="EV80" i="2"/>
  <c r="EW80" i="2"/>
  <c r="EX80" i="2"/>
  <c r="EY80" i="2"/>
  <c r="EZ80" i="2"/>
  <c r="FA80" i="2"/>
  <c r="FB80" i="2"/>
  <c r="FC80" i="2"/>
  <c r="FD80" i="2"/>
  <c r="FE80" i="2"/>
  <c r="FF80" i="2"/>
  <c r="FG80" i="2"/>
  <c r="FH80" i="2"/>
  <c r="FI80" i="2"/>
  <c r="FJ80" i="2"/>
  <c r="FK80" i="2"/>
  <c r="FL80" i="2"/>
  <c r="FM80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GY80" i="2"/>
  <c r="GZ80" i="2"/>
  <c r="HA80" i="2"/>
  <c r="HB80" i="2"/>
  <c r="HC80" i="2"/>
  <c r="HD80" i="2"/>
  <c r="HE80" i="2"/>
  <c r="HF80" i="2"/>
  <c r="HG80" i="2"/>
  <c r="HH80" i="2"/>
  <c r="HI80" i="2"/>
  <c r="HJ80" i="2"/>
  <c r="HK80" i="2"/>
  <c r="HL80" i="2"/>
  <c r="HM80" i="2"/>
  <c r="HN80" i="2"/>
  <c r="HO80" i="2"/>
  <c r="HP80" i="2"/>
  <c r="HQ80" i="2"/>
  <c r="HR80" i="2"/>
  <c r="HS80" i="2"/>
  <c r="HT80" i="2"/>
  <c r="HU80" i="2"/>
  <c r="HV80" i="2"/>
  <c r="HW80" i="2"/>
  <c r="HX80" i="2"/>
  <c r="HY80" i="2"/>
  <c r="HZ80" i="2"/>
  <c r="IA80" i="2"/>
  <c r="IB80" i="2"/>
  <c r="IC80" i="2"/>
  <c r="ID80" i="2"/>
  <c r="IE80" i="2"/>
  <c r="IF80" i="2"/>
  <c r="IG80" i="2"/>
  <c r="IH80" i="2"/>
  <c r="II80" i="2"/>
  <c r="IJ80" i="2"/>
  <c r="IK80" i="2"/>
  <c r="IL80" i="2"/>
  <c r="IM80" i="2"/>
  <c r="IN80" i="2"/>
  <c r="IO80" i="2"/>
  <c r="IP80" i="2"/>
  <c r="IQ80" i="2"/>
  <c r="IR80" i="2"/>
  <c r="IS80" i="2"/>
  <c r="IT80" i="2"/>
  <c r="IU80" i="2"/>
  <c r="IV80" i="2"/>
  <c r="IW80" i="2"/>
  <c r="IX80" i="2"/>
  <c r="IY80" i="2"/>
  <c r="IZ80" i="2"/>
  <c r="JA80" i="2"/>
  <c r="JB80" i="2"/>
  <c r="JC80" i="2"/>
  <c r="JD80" i="2"/>
  <c r="JE80" i="2"/>
  <c r="JF80" i="2"/>
  <c r="JG80" i="2"/>
  <c r="JH80" i="2"/>
  <c r="JI80" i="2"/>
  <c r="JJ80" i="2"/>
  <c r="JK80" i="2"/>
  <c r="JL80" i="2"/>
  <c r="JM80" i="2"/>
  <c r="JN80" i="2"/>
  <c r="JO80" i="2"/>
  <c r="JP80" i="2"/>
  <c r="JQ80" i="2"/>
  <c r="JR80" i="2"/>
  <c r="JS80" i="2"/>
  <c r="JT80" i="2"/>
  <c r="JU80" i="2"/>
  <c r="JV80" i="2"/>
  <c r="JW80" i="2"/>
  <c r="JX80" i="2"/>
  <c r="JY80" i="2"/>
  <c r="JZ80" i="2"/>
  <c r="KA80" i="2"/>
  <c r="KB80" i="2"/>
  <c r="KC80" i="2"/>
  <c r="KD80" i="2"/>
  <c r="KE80" i="2"/>
  <c r="KF80" i="2"/>
  <c r="KG80" i="2"/>
  <c r="KH80" i="2"/>
  <c r="KI80" i="2"/>
  <c r="KJ80" i="2"/>
  <c r="KK80" i="2"/>
  <c r="KL80" i="2"/>
  <c r="KM80" i="2"/>
  <c r="KN80" i="2"/>
  <c r="KO80" i="2"/>
  <c r="KP80" i="2"/>
  <c r="KQ80" i="2"/>
  <c r="KR80" i="2"/>
  <c r="KS80" i="2"/>
  <c r="KT80" i="2"/>
  <c r="KU80" i="2"/>
  <c r="KV80" i="2"/>
  <c r="KW80" i="2"/>
  <c r="KX80" i="2"/>
  <c r="KY80" i="2"/>
  <c r="KZ80" i="2"/>
  <c r="LA80" i="2"/>
  <c r="LB80" i="2"/>
  <c r="LC80" i="2"/>
  <c r="LD80" i="2"/>
  <c r="LE80" i="2"/>
  <c r="LF80" i="2"/>
  <c r="LG80" i="2"/>
  <c r="LH80" i="2"/>
  <c r="LI80" i="2"/>
  <c r="LJ80" i="2"/>
  <c r="LK80" i="2"/>
  <c r="LL80" i="2"/>
  <c r="LM80" i="2"/>
  <c r="LN80" i="2"/>
  <c r="LO80" i="2"/>
  <c r="LP80" i="2"/>
  <c r="LQ80" i="2"/>
  <c r="LR80" i="2"/>
  <c r="LS80" i="2"/>
  <c r="LT80" i="2"/>
  <c r="LU80" i="2"/>
  <c r="LV80" i="2"/>
  <c r="LW80" i="2"/>
  <c r="LX80" i="2"/>
  <c r="LY80" i="2"/>
  <c r="LZ80" i="2"/>
  <c r="MA80" i="2"/>
  <c r="MB80" i="2"/>
  <c r="MC80" i="2"/>
  <c r="MD80" i="2"/>
  <c r="ME80" i="2"/>
  <c r="MF80" i="2"/>
  <c r="MG80" i="2"/>
  <c r="MH80" i="2"/>
  <c r="MI80" i="2"/>
  <c r="MJ80" i="2"/>
  <c r="MK80" i="2"/>
  <c r="ML80" i="2"/>
  <c r="MM80" i="2"/>
  <c r="MN80" i="2"/>
  <c r="MO80" i="2"/>
  <c r="MP80" i="2"/>
  <c r="MQ80" i="2"/>
  <c r="MR80" i="2"/>
  <c r="MS80" i="2"/>
  <c r="MT80" i="2"/>
  <c r="MU80" i="2"/>
  <c r="MV80" i="2"/>
  <c r="MW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EL81" i="2"/>
  <c r="EM81" i="2"/>
  <c r="EN81" i="2"/>
  <c r="EO81" i="2"/>
  <c r="EP81" i="2"/>
  <c r="EQ81" i="2"/>
  <c r="ER81" i="2"/>
  <c r="ES81" i="2"/>
  <c r="ET81" i="2"/>
  <c r="EU81" i="2"/>
  <c r="EV81" i="2"/>
  <c r="EW81" i="2"/>
  <c r="EX81" i="2"/>
  <c r="EY81" i="2"/>
  <c r="EZ81" i="2"/>
  <c r="FA81" i="2"/>
  <c r="FB81" i="2"/>
  <c r="FC81" i="2"/>
  <c r="FD81" i="2"/>
  <c r="FE81" i="2"/>
  <c r="FF81" i="2"/>
  <c r="FG81" i="2"/>
  <c r="FH81" i="2"/>
  <c r="FI81" i="2"/>
  <c r="FJ81" i="2"/>
  <c r="FK81" i="2"/>
  <c r="FL81" i="2"/>
  <c r="FM81" i="2"/>
  <c r="FN81" i="2"/>
  <c r="FO81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GG81" i="2"/>
  <c r="GH81" i="2"/>
  <c r="GI81" i="2"/>
  <c r="GJ81" i="2"/>
  <c r="GK81" i="2"/>
  <c r="GL81" i="2"/>
  <c r="GM81" i="2"/>
  <c r="GN81" i="2"/>
  <c r="GO81" i="2"/>
  <c r="GP81" i="2"/>
  <c r="GQ81" i="2"/>
  <c r="GR81" i="2"/>
  <c r="GS81" i="2"/>
  <c r="GT81" i="2"/>
  <c r="GU81" i="2"/>
  <c r="GV81" i="2"/>
  <c r="GW81" i="2"/>
  <c r="GX81" i="2"/>
  <c r="GY81" i="2"/>
  <c r="GZ81" i="2"/>
  <c r="HA81" i="2"/>
  <c r="HB81" i="2"/>
  <c r="HC81" i="2"/>
  <c r="HD81" i="2"/>
  <c r="HE81" i="2"/>
  <c r="HF81" i="2"/>
  <c r="HG81" i="2"/>
  <c r="HH81" i="2"/>
  <c r="HI81" i="2"/>
  <c r="HJ81" i="2"/>
  <c r="HK81" i="2"/>
  <c r="HL81" i="2"/>
  <c r="HM81" i="2"/>
  <c r="HN81" i="2"/>
  <c r="HO81" i="2"/>
  <c r="HP81" i="2"/>
  <c r="HQ81" i="2"/>
  <c r="HR81" i="2"/>
  <c r="HS81" i="2"/>
  <c r="HT81" i="2"/>
  <c r="HU81" i="2"/>
  <c r="HV81" i="2"/>
  <c r="HW81" i="2"/>
  <c r="HX81" i="2"/>
  <c r="HY81" i="2"/>
  <c r="HZ81" i="2"/>
  <c r="IA81" i="2"/>
  <c r="IB81" i="2"/>
  <c r="IC81" i="2"/>
  <c r="ID81" i="2"/>
  <c r="IE81" i="2"/>
  <c r="IF81" i="2"/>
  <c r="IG81" i="2"/>
  <c r="IH81" i="2"/>
  <c r="II81" i="2"/>
  <c r="IJ81" i="2"/>
  <c r="IK81" i="2"/>
  <c r="IL81" i="2"/>
  <c r="IM81" i="2"/>
  <c r="IN81" i="2"/>
  <c r="IO81" i="2"/>
  <c r="IP81" i="2"/>
  <c r="IQ81" i="2"/>
  <c r="IR81" i="2"/>
  <c r="IS81" i="2"/>
  <c r="IT81" i="2"/>
  <c r="IU81" i="2"/>
  <c r="IV81" i="2"/>
  <c r="IW81" i="2"/>
  <c r="IX81" i="2"/>
  <c r="IY81" i="2"/>
  <c r="IZ81" i="2"/>
  <c r="JA81" i="2"/>
  <c r="JB81" i="2"/>
  <c r="JC81" i="2"/>
  <c r="JD81" i="2"/>
  <c r="JE81" i="2"/>
  <c r="JF81" i="2"/>
  <c r="JG81" i="2"/>
  <c r="JH81" i="2"/>
  <c r="JI81" i="2"/>
  <c r="JJ81" i="2"/>
  <c r="JK81" i="2"/>
  <c r="JL81" i="2"/>
  <c r="JM81" i="2"/>
  <c r="JN81" i="2"/>
  <c r="JO81" i="2"/>
  <c r="JP81" i="2"/>
  <c r="JQ81" i="2"/>
  <c r="JR81" i="2"/>
  <c r="JS81" i="2"/>
  <c r="JT81" i="2"/>
  <c r="JU81" i="2"/>
  <c r="JV81" i="2"/>
  <c r="JW81" i="2"/>
  <c r="JX81" i="2"/>
  <c r="JY81" i="2"/>
  <c r="JZ81" i="2"/>
  <c r="KA81" i="2"/>
  <c r="KB81" i="2"/>
  <c r="KC81" i="2"/>
  <c r="KD81" i="2"/>
  <c r="KE81" i="2"/>
  <c r="KF81" i="2"/>
  <c r="KG81" i="2"/>
  <c r="KH81" i="2"/>
  <c r="KI81" i="2"/>
  <c r="KJ81" i="2"/>
  <c r="KK81" i="2"/>
  <c r="KL81" i="2"/>
  <c r="KM81" i="2"/>
  <c r="KN81" i="2"/>
  <c r="KO81" i="2"/>
  <c r="KP81" i="2"/>
  <c r="KQ81" i="2"/>
  <c r="KR81" i="2"/>
  <c r="KS81" i="2"/>
  <c r="KT81" i="2"/>
  <c r="KU81" i="2"/>
  <c r="KV81" i="2"/>
  <c r="KW81" i="2"/>
  <c r="KX81" i="2"/>
  <c r="KY81" i="2"/>
  <c r="KZ81" i="2"/>
  <c r="LA81" i="2"/>
  <c r="LB81" i="2"/>
  <c r="LC81" i="2"/>
  <c r="LD81" i="2"/>
  <c r="LE81" i="2"/>
  <c r="LF81" i="2"/>
  <c r="LG81" i="2"/>
  <c r="LH81" i="2"/>
  <c r="LI81" i="2"/>
  <c r="LJ81" i="2"/>
  <c r="LK81" i="2"/>
  <c r="LL81" i="2"/>
  <c r="LM81" i="2"/>
  <c r="LN81" i="2"/>
  <c r="LO81" i="2"/>
  <c r="LP81" i="2"/>
  <c r="LQ81" i="2"/>
  <c r="LR81" i="2"/>
  <c r="LS81" i="2"/>
  <c r="LT81" i="2"/>
  <c r="LU81" i="2"/>
  <c r="LV81" i="2"/>
  <c r="LW81" i="2"/>
  <c r="LX81" i="2"/>
  <c r="LY81" i="2"/>
  <c r="LZ81" i="2"/>
  <c r="MA81" i="2"/>
  <c r="MB81" i="2"/>
  <c r="MC81" i="2"/>
  <c r="MD81" i="2"/>
  <c r="ME81" i="2"/>
  <c r="MF81" i="2"/>
  <c r="MG81" i="2"/>
  <c r="MH81" i="2"/>
  <c r="MI81" i="2"/>
  <c r="MJ81" i="2"/>
  <c r="MK81" i="2"/>
  <c r="ML81" i="2"/>
  <c r="MM81" i="2"/>
  <c r="MN81" i="2"/>
  <c r="MO81" i="2"/>
  <c r="MP81" i="2"/>
  <c r="MQ81" i="2"/>
  <c r="MR81" i="2"/>
  <c r="MS81" i="2"/>
  <c r="MT81" i="2"/>
  <c r="MU81" i="2"/>
  <c r="MV81" i="2"/>
  <c r="MW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EL82" i="2"/>
  <c r="EM82" i="2"/>
  <c r="EN82" i="2"/>
  <c r="EO82" i="2"/>
  <c r="EP82" i="2"/>
  <c r="EQ82" i="2"/>
  <c r="ER82" i="2"/>
  <c r="ES82" i="2"/>
  <c r="ET82" i="2"/>
  <c r="EU82" i="2"/>
  <c r="EV82" i="2"/>
  <c r="EW82" i="2"/>
  <c r="EX82" i="2"/>
  <c r="EY82" i="2"/>
  <c r="EZ82" i="2"/>
  <c r="FA82" i="2"/>
  <c r="FB82" i="2"/>
  <c r="FC82" i="2"/>
  <c r="FD82" i="2"/>
  <c r="FE82" i="2"/>
  <c r="FF82" i="2"/>
  <c r="FG82" i="2"/>
  <c r="FH82" i="2"/>
  <c r="FI82" i="2"/>
  <c r="FJ82" i="2"/>
  <c r="FK82" i="2"/>
  <c r="FL82" i="2"/>
  <c r="FM82" i="2"/>
  <c r="FN82" i="2"/>
  <c r="FO82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GG82" i="2"/>
  <c r="GH82" i="2"/>
  <c r="GI82" i="2"/>
  <c r="GJ82" i="2"/>
  <c r="GK82" i="2"/>
  <c r="GL82" i="2"/>
  <c r="GM82" i="2"/>
  <c r="GN82" i="2"/>
  <c r="GO82" i="2"/>
  <c r="GP82" i="2"/>
  <c r="GQ82" i="2"/>
  <c r="GR82" i="2"/>
  <c r="GS82" i="2"/>
  <c r="GT82" i="2"/>
  <c r="GU82" i="2"/>
  <c r="GV82" i="2"/>
  <c r="GW82" i="2"/>
  <c r="GX82" i="2"/>
  <c r="GY82" i="2"/>
  <c r="GZ82" i="2"/>
  <c r="HA82" i="2"/>
  <c r="HB82" i="2"/>
  <c r="HC82" i="2"/>
  <c r="HD82" i="2"/>
  <c r="HE82" i="2"/>
  <c r="HF82" i="2"/>
  <c r="HG82" i="2"/>
  <c r="HH82" i="2"/>
  <c r="HI82" i="2"/>
  <c r="HJ82" i="2"/>
  <c r="HK82" i="2"/>
  <c r="HL82" i="2"/>
  <c r="HM82" i="2"/>
  <c r="HN82" i="2"/>
  <c r="HO82" i="2"/>
  <c r="HP82" i="2"/>
  <c r="HQ82" i="2"/>
  <c r="HR82" i="2"/>
  <c r="HS82" i="2"/>
  <c r="HT82" i="2"/>
  <c r="HU82" i="2"/>
  <c r="HV82" i="2"/>
  <c r="HW82" i="2"/>
  <c r="HX82" i="2"/>
  <c r="HY82" i="2"/>
  <c r="HZ82" i="2"/>
  <c r="IA82" i="2"/>
  <c r="IB82" i="2"/>
  <c r="IC82" i="2"/>
  <c r="ID82" i="2"/>
  <c r="IE82" i="2"/>
  <c r="IF82" i="2"/>
  <c r="IG82" i="2"/>
  <c r="IH82" i="2"/>
  <c r="II82" i="2"/>
  <c r="IJ82" i="2"/>
  <c r="IK82" i="2"/>
  <c r="IL82" i="2"/>
  <c r="IM82" i="2"/>
  <c r="IN82" i="2"/>
  <c r="IO82" i="2"/>
  <c r="IP82" i="2"/>
  <c r="IQ82" i="2"/>
  <c r="IR82" i="2"/>
  <c r="IS82" i="2"/>
  <c r="IT82" i="2"/>
  <c r="IU82" i="2"/>
  <c r="IV82" i="2"/>
  <c r="IW82" i="2"/>
  <c r="IX82" i="2"/>
  <c r="IY82" i="2"/>
  <c r="IZ82" i="2"/>
  <c r="JA82" i="2"/>
  <c r="JB82" i="2"/>
  <c r="JC82" i="2"/>
  <c r="JD82" i="2"/>
  <c r="JE82" i="2"/>
  <c r="JF82" i="2"/>
  <c r="JG82" i="2"/>
  <c r="JH82" i="2"/>
  <c r="JI82" i="2"/>
  <c r="JJ82" i="2"/>
  <c r="JK82" i="2"/>
  <c r="JL82" i="2"/>
  <c r="JM82" i="2"/>
  <c r="JN82" i="2"/>
  <c r="JO82" i="2"/>
  <c r="JP82" i="2"/>
  <c r="JQ82" i="2"/>
  <c r="JR82" i="2"/>
  <c r="JS82" i="2"/>
  <c r="JT82" i="2"/>
  <c r="JU82" i="2"/>
  <c r="JV82" i="2"/>
  <c r="JW82" i="2"/>
  <c r="JX82" i="2"/>
  <c r="JY82" i="2"/>
  <c r="JZ82" i="2"/>
  <c r="KA82" i="2"/>
  <c r="KB82" i="2"/>
  <c r="KC82" i="2"/>
  <c r="KD82" i="2"/>
  <c r="KE82" i="2"/>
  <c r="KF82" i="2"/>
  <c r="KG82" i="2"/>
  <c r="KH82" i="2"/>
  <c r="KI82" i="2"/>
  <c r="KJ82" i="2"/>
  <c r="KK82" i="2"/>
  <c r="KL82" i="2"/>
  <c r="KM82" i="2"/>
  <c r="KN82" i="2"/>
  <c r="KO82" i="2"/>
  <c r="KP82" i="2"/>
  <c r="KQ82" i="2"/>
  <c r="KR82" i="2"/>
  <c r="KS82" i="2"/>
  <c r="KT82" i="2"/>
  <c r="KU82" i="2"/>
  <c r="KV82" i="2"/>
  <c r="KW82" i="2"/>
  <c r="KX82" i="2"/>
  <c r="KY82" i="2"/>
  <c r="KZ82" i="2"/>
  <c r="LA82" i="2"/>
  <c r="LB82" i="2"/>
  <c r="LC82" i="2"/>
  <c r="LD82" i="2"/>
  <c r="LE82" i="2"/>
  <c r="LF82" i="2"/>
  <c r="LG82" i="2"/>
  <c r="LH82" i="2"/>
  <c r="LI82" i="2"/>
  <c r="LJ82" i="2"/>
  <c r="LK82" i="2"/>
  <c r="LL82" i="2"/>
  <c r="LM82" i="2"/>
  <c r="LN82" i="2"/>
  <c r="LO82" i="2"/>
  <c r="LP82" i="2"/>
  <c r="LQ82" i="2"/>
  <c r="LR82" i="2"/>
  <c r="LS82" i="2"/>
  <c r="LT82" i="2"/>
  <c r="LU82" i="2"/>
  <c r="LV82" i="2"/>
  <c r="LW82" i="2"/>
  <c r="LX82" i="2"/>
  <c r="LY82" i="2"/>
  <c r="LZ82" i="2"/>
  <c r="MA82" i="2"/>
  <c r="MB82" i="2"/>
  <c r="MC82" i="2"/>
  <c r="MD82" i="2"/>
  <c r="ME82" i="2"/>
  <c r="MF82" i="2"/>
  <c r="MG82" i="2"/>
  <c r="MH82" i="2"/>
  <c r="MI82" i="2"/>
  <c r="MJ82" i="2"/>
  <c r="MK82" i="2"/>
  <c r="ML82" i="2"/>
  <c r="MM82" i="2"/>
  <c r="MN82" i="2"/>
  <c r="MO82" i="2"/>
  <c r="MP82" i="2"/>
  <c r="MQ82" i="2"/>
  <c r="MR82" i="2"/>
  <c r="MS82" i="2"/>
  <c r="MT82" i="2"/>
  <c r="MU82" i="2"/>
  <c r="MV82" i="2"/>
  <c r="MW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EL83" i="2"/>
  <c r="EM83" i="2"/>
  <c r="EN83" i="2"/>
  <c r="EO83" i="2"/>
  <c r="EP83" i="2"/>
  <c r="EQ83" i="2"/>
  <c r="ER83" i="2"/>
  <c r="ES83" i="2"/>
  <c r="ET83" i="2"/>
  <c r="EU83" i="2"/>
  <c r="EV83" i="2"/>
  <c r="EW83" i="2"/>
  <c r="EX83" i="2"/>
  <c r="EY83" i="2"/>
  <c r="EZ83" i="2"/>
  <c r="FA83" i="2"/>
  <c r="FB83" i="2"/>
  <c r="FC83" i="2"/>
  <c r="FD83" i="2"/>
  <c r="FE83" i="2"/>
  <c r="FF83" i="2"/>
  <c r="FG83" i="2"/>
  <c r="FH83" i="2"/>
  <c r="FI83" i="2"/>
  <c r="FJ83" i="2"/>
  <c r="FK83" i="2"/>
  <c r="FL83" i="2"/>
  <c r="FM83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I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GY83" i="2"/>
  <c r="GZ83" i="2"/>
  <c r="HA83" i="2"/>
  <c r="HB83" i="2"/>
  <c r="HC83" i="2"/>
  <c r="HD83" i="2"/>
  <c r="HE83" i="2"/>
  <c r="HF83" i="2"/>
  <c r="HG83" i="2"/>
  <c r="HH83" i="2"/>
  <c r="HI83" i="2"/>
  <c r="HJ83" i="2"/>
  <c r="HK83" i="2"/>
  <c r="HL83" i="2"/>
  <c r="HM83" i="2"/>
  <c r="HN83" i="2"/>
  <c r="HO83" i="2"/>
  <c r="HP83" i="2"/>
  <c r="HQ83" i="2"/>
  <c r="HR83" i="2"/>
  <c r="HS83" i="2"/>
  <c r="HT83" i="2"/>
  <c r="HU83" i="2"/>
  <c r="HV83" i="2"/>
  <c r="HW83" i="2"/>
  <c r="HX83" i="2"/>
  <c r="HY83" i="2"/>
  <c r="HZ83" i="2"/>
  <c r="IA83" i="2"/>
  <c r="IB83" i="2"/>
  <c r="IC83" i="2"/>
  <c r="ID83" i="2"/>
  <c r="IE83" i="2"/>
  <c r="IF83" i="2"/>
  <c r="IG83" i="2"/>
  <c r="IH83" i="2"/>
  <c r="II83" i="2"/>
  <c r="IJ83" i="2"/>
  <c r="IK83" i="2"/>
  <c r="IL83" i="2"/>
  <c r="IM83" i="2"/>
  <c r="IN83" i="2"/>
  <c r="IO83" i="2"/>
  <c r="IP83" i="2"/>
  <c r="IQ83" i="2"/>
  <c r="IR83" i="2"/>
  <c r="IS83" i="2"/>
  <c r="IT83" i="2"/>
  <c r="IU83" i="2"/>
  <c r="IV83" i="2"/>
  <c r="IW83" i="2"/>
  <c r="IX83" i="2"/>
  <c r="IY83" i="2"/>
  <c r="IZ83" i="2"/>
  <c r="JA83" i="2"/>
  <c r="JB83" i="2"/>
  <c r="JC83" i="2"/>
  <c r="JD83" i="2"/>
  <c r="JE83" i="2"/>
  <c r="JF83" i="2"/>
  <c r="JG83" i="2"/>
  <c r="JH83" i="2"/>
  <c r="JI83" i="2"/>
  <c r="JJ83" i="2"/>
  <c r="JK83" i="2"/>
  <c r="JL83" i="2"/>
  <c r="JM83" i="2"/>
  <c r="JN83" i="2"/>
  <c r="JO83" i="2"/>
  <c r="JP83" i="2"/>
  <c r="JQ83" i="2"/>
  <c r="JR83" i="2"/>
  <c r="JS83" i="2"/>
  <c r="JT83" i="2"/>
  <c r="JU83" i="2"/>
  <c r="JV83" i="2"/>
  <c r="JW83" i="2"/>
  <c r="JX83" i="2"/>
  <c r="JY83" i="2"/>
  <c r="JZ83" i="2"/>
  <c r="KA83" i="2"/>
  <c r="KB83" i="2"/>
  <c r="KC83" i="2"/>
  <c r="KD83" i="2"/>
  <c r="KE83" i="2"/>
  <c r="KF83" i="2"/>
  <c r="KG83" i="2"/>
  <c r="KH83" i="2"/>
  <c r="KI83" i="2"/>
  <c r="KJ83" i="2"/>
  <c r="KK83" i="2"/>
  <c r="KL83" i="2"/>
  <c r="KM83" i="2"/>
  <c r="KN83" i="2"/>
  <c r="KO83" i="2"/>
  <c r="KP83" i="2"/>
  <c r="KQ83" i="2"/>
  <c r="KR83" i="2"/>
  <c r="KS83" i="2"/>
  <c r="KT83" i="2"/>
  <c r="KU83" i="2"/>
  <c r="KV83" i="2"/>
  <c r="KW83" i="2"/>
  <c r="KX83" i="2"/>
  <c r="KY83" i="2"/>
  <c r="KZ83" i="2"/>
  <c r="LA83" i="2"/>
  <c r="LB83" i="2"/>
  <c r="LC83" i="2"/>
  <c r="LD83" i="2"/>
  <c r="LE83" i="2"/>
  <c r="LF83" i="2"/>
  <c r="LG83" i="2"/>
  <c r="LH83" i="2"/>
  <c r="LI83" i="2"/>
  <c r="LJ83" i="2"/>
  <c r="LK83" i="2"/>
  <c r="LL83" i="2"/>
  <c r="LM83" i="2"/>
  <c r="LN83" i="2"/>
  <c r="LO83" i="2"/>
  <c r="LP83" i="2"/>
  <c r="LQ83" i="2"/>
  <c r="LR83" i="2"/>
  <c r="LS83" i="2"/>
  <c r="LT83" i="2"/>
  <c r="LU83" i="2"/>
  <c r="LV83" i="2"/>
  <c r="LW83" i="2"/>
  <c r="LX83" i="2"/>
  <c r="LY83" i="2"/>
  <c r="LZ83" i="2"/>
  <c r="MA83" i="2"/>
  <c r="MB83" i="2"/>
  <c r="MC83" i="2"/>
  <c r="MD83" i="2"/>
  <c r="ME83" i="2"/>
  <c r="MF83" i="2"/>
  <c r="MG83" i="2"/>
  <c r="MH83" i="2"/>
  <c r="MI83" i="2"/>
  <c r="MJ83" i="2"/>
  <c r="MK83" i="2"/>
  <c r="ML83" i="2"/>
  <c r="MM83" i="2"/>
  <c r="MN83" i="2"/>
  <c r="MO83" i="2"/>
  <c r="MP83" i="2"/>
  <c r="MQ83" i="2"/>
  <c r="MR83" i="2"/>
  <c r="MS83" i="2"/>
  <c r="MT83" i="2"/>
  <c r="MU83" i="2"/>
  <c r="MV83" i="2"/>
  <c r="MW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EL84" i="2"/>
  <c r="EM84" i="2"/>
  <c r="EN84" i="2"/>
  <c r="EO84" i="2"/>
  <c r="EP84" i="2"/>
  <c r="EQ84" i="2"/>
  <c r="ER84" i="2"/>
  <c r="ES84" i="2"/>
  <c r="ET84" i="2"/>
  <c r="EU84" i="2"/>
  <c r="EV84" i="2"/>
  <c r="EW84" i="2"/>
  <c r="EX84" i="2"/>
  <c r="EY84" i="2"/>
  <c r="EZ84" i="2"/>
  <c r="FA84" i="2"/>
  <c r="FB84" i="2"/>
  <c r="FC84" i="2"/>
  <c r="FD84" i="2"/>
  <c r="FE84" i="2"/>
  <c r="FF84" i="2"/>
  <c r="FG84" i="2"/>
  <c r="FH84" i="2"/>
  <c r="FI84" i="2"/>
  <c r="FJ84" i="2"/>
  <c r="FK84" i="2"/>
  <c r="FL84" i="2"/>
  <c r="FM84" i="2"/>
  <c r="FN84" i="2"/>
  <c r="FO84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GG84" i="2"/>
  <c r="GH84" i="2"/>
  <c r="GI84" i="2"/>
  <c r="GJ84" i="2"/>
  <c r="GK84" i="2"/>
  <c r="GL84" i="2"/>
  <c r="GM84" i="2"/>
  <c r="GN84" i="2"/>
  <c r="GO84" i="2"/>
  <c r="GP84" i="2"/>
  <c r="GQ84" i="2"/>
  <c r="GR84" i="2"/>
  <c r="GS84" i="2"/>
  <c r="GT84" i="2"/>
  <c r="GU84" i="2"/>
  <c r="GV84" i="2"/>
  <c r="GW84" i="2"/>
  <c r="GX84" i="2"/>
  <c r="GY84" i="2"/>
  <c r="GZ84" i="2"/>
  <c r="HA84" i="2"/>
  <c r="HB84" i="2"/>
  <c r="HC84" i="2"/>
  <c r="HD84" i="2"/>
  <c r="HE84" i="2"/>
  <c r="HF84" i="2"/>
  <c r="HG84" i="2"/>
  <c r="HH84" i="2"/>
  <c r="HI84" i="2"/>
  <c r="HJ84" i="2"/>
  <c r="HK84" i="2"/>
  <c r="HL84" i="2"/>
  <c r="HM84" i="2"/>
  <c r="HN84" i="2"/>
  <c r="HO84" i="2"/>
  <c r="HP84" i="2"/>
  <c r="HQ84" i="2"/>
  <c r="HR84" i="2"/>
  <c r="HS84" i="2"/>
  <c r="HT84" i="2"/>
  <c r="HU84" i="2"/>
  <c r="HV84" i="2"/>
  <c r="HW84" i="2"/>
  <c r="HX84" i="2"/>
  <c r="HY84" i="2"/>
  <c r="HZ84" i="2"/>
  <c r="IA84" i="2"/>
  <c r="IB84" i="2"/>
  <c r="IC84" i="2"/>
  <c r="ID84" i="2"/>
  <c r="IE84" i="2"/>
  <c r="IF84" i="2"/>
  <c r="IG84" i="2"/>
  <c r="IH84" i="2"/>
  <c r="II84" i="2"/>
  <c r="IJ84" i="2"/>
  <c r="IK84" i="2"/>
  <c r="IL84" i="2"/>
  <c r="IM84" i="2"/>
  <c r="IN84" i="2"/>
  <c r="IO84" i="2"/>
  <c r="IP84" i="2"/>
  <c r="IQ84" i="2"/>
  <c r="IR84" i="2"/>
  <c r="IS84" i="2"/>
  <c r="IT84" i="2"/>
  <c r="IU84" i="2"/>
  <c r="IV84" i="2"/>
  <c r="IW84" i="2"/>
  <c r="IX84" i="2"/>
  <c r="IY84" i="2"/>
  <c r="IZ84" i="2"/>
  <c r="JA84" i="2"/>
  <c r="JB84" i="2"/>
  <c r="JC84" i="2"/>
  <c r="JD84" i="2"/>
  <c r="JE84" i="2"/>
  <c r="JF84" i="2"/>
  <c r="JG84" i="2"/>
  <c r="JH84" i="2"/>
  <c r="JI84" i="2"/>
  <c r="JJ84" i="2"/>
  <c r="JK84" i="2"/>
  <c r="JL84" i="2"/>
  <c r="JM84" i="2"/>
  <c r="JN84" i="2"/>
  <c r="JO84" i="2"/>
  <c r="JP84" i="2"/>
  <c r="JQ84" i="2"/>
  <c r="JR84" i="2"/>
  <c r="JS84" i="2"/>
  <c r="JT84" i="2"/>
  <c r="JU84" i="2"/>
  <c r="JV84" i="2"/>
  <c r="JW84" i="2"/>
  <c r="JX84" i="2"/>
  <c r="JY84" i="2"/>
  <c r="JZ84" i="2"/>
  <c r="KA84" i="2"/>
  <c r="KB84" i="2"/>
  <c r="KC84" i="2"/>
  <c r="KD84" i="2"/>
  <c r="KE84" i="2"/>
  <c r="KF84" i="2"/>
  <c r="KG84" i="2"/>
  <c r="KH84" i="2"/>
  <c r="KI84" i="2"/>
  <c r="KJ84" i="2"/>
  <c r="KK84" i="2"/>
  <c r="KL84" i="2"/>
  <c r="KM84" i="2"/>
  <c r="KN84" i="2"/>
  <c r="KO84" i="2"/>
  <c r="KP84" i="2"/>
  <c r="KQ84" i="2"/>
  <c r="KR84" i="2"/>
  <c r="KS84" i="2"/>
  <c r="KT84" i="2"/>
  <c r="KU84" i="2"/>
  <c r="KV84" i="2"/>
  <c r="KW84" i="2"/>
  <c r="KX84" i="2"/>
  <c r="KY84" i="2"/>
  <c r="KZ84" i="2"/>
  <c r="LA84" i="2"/>
  <c r="LB84" i="2"/>
  <c r="LC84" i="2"/>
  <c r="LD84" i="2"/>
  <c r="LE84" i="2"/>
  <c r="LF84" i="2"/>
  <c r="LG84" i="2"/>
  <c r="LH84" i="2"/>
  <c r="LI84" i="2"/>
  <c r="LJ84" i="2"/>
  <c r="LK84" i="2"/>
  <c r="LL84" i="2"/>
  <c r="LM84" i="2"/>
  <c r="LN84" i="2"/>
  <c r="LO84" i="2"/>
  <c r="LP84" i="2"/>
  <c r="LQ84" i="2"/>
  <c r="LR84" i="2"/>
  <c r="LS84" i="2"/>
  <c r="LT84" i="2"/>
  <c r="LU84" i="2"/>
  <c r="LV84" i="2"/>
  <c r="LW84" i="2"/>
  <c r="LX84" i="2"/>
  <c r="LY84" i="2"/>
  <c r="LZ84" i="2"/>
  <c r="MA84" i="2"/>
  <c r="MB84" i="2"/>
  <c r="MC84" i="2"/>
  <c r="MD84" i="2"/>
  <c r="ME84" i="2"/>
  <c r="MF84" i="2"/>
  <c r="MG84" i="2"/>
  <c r="MH84" i="2"/>
  <c r="MI84" i="2"/>
  <c r="MJ84" i="2"/>
  <c r="MK84" i="2"/>
  <c r="ML84" i="2"/>
  <c r="MM84" i="2"/>
  <c r="MN84" i="2"/>
  <c r="MO84" i="2"/>
  <c r="MP84" i="2"/>
  <c r="MQ84" i="2"/>
  <c r="MR84" i="2"/>
  <c r="MS84" i="2"/>
  <c r="MT84" i="2"/>
  <c r="MU84" i="2"/>
  <c r="MV84" i="2"/>
  <c r="MW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EL85" i="2"/>
  <c r="EM85" i="2"/>
  <c r="EN85" i="2"/>
  <c r="EO85" i="2"/>
  <c r="EP85" i="2"/>
  <c r="EQ85" i="2"/>
  <c r="ER85" i="2"/>
  <c r="ES85" i="2"/>
  <c r="ET85" i="2"/>
  <c r="EU85" i="2"/>
  <c r="EV85" i="2"/>
  <c r="EW85" i="2"/>
  <c r="EX85" i="2"/>
  <c r="EY85" i="2"/>
  <c r="EZ85" i="2"/>
  <c r="FA85" i="2"/>
  <c r="FB85" i="2"/>
  <c r="FC85" i="2"/>
  <c r="FD85" i="2"/>
  <c r="FE85" i="2"/>
  <c r="FF85" i="2"/>
  <c r="FG85" i="2"/>
  <c r="FH85" i="2"/>
  <c r="FI85" i="2"/>
  <c r="FJ85" i="2"/>
  <c r="FK85" i="2"/>
  <c r="FL85" i="2"/>
  <c r="FM85" i="2"/>
  <c r="FN85" i="2"/>
  <c r="FO85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GG85" i="2"/>
  <c r="GH85" i="2"/>
  <c r="GI85" i="2"/>
  <c r="GJ85" i="2"/>
  <c r="GK85" i="2"/>
  <c r="GL85" i="2"/>
  <c r="GM85" i="2"/>
  <c r="GN85" i="2"/>
  <c r="GO85" i="2"/>
  <c r="GP85" i="2"/>
  <c r="GQ85" i="2"/>
  <c r="GR85" i="2"/>
  <c r="GS85" i="2"/>
  <c r="GT85" i="2"/>
  <c r="GU85" i="2"/>
  <c r="GV85" i="2"/>
  <c r="GW85" i="2"/>
  <c r="GX85" i="2"/>
  <c r="GY85" i="2"/>
  <c r="GZ85" i="2"/>
  <c r="HA85" i="2"/>
  <c r="HB85" i="2"/>
  <c r="HC85" i="2"/>
  <c r="HD85" i="2"/>
  <c r="HE85" i="2"/>
  <c r="HF85" i="2"/>
  <c r="HG85" i="2"/>
  <c r="HH85" i="2"/>
  <c r="HI85" i="2"/>
  <c r="HJ85" i="2"/>
  <c r="HK85" i="2"/>
  <c r="HL85" i="2"/>
  <c r="HM85" i="2"/>
  <c r="HN85" i="2"/>
  <c r="HO85" i="2"/>
  <c r="HP85" i="2"/>
  <c r="HQ85" i="2"/>
  <c r="HR85" i="2"/>
  <c r="HS85" i="2"/>
  <c r="HT85" i="2"/>
  <c r="HU85" i="2"/>
  <c r="HV85" i="2"/>
  <c r="HW85" i="2"/>
  <c r="HX85" i="2"/>
  <c r="HY85" i="2"/>
  <c r="HZ85" i="2"/>
  <c r="IA85" i="2"/>
  <c r="IB85" i="2"/>
  <c r="IC85" i="2"/>
  <c r="ID85" i="2"/>
  <c r="IE85" i="2"/>
  <c r="IF85" i="2"/>
  <c r="IG85" i="2"/>
  <c r="IH85" i="2"/>
  <c r="II85" i="2"/>
  <c r="IJ85" i="2"/>
  <c r="IK85" i="2"/>
  <c r="IL85" i="2"/>
  <c r="IM85" i="2"/>
  <c r="IN85" i="2"/>
  <c r="IO85" i="2"/>
  <c r="IP85" i="2"/>
  <c r="IQ85" i="2"/>
  <c r="IR85" i="2"/>
  <c r="IS85" i="2"/>
  <c r="IT85" i="2"/>
  <c r="IU85" i="2"/>
  <c r="IV85" i="2"/>
  <c r="IW85" i="2"/>
  <c r="IX85" i="2"/>
  <c r="IY85" i="2"/>
  <c r="IZ85" i="2"/>
  <c r="JA85" i="2"/>
  <c r="JB85" i="2"/>
  <c r="JC85" i="2"/>
  <c r="JD85" i="2"/>
  <c r="JE85" i="2"/>
  <c r="JF85" i="2"/>
  <c r="JG85" i="2"/>
  <c r="JH85" i="2"/>
  <c r="JI85" i="2"/>
  <c r="JJ85" i="2"/>
  <c r="JK85" i="2"/>
  <c r="JL85" i="2"/>
  <c r="JM85" i="2"/>
  <c r="JN85" i="2"/>
  <c r="JO85" i="2"/>
  <c r="JP85" i="2"/>
  <c r="JQ85" i="2"/>
  <c r="JR85" i="2"/>
  <c r="JS85" i="2"/>
  <c r="JT85" i="2"/>
  <c r="JU85" i="2"/>
  <c r="JV85" i="2"/>
  <c r="JW85" i="2"/>
  <c r="JX85" i="2"/>
  <c r="JY85" i="2"/>
  <c r="JZ85" i="2"/>
  <c r="KA85" i="2"/>
  <c r="KB85" i="2"/>
  <c r="KC85" i="2"/>
  <c r="KD85" i="2"/>
  <c r="KE85" i="2"/>
  <c r="KF85" i="2"/>
  <c r="KG85" i="2"/>
  <c r="KH85" i="2"/>
  <c r="KI85" i="2"/>
  <c r="KJ85" i="2"/>
  <c r="KK85" i="2"/>
  <c r="KL85" i="2"/>
  <c r="KM85" i="2"/>
  <c r="KN85" i="2"/>
  <c r="KO85" i="2"/>
  <c r="KP85" i="2"/>
  <c r="KQ85" i="2"/>
  <c r="KR85" i="2"/>
  <c r="KS85" i="2"/>
  <c r="KT85" i="2"/>
  <c r="KU85" i="2"/>
  <c r="KV85" i="2"/>
  <c r="KW85" i="2"/>
  <c r="KX85" i="2"/>
  <c r="KY85" i="2"/>
  <c r="KZ85" i="2"/>
  <c r="LA85" i="2"/>
  <c r="LB85" i="2"/>
  <c r="LC85" i="2"/>
  <c r="LD85" i="2"/>
  <c r="LE85" i="2"/>
  <c r="LF85" i="2"/>
  <c r="LG85" i="2"/>
  <c r="LH85" i="2"/>
  <c r="LI85" i="2"/>
  <c r="LJ85" i="2"/>
  <c r="LK85" i="2"/>
  <c r="LL85" i="2"/>
  <c r="LM85" i="2"/>
  <c r="LN85" i="2"/>
  <c r="LO85" i="2"/>
  <c r="LP85" i="2"/>
  <c r="LQ85" i="2"/>
  <c r="LR85" i="2"/>
  <c r="LS85" i="2"/>
  <c r="LT85" i="2"/>
  <c r="LU85" i="2"/>
  <c r="LV85" i="2"/>
  <c r="LW85" i="2"/>
  <c r="LX85" i="2"/>
  <c r="LY85" i="2"/>
  <c r="LZ85" i="2"/>
  <c r="MA85" i="2"/>
  <c r="MB85" i="2"/>
  <c r="MC85" i="2"/>
  <c r="MD85" i="2"/>
  <c r="ME85" i="2"/>
  <c r="MF85" i="2"/>
  <c r="MG85" i="2"/>
  <c r="MH85" i="2"/>
  <c r="MI85" i="2"/>
  <c r="MJ85" i="2"/>
  <c r="MK85" i="2"/>
  <c r="ML85" i="2"/>
  <c r="MM85" i="2"/>
  <c r="MN85" i="2"/>
  <c r="MO85" i="2"/>
  <c r="MP85" i="2"/>
  <c r="MQ85" i="2"/>
  <c r="MR85" i="2"/>
  <c r="MS85" i="2"/>
  <c r="MT85" i="2"/>
  <c r="MU85" i="2"/>
  <c r="MV85" i="2"/>
  <c r="MW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EL86" i="2"/>
  <c r="EM86" i="2"/>
  <c r="EN86" i="2"/>
  <c r="EO86" i="2"/>
  <c r="EP86" i="2"/>
  <c r="EQ86" i="2"/>
  <c r="ER86" i="2"/>
  <c r="ES86" i="2"/>
  <c r="ET86" i="2"/>
  <c r="EU86" i="2"/>
  <c r="EV86" i="2"/>
  <c r="EW86" i="2"/>
  <c r="EX86" i="2"/>
  <c r="EY86" i="2"/>
  <c r="EZ86" i="2"/>
  <c r="FA86" i="2"/>
  <c r="FB86" i="2"/>
  <c r="FC86" i="2"/>
  <c r="FD86" i="2"/>
  <c r="FE86" i="2"/>
  <c r="FF86" i="2"/>
  <c r="FG86" i="2"/>
  <c r="FH86" i="2"/>
  <c r="FI86" i="2"/>
  <c r="FJ86" i="2"/>
  <c r="FK86" i="2"/>
  <c r="FL86" i="2"/>
  <c r="FM86" i="2"/>
  <c r="FN86" i="2"/>
  <c r="FO86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GG86" i="2"/>
  <c r="GH86" i="2"/>
  <c r="GI86" i="2"/>
  <c r="GJ86" i="2"/>
  <c r="GK86" i="2"/>
  <c r="GL86" i="2"/>
  <c r="GM86" i="2"/>
  <c r="GN86" i="2"/>
  <c r="GO86" i="2"/>
  <c r="GP86" i="2"/>
  <c r="GQ86" i="2"/>
  <c r="GR86" i="2"/>
  <c r="GS86" i="2"/>
  <c r="GT86" i="2"/>
  <c r="GU86" i="2"/>
  <c r="GV86" i="2"/>
  <c r="GW86" i="2"/>
  <c r="GX86" i="2"/>
  <c r="GY86" i="2"/>
  <c r="GZ86" i="2"/>
  <c r="HA86" i="2"/>
  <c r="HB86" i="2"/>
  <c r="HC86" i="2"/>
  <c r="HD86" i="2"/>
  <c r="HE86" i="2"/>
  <c r="HF86" i="2"/>
  <c r="HG86" i="2"/>
  <c r="HH86" i="2"/>
  <c r="HI86" i="2"/>
  <c r="HJ86" i="2"/>
  <c r="HK86" i="2"/>
  <c r="HL86" i="2"/>
  <c r="HM86" i="2"/>
  <c r="HN86" i="2"/>
  <c r="HO86" i="2"/>
  <c r="HP86" i="2"/>
  <c r="HQ86" i="2"/>
  <c r="HR86" i="2"/>
  <c r="HS86" i="2"/>
  <c r="HT86" i="2"/>
  <c r="HU86" i="2"/>
  <c r="HV86" i="2"/>
  <c r="HW86" i="2"/>
  <c r="HX86" i="2"/>
  <c r="HY86" i="2"/>
  <c r="HZ86" i="2"/>
  <c r="IA86" i="2"/>
  <c r="IB86" i="2"/>
  <c r="IC86" i="2"/>
  <c r="ID86" i="2"/>
  <c r="IE86" i="2"/>
  <c r="IF86" i="2"/>
  <c r="IG86" i="2"/>
  <c r="IH86" i="2"/>
  <c r="II86" i="2"/>
  <c r="IJ86" i="2"/>
  <c r="IK86" i="2"/>
  <c r="IL86" i="2"/>
  <c r="IM86" i="2"/>
  <c r="IN86" i="2"/>
  <c r="IO86" i="2"/>
  <c r="IP86" i="2"/>
  <c r="IQ86" i="2"/>
  <c r="IR86" i="2"/>
  <c r="IS86" i="2"/>
  <c r="IT86" i="2"/>
  <c r="IU86" i="2"/>
  <c r="IV86" i="2"/>
  <c r="IW86" i="2"/>
  <c r="IX86" i="2"/>
  <c r="IY86" i="2"/>
  <c r="IZ86" i="2"/>
  <c r="JA86" i="2"/>
  <c r="JB86" i="2"/>
  <c r="JC86" i="2"/>
  <c r="JD86" i="2"/>
  <c r="JE86" i="2"/>
  <c r="JF86" i="2"/>
  <c r="JG86" i="2"/>
  <c r="JH86" i="2"/>
  <c r="JI86" i="2"/>
  <c r="JJ86" i="2"/>
  <c r="JK86" i="2"/>
  <c r="JL86" i="2"/>
  <c r="JM86" i="2"/>
  <c r="JN86" i="2"/>
  <c r="JO86" i="2"/>
  <c r="JP86" i="2"/>
  <c r="JQ86" i="2"/>
  <c r="JR86" i="2"/>
  <c r="JS86" i="2"/>
  <c r="JT86" i="2"/>
  <c r="JU86" i="2"/>
  <c r="JV86" i="2"/>
  <c r="JW86" i="2"/>
  <c r="JX86" i="2"/>
  <c r="JY86" i="2"/>
  <c r="JZ86" i="2"/>
  <c r="KA86" i="2"/>
  <c r="KB86" i="2"/>
  <c r="KC86" i="2"/>
  <c r="KD86" i="2"/>
  <c r="KE86" i="2"/>
  <c r="KF86" i="2"/>
  <c r="KG86" i="2"/>
  <c r="KH86" i="2"/>
  <c r="KI86" i="2"/>
  <c r="KJ86" i="2"/>
  <c r="KK86" i="2"/>
  <c r="KL86" i="2"/>
  <c r="KM86" i="2"/>
  <c r="KN86" i="2"/>
  <c r="KO86" i="2"/>
  <c r="KP86" i="2"/>
  <c r="KQ86" i="2"/>
  <c r="KR86" i="2"/>
  <c r="KS86" i="2"/>
  <c r="KT86" i="2"/>
  <c r="KU86" i="2"/>
  <c r="KV86" i="2"/>
  <c r="KW86" i="2"/>
  <c r="KX86" i="2"/>
  <c r="KY86" i="2"/>
  <c r="KZ86" i="2"/>
  <c r="LA86" i="2"/>
  <c r="LB86" i="2"/>
  <c r="LC86" i="2"/>
  <c r="LD86" i="2"/>
  <c r="LE86" i="2"/>
  <c r="LF86" i="2"/>
  <c r="LG86" i="2"/>
  <c r="LH86" i="2"/>
  <c r="LI86" i="2"/>
  <c r="LJ86" i="2"/>
  <c r="LK86" i="2"/>
  <c r="LL86" i="2"/>
  <c r="LM86" i="2"/>
  <c r="LN86" i="2"/>
  <c r="LO86" i="2"/>
  <c r="LP86" i="2"/>
  <c r="LQ86" i="2"/>
  <c r="LR86" i="2"/>
  <c r="LS86" i="2"/>
  <c r="LT86" i="2"/>
  <c r="LU86" i="2"/>
  <c r="LV86" i="2"/>
  <c r="LW86" i="2"/>
  <c r="LX86" i="2"/>
  <c r="LY86" i="2"/>
  <c r="LZ86" i="2"/>
  <c r="MA86" i="2"/>
  <c r="MB86" i="2"/>
  <c r="MC86" i="2"/>
  <c r="MD86" i="2"/>
  <c r="ME86" i="2"/>
  <c r="MF86" i="2"/>
  <c r="MG86" i="2"/>
  <c r="MH86" i="2"/>
  <c r="MI86" i="2"/>
  <c r="MJ86" i="2"/>
  <c r="MK86" i="2"/>
  <c r="ML86" i="2"/>
  <c r="MM86" i="2"/>
  <c r="MN86" i="2"/>
  <c r="MO86" i="2"/>
  <c r="MP86" i="2"/>
  <c r="MQ86" i="2"/>
  <c r="MR86" i="2"/>
  <c r="MS86" i="2"/>
  <c r="MT86" i="2"/>
  <c r="MU86" i="2"/>
  <c r="MV86" i="2"/>
  <c r="MW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EL87" i="2"/>
  <c r="EM87" i="2"/>
  <c r="EN87" i="2"/>
  <c r="EO87" i="2"/>
  <c r="EP87" i="2"/>
  <c r="EQ87" i="2"/>
  <c r="ER87" i="2"/>
  <c r="ES87" i="2"/>
  <c r="ET87" i="2"/>
  <c r="EU87" i="2"/>
  <c r="EV87" i="2"/>
  <c r="EW87" i="2"/>
  <c r="EX87" i="2"/>
  <c r="EY87" i="2"/>
  <c r="EZ87" i="2"/>
  <c r="FA87" i="2"/>
  <c r="FB87" i="2"/>
  <c r="FC87" i="2"/>
  <c r="FD87" i="2"/>
  <c r="FE87" i="2"/>
  <c r="FF87" i="2"/>
  <c r="FG87" i="2"/>
  <c r="FH87" i="2"/>
  <c r="FI87" i="2"/>
  <c r="FJ87" i="2"/>
  <c r="FK87" i="2"/>
  <c r="FL87" i="2"/>
  <c r="FM87" i="2"/>
  <c r="FN87" i="2"/>
  <c r="FO87" i="2"/>
  <c r="FP87" i="2"/>
  <c r="FQ87" i="2"/>
  <c r="FR87" i="2"/>
  <c r="FS87" i="2"/>
  <c r="FT87" i="2"/>
  <c r="FU87" i="2"/>
  <c r="FV87" i="2"/>
  <c r="FW87" i="2"/>
  <c r="FX87" i="2"/>
  <c r="FY87" i="2"/>
  <c r="FZ87" i="2"/>
  <c r="GA87" i="2"/>
  <c r="GB87" i="2"/>
  <c r="GC87" i="2"/>
  <c r="GD87" i="2"/>
  <c r="GE87" i="2"/>
  <c r="GF87" i="2"/>
  <c r="GG87" i="2"/>
  <c r="GH87" i="2"/>
  <c r="GI87" i="2"/>
  <c r="GJ87" i="2"/>
  <c r="GK87" i="2"/>
  <c r="GL87" i="2"/>
  <c r="GM87" i="2"/>
  <c r="GN87" i="2"/>
  <c r="GO87" i="2"/>
  <c r="GP87" i="2"/>
  <c r="GQ87" i="2"/>
  <c r="GR87" i="2"/>
  <c r="GS87" i="2"/>
  <c r="GT87" i="2"/>
  <c r="GU87" i="2"/>
  <c r="GV87" i="2"/>
  <c r="GW87" i="2"/>
  <c r="GX87" i="2"/>
  <c r="GY87" i="2"/>
  <c r="GZ87" i="2"/>
  <c r="HA87" i="2"/>
  <c r="HB87" i="2"/>
  <c r="HC87" i="2"/>
  <c r="HD87" i="2"/>
  <c r="HE87" i="2"/>
  <c r="HF87" i="2"/>
  <c r="HG87" i="2"/>
  <c r="HH87" i="2"/>
  <c r="HI87" i="2"/>
  <c r="HJ87" i="2"/>
  <c r="HK87" i="2"/>
  <c r="HL87" i="2"/>
  <c r="HM87" i="2"/>
  <c r="HN87" i="2"/>
  <c r="HO87" i="2"/>
  <c r="HP87" i="2"/>
  <c r="HQ87" i="2"/>
  <c r="HR87" i="2"/>
  <c r="HS87" i="2"/>
  <c r="HT87" i="2"/>
  <c r="HU87" i="2"/>
  <c r="HV87" i="2"/>
  <c r="HW87" i="2"/>
  <c r="HX87" i="2"/>
  <c r="HY87" i="2"/>
  <c r="HZ87" i="2"/>
  <c r="IA87" i="2"/>
  <c r="IB87" i="2"/>
  <c r="IC87" i="2"/>
  <c r="ID87" i="2"/>
  <c r="IE87" i="2"/>
  <c r="IF87" i="2"/>
  <c r="IG87" i="2"/>
  <c r="IH87" i="2"/>
  <c r="II87" i="2"/>
  <c r="IJ87" i="2"/>
  <c r="IK87" i="2"/>
  <c r="IL87" i="2"/>
  <c r="IM87" i="2"/>
  <c r="IN87" i="2"/>
  <c r="IO87" i="2"/>
  <c r="IP87" i="2"/>
  <c r="IQ87" i="2"/>
  <c r="IR87" i="2"/>
  <c r="IS87" i="2"/>
  <c r="IT87" i="2"/>
  <c r="IU87" i="2"/>
  <c r="IV87" i="2"/>
  <c r="IW87" i="2"/>
  <c r="IX87" i="2"/>
  <c r="IY87" i="2"/>
  <c r="IZ87" i="2"/>
  <c r="JA87" i="2"/>
  <c r="JB87" i="2"/>
  <c r="JC87" i="2"/>
  <c r="JD87" i="2"/>
  <c r="JE87" i="2"/>
  <c r="JF87" i="2"/>
  <c r="JG87" i="2"/>
  <c r="JH87" i="2"/>
  <c r="JI87" i="2"/>
  <c r="JJ87" i="2"/>
  <c r="JK87" i="2"/>
  <c r="JL87" i="2"/>
  <c r="JM87" i="2"/>
  <c r="JN87" i="2"/>
  <c r="JO87" i="2"/>
  <c r="JP87" i="2"/>
  <c r="JQ87" i="2"/>
  <c r="JR87" i="2"/>
  <c r="JS87" i="2"/>
  <c r="JT87" i="2"/>
  <c r="JU87" i="2"/>
  <c r="JV87" i="2"/>
  <c r="JW87" i="2"/>
  <c r="JX87" i="2"/>
  <c r="JY87" i="2"/>
  <c r="JZ87" i="2"/>
  <c r="KA87" i="2"/>
  <c r="KB87" i="2"/>
  <c r="KC87" i="2"/>
  <c r="KD87" i="2"/>
  <c r="KE87" i="2"/>
  <c r="KF87" i="2"/>
  <c r="KG87" i="2"/>
  <c r="KH87" i="2"/>
  <c r="KI87" i="2"/>
  <c r="KJ87" i="2"/>
  <c r="KK87" i="2"/>
  <c r="KL87" i="2"/>
  <c r="KM87" i="2"/>
  <c r="KN87" i="2"/>
  <c r="KO87" i="2"/>
  <c r="KP87" i="2"/>
  <c r="KQ87" i="2"/>
  <c r="KR87" i="2"/>
  <c r="KS87" i="2"/>
  <c r="KT87" i="2"/>
  <c r="KU87" i="2"/>
  <c r="KV87" i="2"/>
  <c r="KW87" i="2"/>
  <c r="KX87" i="2"/>
  <c r="KY87" i="2"/>
  <c r="KZ87" i="2"/>
  <c r="LA87" i="2"/>
  <c r="LB87" i="2"/>
  <c r="LC87" i="2"/>
  <c r="LD87" i="2"/>
  <c r="LE87" i="2"/>
  <c r="LF87" i="2"/>
  <c r="LG87" i="2"/>
  <c r="LH87" i="2"/>
  <c r="LI87" i="2"/>
  <c r="LJ87" i="2"/>
  <c r="LK87" i="2"/>
  <c r="LL87" i="2"/>
  <c r="LM87" i="2"/>
  <c r="LN87" i="2"/>
  <c r="LO87" i="2"/>
  <c r="LP87" i="2"/>
  <c r="LQ87" i="2"/>
  <c r="LR87" i="2"/>
  <c r="LS87" i="2"/>
  <c r="LT87" i="2"/>
  <c r="LU87" i="2"/>
  <c r="LV87" i="2"/>
  <c r="LW87" i="2"/>
  <c r="LX87" i="2"/>
  <c r="LY87" i="2"/>
  <c r="LZ87" i="2"/>
  <c r="MA87" i="2"/>
  <c r="MB87" i="2"/>
  <c r="MC87" i="2"/>
  <c r="MD87" i="2"/>
  <c r="ME87" i="2"/>
  <c r="MF87" i="2"/>
  <c r="MG87" i="2"/>
  <c r="MH87" i="2"/>
  <c r="MI87" i="2"/>
  <c r="MJ87" i="2"/>
  <c r="MK87" i="2"/>
  <c r="ML87" i="2"/>
  <c r="MM87" i="2"/>
  <c r="MN87" i="2"/>
  <c r="MO87" i="2"/>
  <c r="MP87" i="2"/>
  <c r="MQ87" i="2"/>
  <c r="MR87" i="2"/>
  <c r="MS87" i="2"/>
  <c r="MT87" i="2"/>
  <c r="MU87" i="2"/>
  <c r="MV87" i="2"/>
  <c r="MW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EL88" i="2"/>
  <c r="EM88" i="2"/>
  <c r="EN88" i="2"/>
  <c r="EO88" i="2"/>
  <c r="EP88" i="2"/>
  <c r="EQ88" i="2"/>
  <c r="ER88" i="2"/>
  <c r="ES88" i="2"/>
  <c r="ET88" i="2"/>
  <c r="EU88" i="2"/>
  <c r="EV88" i="2"/>
  <c r="EW88" i="2"/>
  <c r="EX88" i="2"/>
  <c r="EY88" i="2"/>
  <c r="EZ88" i="2"/>
  <c r="FA88" i="2"/>
  <c r="FB88" i="2"/>
  <c r="FC88" i="2"/>
  <c r="FD88" i="2"/>
  <c r="FE88" i="2"/>
  <c r="FF88" i="2"/>
  <c r="FG88" i="2"/>
  <c r="FH88" i="2"/>
  <c r="FI88" i="2"/>
  <c r="FJ88" i="2"/>
  <c r="FK88" i="2"/>
  <c r="FL88" i="2"/>
  <c r="FM88" i="2"/>
  <c r="FN88" i="2"/>
  <c r="FO88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GG88" i="2"/>
  <c r="GH88" i="2"/>
  <c r="GI88" i="2"/>
  <c r="GJ88" i="2"/>
  <c r="GK88" i="2"/>
  <c r="GL88" i="2"/>
  <c r="GM88" i="2"/>
  <c r="GN88" i="2"/>
  <c r="GO88" i="2"/>
  <c r="GP88" i="2"/>
  <c r="GQ88" i="2"/>
  <c r="GR88" i="2"/>
  <c r="GS88" i="2"/>
  <c r="GT88" i="2"/>
  <c r="GU88" i="2"/>
  <c r="GV88" i="2"/>
  <c r="GW88" i="2"/>
  <c r="GX88" i="2"/>
  <c r="GY88" i="2"/>
  <c r="GZ88" i="2"/>
  <c r="HA88" i="2"/>
  <c r="HB88" i="2"/>
  <c r="HC88" i="2"/>
  <c r="HD88" i="2"/>
  <c r="HE88" i="2"/>
  <c r="HF88" i="2"/>
  <c r="HG88" i="2"/>
  <c r="HH88" i="2"/>
  <c r="HI88" i="2"/>
  <c r="HJ88" i="2"/>
  <c r="HK88" i="2"/>
  <c r="HL88" i="2"/>
  <c r="HM88" i="2"/>
  <c r="HN88" i="2"/>
  <c r="HO88" i="2"/>
  <c r="HP88" i="2"/>
  <c r="HQ88" i="2"/>
  <c r="HR88" i="2"/>
  <c r="HS88" i="2"/>
  <c r="HT88" i="2"/>
  <c r="HU88" i="2"/>
  <c r="HV88" i="2"/>
  <c r="HW88" i="2"/>
  <c r="HX88" i="2"/>
  <c r="HY88" i="2"/>
  <c r="HZ88" i="2"/>
  <c r="IA88" i="2"/>
  <c r="IB88" i="2"/>
  <c r="IC88" i="2"/>
  <c r="ID88" i="2"/>
  <c r="IE88" i="2"/>
  <c r="IF88" i="2"/>
  <c r="IG88" i="2"/>
  <c r="IH88" i="2"/>
  <c r="II88" i="2"/>
  <c r="IJ88" i="2"/>
  <c r="IK88" i="2"/>
  <c r="IL88" i="2"/>
  <c r="IM88" i="2"/>
  <c r="IN88" i="2"/>
  <c r="IO88" i="2"/>
  <c r="IP88" i="2"/>
  <c r="IQ88" i="2"/>
  <c r="IR88" i="2"/>
  <c r="IS88" i="2"/>
  <c r="IT88" i="2"/>
  <c r="IU88" i="2"/>
  <c r="IV88" i="2"/>
  <c r="IW88" i="2"/>
  <c r="IX88" i="2"/>
  <c r="IY88" i="2"/>
  <c r="IZ88" i="2"/>
  <c r="JA88" i="2"/>
  <c r="JB88" i="2"/>
  <c r="JC88" i="2"/>
  <c r="JD88" i="2"/>
  <c r="JE88" i="2"/>
  <c r="JF88" i="2"/>
  <c r="JG88" i="2"/>
  <c r="JH88" i="2"/>
  <c r="JI88" i="2"/>
  <c r="JJ88" i="2"/>
  <c r="JK88" i="2"/>
  <c r="JL88" i="2"/>
  <c r="JM88" i="2"/>
  <c r="JN88" i="2"/>
  <c r="JO88" i="2"/>
  <c r="JP88" i="2"/>
  <c r="JQ88" i="2"/>
  <c r="JR88" i="2"/>
  <c r="JS88" i="2"/>
  <c r="JT88" i="2"/>
  <c r="JU88" i="2"/>
  <c r="JV88" i="2"/>
  <c r="JW88" i="2"/>
  <c r="JX88" i="2"/>
  <c r="JY88" i="2"/>
  <c r="JZ88" i="2"/>
  <c r="KA88" i="2"/>
  <c r="KB88" i="2"/>
  <c r="KC88" i="2"/>
  <c r="KD88" i="2"/>
  <c r="KE88" i="2"/>
  <c r="KF88" i="2"/>
  <c r="KG88" i="2"/>
  <c r="KH88" i="2"/>
  <c r="KI88" i="2"/>
  <c r="KJ88" i="2"/>
  <c r="KK88" i="2"/>
  <c r="KL88" i="2"/>
  <c r="KM88" i="2"/>
  <c r="KN88" i="2"/>
  <c r="KO88" i="2"/>
  <c r="KP88" i="2"/>
  <c r="KQ88" i="2"/>
  <c r="KR88" i="2"/>
  <c r="KS88" i="2"/>
  <c r="KT88" i="2"/>
  <c r="KU88" i="2"/>
  <c r="KV88" i="2"/>
  <c r="KW88" i="2"/>
  <c r="KX88" i="2"/>
  <c r="KY88" i="2"/>
  <c r="KZ88" i="2"/>
  <c r="LA88" i="2"/>
  <c r="LB88" i="2"/>
  <c r="LC88" i="2"/>
  <c r="LD88" i="2"/>
  <c r="LE88" i="2"/>
  <c r="LF88" i="2"/>
  <c r="LG88" i="2"/>
  <c r="LH88" i="2"/>
  <c r="LI88" i="2"/>
  <c r="LJ88" i="2"/>
  <c r="LK88" i="2"/>
  <c r="LL88" i="2"/>
  <c r="LM88" i="2"/>
  <c r="LN88" i="2"/>
  <c r="LO88" i="2"/>
  <c r="LP88" i="2"/>
  <c r="LQ88" i="2"/>
  <c r="LR88" i="2"/>
  <c r="LS88" i="2"/>
  <c r="LT88" i="2"/>
  <c r="LU88" i="2"/>
  <c r="LV88" i="2"/>
  <c r="LW88" i="2"/>
  <c r="LX88" i="2"/>
  <c r="LY88" i="2"/>
  <c r="LZ88" i="2"/>
  <c r="MA88" i="2"/>
  <c r="MB88" i="2"/>
  <c r="MC88" i="2"/>
  <c r="MD88" i="2"/>
  <c r="ME88" i="2"/>
  <c r="MF88" i="2"/>
  <c r="MG88" i="2"/>
  <c r="MH88" i="2"/>
  <c r="MI88" i="2"/>
  <c r="MJ88" i="2"/>
  <c r="MK88" i="2"/>
  <c r="ML88" i="2"/>
  <c r="MM88" i="2"/>
  <c r="MN88" i="2"/>
  <c r="MO88" i="2"/>
  <c r="MP88" i="2"/>
  <c r="MQ88" i="2"/>
  <c r="MR88" i="2"/>
  <c r="MS88" i="2"/>
  <c r="MT88" i="2"/>
  <c r="MU88" i="2"/>
  <c r="MV88" i="2"/>
  <c r="MW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EL89" i="2"/>
  <c r="EM89" i="2"/>
  <c r="EN89" i="2"/>
  <c r="EO89" i="2"/>
  <c r="EP89" i="2"/>
  <c r="EQ89" i="2"/>
  <c r="ER89" i="2"/>
  <c r="ES89" i="2"/>
  <c r="ET89" i="2"/>
  <c r="EU89" i="2"/>
  <c r="EV89" i="2"/>
  <c r="EW89" i="2"/>
  <c r="EX89" i="2"/>
  <c r="EY89" i="2"/>
  <c r="EZ89" i="2"/>
  <c r="FA89" i="2"/>
  <c r="FB89" i="2"/>
  <c r="FC89" i="2"/>
  <c r="FD89" i="2"/>
  <c r="FE89" i="2"/>
  <c r="FF89" i="2"/>
  <c r="FG89" i="2"/>
  <c r="FH89" i="2"/>
  <c r="FI89" i="2"/>
  <c r="FJ89" i="2"/>
  <c r="FK89" i="2"/>
  <c r="FL89" i="2"/>
  <c r="FM89" i="2"/>
  <c r="FN89" i="2"/>
  <c r="FO89" i="2"/>
  <c r="FP89" i="2"/>
  <c r="FQ89" i="2"/>
  <c r="FR89" i="2"/>
  <c r="FS89" i="2"/>
  <c r="FT89" i="2"/>
  <c r="FU89" i="2"/>
  <c r="FV89" i="2"/>
  <c r="FW89" i="2"/>
  <c r="FX89" i="2"/>
  <c r="FY89" i="2"/>
  <c r="FZ89" i="2"/>
  <c r="GA89" i="2"/>
  <c r="GB89" i="2"/>
  <c r="GC89" i="2"/>
  <c r="GD89" i="2"/>
  <c r="GE89" i="2"/>
  <c r="GF89" i="2"/>
  <c r="GG89" i="2"/>
  <c r="GH89" i="2"/>
  <c r="GI89" i="2"/>
  <c r="GJ89" i="2"/>
  <c r="GK89" i="2"/>
  <c r="GL89" i="2"/>
  <c r="GM89" i="2"/>
  <c r="GN89" i="2"/>
  <c r="GO89" i="2"/>
  <c r="GP89" i="2"/>
  <c r="GQ89" i="2"/>
  <c r="GR89" i="2"/>
  <c r="GS89" i="2"/>
  <c r="GT89" i="2"/>
  <c r="GU89" i="2"/>
  <c r="GV89" i="2"/>
  <c r="GW89" i="2"/>
  <c r="GX89" i="2"/>
  <c r="GY89" i="2"/>
  <c r="GZ89" i="2"/>
  <c r="HA89" i="2"/>
  <c r="HB89" i="2"/>
  <c r="HC89" i="2"/>
  <c r="HD89" i="2"/>
  <c r="HE89" i="2"/>
  <c r="HF89" i="2"/>
  <c r="HG89" i="2"/>
  <c r="HH89" i="2"/>
  <c r="HI89" i="2"/>
  <c r="HJ89" i="2"/>
  <c r="HK89" i="2"/>
  <c r="HL89" i="2"/>
  <c r="HM89" i="2"/>
  <c r="HN89" i="2"/>
  <c r="HO89" i="2"/>
  <c r="HP89" i="2"/>
  <c r="HQ89" i="2"/>
  <c r="HR89" i="2"/>
  <c r="HS89" i="2"/>
  <c r="HT89" i="2"/>
  <c r="HU89" i="2"/>
  <c r="HV89" i="2"/>
  <c r="HW89" i="2"/>
  <c r="HX89" i="2"/>
  <c r="HY89" i="2"/>
  <c r="HZ89" i="2"/>
  <c r="IA89" i="2"/>
  <c r="IB89" i="2"/>
  <c r="IC89" i="2"/>
  <c r="ID89" i="2"/>
  <c r="IE89" i="2"/>
  <c r="IF89" i="2"/>
  <c r="IG89" i="2"/>
  <c r="IH89" i="2"/>
  <c r="II89" i="2"/>
  <c r="IJ89" i="2"/>
  <c r="IK89" i="2"/>
  <c r="IL89" i="2"/>
  <c r="IM89" i="2"/>
  <c r="IN89" i="2"/>
  <c r="IO89" i="2"/>
  <c r="IP89" i="2"/>
  <c r="IQ89" i="2"/>
  <c r="IR89" i="2"/>
  <c r="IS89" i="2"/>
  <c r="IT89" i="2"/>
  <c r="IU89" i="2"/>
  <c r="IV89" i="2"/>
  <c r="IW89" i="2"/>
  <c r="IX89" i="2"/>
  <c r="IY89" i="2"/>
  <c r="IZ89" i="2"/>
  <c r="JA89" i="2"/>
  <c r="JB89" i="2"/>
  <c r="JC89" i="2"/>
  <c r="JD89" i="2"/>
  <c r="JE89" i="2"/>
  <c r="JF89" i="2"/>
  <c r="JG89" i="2"/>
  <c r="JH89" i="2"/>
  <c r="JI89" i="2"/>
  <c r="JJ89" i="2"/>
  <c r="JK89" i="2"/>
  <c r="JL89" i="2"/>
  <c r="JM89" i="2"/>
  <c r="JN89" i="2"/>
  <c r="JO89" i="2"/>
  <c r="JP89" i="2"/>
  <c r="JQ89" i="2"/>
  <c r="JR89" i="2"/>
  <c r="JS89" i="2"/>
  <c r="JT89" i="2"/>
  <c r="JU89" i="2"/>
  <c r="JV89" i="2"/>
  <c r="JW89" i="2"/>
  <c r="JX89" i="2"/>
  <c r="JY89" i="2"/>
  <c r="JZ89" i="2"/>
  <c r="KA89" i="2"/>
  <c r="KB89" i="2"/>
  <c r="KC89" i="2"/>
  <c r="KD89" i="2"/>
  <c r="KE89" i="2"/>
  <c r="KF89" i="2"/>
  <c r="KG89" i="2"/>
  <c r="KH89" i="2"/>
  <c r="KI89" i="2"/>
  <c r="KJ89" i="2"/>
  <c r="KK89" i="2"/>
  <c r="KL89" i="2"/>
  <c r="KM89" i="2"/>
  <c r="KN89" i="2"/>
  <c r="KO89" i="2"/>
  <c r="KP89" i="2"/>
  <c r="KQ89" i="2"/>
  <c r="KR89" i="2"/>
  <c r="KS89" i="2"/>
  <c r="KT89" i="2"/>
  <c r="KU89" i="2"/>
  <c r="KV89" i="2"/>
  <c r="KW89" i="2"/>
  <c r="KX89" i="2"/>
  <c r="KY89" i="2"/>
  <c r="KZ89" i="2"/>
  <c r="LA89" i="2"/>
  <c r="LB89" i="2"/>
  <c r="LC89" i="2"/>
  <c r="LD89" i="2"/>
  <c r="LE89" i="2"/>
  <c r="LF89" i="2"/>
  <c r="LG89" i="2"/>
  <c r="LH89" i="2"/>
  <c r="LI89" i="2"/>
  <c r="LJ89" i="2"/>
  <c r="LK89" i="2"/>
  <c r="LL89" i="2"/>
  <c r="LM89" i="2"/>
  <c r="LN89" i="2"/>
  <c r="LO89" i="2"/>
  <c r="LP89" i="2"/>
  <c r="LQ89" i="2"/>
  <c r="LR89" i="2"/>
  <c r="LS89" i="2"/>
  <c r="LT89" i="2"/>
  <c r="LU89" i="2"/>
  <c r="LV89" i="2"/>
  <c r="LW89" i="2"/>
  <c r="LX89" i="2"/>
  <c r="LY89" i="2"/>
  <c r="LZ89" i="2"/>
  <c r="MA89" i="2"/>
  <c r="MB89" i="2"/>
  <c r="MC89" i="2"/>
  <c r="MD89" i="2"/>
  <c r="ME89" i="2"/>
  <c r="MF89" i="2"/>
  <c r="MG89" i="2"/>
  <c r="MH89" i="2"/>
  <c r="MI89" i="2"/>
  <c r="MJ89" i="2"/>
  <c r="MK89" i="2"/>
  <c r="ML89" i="2"/>
  <c r="MM89" i="2"/>
  <c r="MN89" i="2"/>
  <c r="MO89" i="2"/>
  <c r="MP89" i="2"/>
  <c r="MQ89" i="2"/>
  <c r="MR89" i="2"/>
  <c r="MS89" i="2"/>
  <c r="MT89" i="2"/>
  <c r="MU89" i="2"/>
  <c r="MV89" i="2"/>
  <c r="MW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EM90" i="2"/>
  <c r="EN90" i="2"/>
  <c r="EO90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90" i="2"/>
  <c r="FC90" i="2"/>
  <c r="FD90" i="2"/>
  <c r="FE90" i="2"/>
  <c r="FF90" i="2"/>
  <c r="FG90" i="2"/>
  <c r="FH90" i="2"/>
  <c r="FI90" i="2"/>
  <c r="FJ90" i="2"/>
  <c r="FK90" i="2"/>
  <c r="FL90" i="2"/>
  <c r="FM90" i="2"/>
  <c r="FN90" i="2"/>
  <c r="FO90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GG90" i="2"/>
  <c r="GH90" i="2"/>
  <c r="GI90" i="2"/>
  <c r="GJ90" i="2"/>
  <c r="GK90" i="2"/>
  <c r="GL90" i="2"/>
  <c r="GM90" i="2"/>
  <c r="GN90" i="2"/>
  <c r="GO90" i="2"/>
  <c r="GP90" i="2"/>
  <c r="GQ90" i="2"/>
  <c r="GR90" i="2"/>
  <c r="GS90" i="2"/>
  <c r="GT90" i="2"/>
  <c r="GU90" i="2"/>
  <c r="GV90" i="2"/>
  <c r="GW90" i="2"/>
  <c r="GX90" i="2"/>
  <c r="GY90" i="2"/>
  <c r="GZ90" i="2"/>
  <c r="HA90" i="2"/>
  <c r="HB90" i="2"/>
  <c r="HC90" i="2"/>
  <c r="HD90" i="2"/>
  <c r="HE90" i="2"/>
  <c r="HF90" i="2"/>
  <c r="HG90" i="2"/>
  <c r="HH90" i="2"/>
  <c r="HI90" i="2"/>
  <c r="HJ90" i="2"/>
  <c r="HK90" i="2"/>
  <c r="HL90" i="2"/>
  <c r="HM90" i="2"/>
  <c r="HN90" i="2"/>
  <c r="HO90" i="2"/>
  <c r="HP90" i="2"/>
  <c r="HQ90" i="2"/>
  <c r="HR90" i="2"/>
  <c r="HS90" i="2"/>
  <c r="HT90" i="2"/>
  <c r="HU90" i="2"/>
  <c r="HV90" i="2"/>
  <c r="HW90" i="2"/>
  <c r="HX90" i="2"/>
  <c r="HY90" i="2"/>
  <c r="HZ90" i="2"/>
  <c r="IA90" i="2"/>
  <c r="IB90" i="2"/>
  <c r="IC90" i="2"/>
  <c r="ID90" i="2"/>
  <c r="IE90" i="2"/>
  <c r="IF90" i="2"/>
  <c r="IG90" i="2"/>
  <c r="IH90" i="2"/>
  <c r="II90" i="2"/>
  <c r="IJ90" i="2"/>
  <c r="IK90" i="2"/>
  <c r="IL90" i="2"/>
  <c r="IM90" i="2"/>
  <c r="IN90" i="2"/>
  <c r="IO90" i="2"/>
  <c r="IP90" i="2"/>
  <c r="IQ90" i="2"/>
  <c r="IR90" i="2"/>
  <c r="IS90" i="2"/>
  <c r="IT90" i="2"/>
  <c r="IU90" i="2"/>
  <c r="IV90" i="2"/>
  <c r="IW90" i="2"/>
  <c r="IX90" i="2"/>
  <c r="IY90" i="2"/>
  <c r="IZ90" i="2"/>
  <c r="JA90" i="2"/>
  <c r="JB90" i="2"/>
  <c r="JC90" i="2"/>
  <c r="JD90" i="2"/>
  <c r="JE90" i="2"/>
  <c r="JF90" i="2"/>
  <c r="JG90" i="2"/>
  <c r="JH90" i="2"/>
  <c r="JI90" i="2"/>
  <c r="JJ90" i="2"/>
  <c r="JK90" i="2"/>
  <c r="JL90" i="2"/>
  <c r="JM90" i="2"/>
  <c r="JN90" i="2"/>
  <c r="JO90" i="2"/>
  <c r="JP90" i="2"/>
  <c r="JQ90" i="2"/>
  <c r="JR90" i="2"/>
  <c r="JS90" i="2"/>
  <c r="JT90" i="2"/>
  <c r="JU90" i="2"/>
  <c r="JV90" i="2"/>
  <c r="JW90" i="2"/>
  <c r="JX90" i="2"/>
  <c r="JY90" i="2"/>
  <c r="JZ90" i="2"/>
  <c r="KA90" i="2"/>
  <c r="KB90" i="2"/>
  <c r="KC90" i="2"/>
  <c r="KD90" i="2"/>
  <c r="KE90" i="2"/>
  <c r="KF90" i="2"/>
  <c r="KG90" i="2"/>
  <c r="KH90" i="2"/>
  <c r="KI90" i="2"/>
  <c r="KJ90" i="2"/>
  <c r="KK90" i="2"/>
  <c r="KL90" i="2"/>
  <c r="KM90" i="2"/>
  <c r="KN90" i="2"/>
  <c r="KO90" i="2"/>
  <c r="KP90" i="2"/>
  <c r="KQ90" i="2"/>
  <c r="KR90" i="2"/>
  <c r="KS90" i="2"/>
  <c r="KT90" i="2"/>
  <c r="KU90" i="2"/>
  <c r="KV90" i="2"/>
  <c r="KW90" i="2"/>
  <c r="KX90" i="2"/>
  <c r="KY90" i="2"/>
  <c r="KZ90" i="2"/>
  <c r="LA90" i="2"/>
  <c r="LB90" i="2"/>
  <c r="LC90" i="2"/>
  <c r="LD90" i="2"/>
  <c r="LE90" i="2"/>
  <c r="LF90" i="2"/>
  <c r="LG90" i="2"/>
  <c r="LH90" i="2"/>
  <c r="LI90" i="2"/>
  <c r="LJ90" i="2"/>
  <c r="LK90" i="2"/>
  <c r="LL90" i="2"/>
  <c r="LM90" i="2"/>
  <c r="LN90" i="2"/>
  <c r="LO90" i="2"/>
  <c r="LP90" i="2"/>
  <c r="LQ90" i="2"/>
  <c r="LR90" i="2"/>
  <c r="LS90" i="2"/>
  <c r="LT90" i="2"/>
  <c r="LU90" i="2"/>
  <c r="LV90" i="2"/>
  <c r="LW90" i="2"/>
  <c r="LX90" i="2"/>
  <c r="LY90" i="2"/>
  <c r="LZ90" i="2"/>
  <c r="MA90" i="2"/>
  <c r="MB90" i="2"/>
  <c r="MC90" i="2"/>
  <c r="MD90" i="2"/>
  <c r="ME90" i="2"/>
  <c r="MF90" i="2"/>
  <c r="MG90" i="2"/>
  <c r="MH90" i="2"/>
  <c r="MI90" i="2"/>
  <c r="MJ90" i="2"/>
  <c r="MK90" i="2"/>
  <c r="ML90" i="2"/>
  <c r="MM90" i="2"/>
  <c r="MN90" i="2"/>
  <c r="MO90" i="2"/>
  <c r="MP90" i="2"/>
  <c r="MQ90" i="2"/>
  <c r="MR90" i="2"/>
  <c r="MS90" i="2"/>
  <c r="MT90" i="2"/>
  <c r="MU90" i="2"/>
  <c r="MV90" i="2"/>
  <c r="MW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EL91" i="2"/>
  <c r="EM91" i="2"/>
  <c r="EN91" i="2"/>
  <c r="EO91" i="2"/>
  <c r="EP91" i="2"/>
  <c r="EQ91" i="2"/>
  <c r="ER91" i="2"/>
  <c r="ES91" i="2"/>
  <c r="ET91" i="2"/>
  <c r="EU91" i="2"/>
  <c r="EV91" i="2"/>
  <c r="EW91" i="2"/>
  <c r="EX91" i="2"/>
  <c r="EY91" i="2"/>
  <c r="EZ91" i="2"/>
  <c r="FA91" i="2"/>
  <c r="FB91" i="2"/>
  <c r="FC91" i="2"/>
  <c r="FD91" i="2"/>
  <c r="FE91" i="2"/>
  <c r="FF91" i="2"/>
  <c r="FG91" i="2"/>
  <c r="FH91" i="2"/>
  <c r="FI91" i="2"/>
  <c r="FJ91" i="2"/>
  <c r="FK91" i="2"/>
  <c r="FL91" i="2"/>
  <c r="FM91" i="2"/>
  <c r="FN91" i="2"/>
  <c r="FO91" i="2"/>
  <c r="FP91" i="2"/>
  <c r="FQ91" i="2"/>
  <c r="FR91" i="2"/>
  <c r="FS91" i="2"/>
  <c r="FT91" i="2"/>
  <c r="FU91" i="2"/>
  <c r="FV91" i="2"/>
  <c r="FW91" i="2"/>
  <c r="FX91" i="2"/>
  <c r="FY91" i="2"/>
  <c r="FZ91" i="2"/>
  <c r="GA91" i="2"/>
  <c r="GB91" i="2"/>
  <c r="GC91" i="2"/>
  <c r="GD91" i="2"/>
  <c r="GE91" i="2"/>
  <c r="GF91" i="2"/>
  <c r="GG91" i="2"/>
  <c r="GH91" i="2"/>
  <c r="GI91" i="2"/>
  <c r="GJ91" i="2"/>
  <c r="GK91" i="2"/>
  <c r="GL91" i="2"/>
  <c r="GM91" i="2"/>
  <c r="GN91" i="2"/>
  <c r="GO91" i="2"/>
  <c r="GP91" i="2"/>
  <c r="GQ91" i="2"/>
  <c r="GR91" i="2"/>
  <c r="GS91" i="2"/>
  <c r="GT91" i="2"/>
  <c r="GU91" i="2"/>
  <c r="GV91" i="2"/>
  <c r="GW91" i="2"/>
  <c r="GX91" i="2"/>
  <c r="GY91" i="2"/>
  <c r="GZ91" i="2"/>
  <c r="HA91" i="2"/>
  <c r="HB91" i="2"/>
  <c r="HC91" i="2"/>
  <c r="HD91" i="2"/>
  <c r="HE91" i="2"/>
  <c r="HF91" i="2"/>
  <c r="HG91" i="2"/>
  <c r="HH91" i="2"/>
  <c r="HI91" i="2"/>
  <c r="HJ91" i="2"/>
  <c r="HK91" i="2"/>
  <c r="HL91" i="2"/>
  <c r="HM91" i="2"/>
  <c r="HN91" i="2"/>
  <c r="HO91" i="2"/>
  <c r="HP91" i="2"/>
  <c r="HQ91" i="2"/>
  <c r="HR91" i="2"/>
  <c r="HS91" i="2"/>
  <c r="HT91" i="2"/>
  <c r="HU91" i="2"/>
  <c r="HV91" i="2"/>
  <c r="HW91" i="2"/>
  <c r="HX91" i="2"/>
  <c r="HY91" i="2"/>
  <c r="HZ91" i="2"/>
  <c r="IA91" i="2"/>
  <c r="IB91" i="2"/>
  <c r="IC91" i="2"/>
  <c r="ID91" i="2"/>
  <c r="IE91" i="2"/>
  <c r="IF91" i="2"/>
  <c r="IG91" i="2"/>
  <c r="IH91" i="2"/>
  <c r="II91" i="2"/>
  <c r="IJ91" i="2"/>
  <c r="IK91" i="2"/>
  <c r="IL91" i="2"/>
  <c r="IM91" i="2"/>
  <c r="IN91" i="2"/>
  <c r="IO91" i="2"/>
  <c r="IP91" i="2"/>
  <c r="IQ91" i="2"/>
  <c r="IR91" i="2"/>
  <c r="IS91" i="2"/>
  <c r="IT91" i="2"/>
  <c r="IU91" i="2"/>
  <c r="IV91" i="2"/>
  <c r="IW91" i="2"/>
  <c r="IX91" i="2"/>
  <c r="IY91" i="2"/>
  <c r="IZ91" i="2"/>
  <c r="JA91" i="2"/>
  <c r="JB91" i="2"/>
  <c r="JC91" i="2"/>
  <c r="JD91" i="2"/>
  <c r="JE91" i="2"/>
  <c r="JF91" i="2"/>
  <c r="JG91" i="2"/>
  <c r="JH91" i="2"/>
  <c r="JI91" i="2"/>
  <c r="JJ91" i="2"/>
  <c r="JK91" i="2"/>
  <c r="JL91" i="2"/>
  <c r="JM91" i="2"/>
  <c r="JN91" i="2"/>
  <c r="JO91" i="2"/>
  <c r="JP91" i="2"/>
  <c r="JQ91" i="2"/>
  <c r="JR91" i="2"/>
  <c r="JS91" i="2"/>
  <c r="JT91" i="2"/>
  <c r="JU91" i="2"/>
  <c r="JV91" i="2"/>
  <c r="JW91" i="2"/>
  <c r="JX91" i="2"/>
  <c r="JY91" i="2"/>
  <c r="JZ91" i="2"/>
  <c r="KA91" i="2"/>
  <c r="KB91" i="2"/>
  <c r="KC91" i="2"/>
  <c r="KD91" i="2"/>
  <c r="KE91" i="2"/>
  <c r="KF91" i="2"/>
  <c r="KG91" i="2"/>
  <c r="KH91" i="2"/>
  <c r="KI91" i="2"/>
  <c r="KJ91" i="2"/>
  <c r="KK91" i="2"/>
  <c r="KL91" i="2"/>
  <c r="KM91" i="2"/>
  <c r="KN91" i="2"/>
  <c r="KO91" i="2"/>
  <c r="KP91" i="2"/>
  <c r="KQ91" i="2"/>
  <c r="KR91" i="2"/>
  <c r="KS91" i="2"/>
  <c r="KT91" i="2"/>
  <c r="KU91" i="2"/>
  <c r="KV91" i="2"/>
  <c r="KW91" i="2"/>
  <c r="KX91" i="2"/>
  <c r="KY91" i="2"/>
  <c r="KZ91" i="2"/>
  <c r="LA91" i="2"/>
  <c r="LB91" i="2"/>
  <c r="LC91" i="2"/>
  <c r="LD91" i="2"/>
  <c r="LE91" i="2"/>
  <c r="LF91" i="2"/>
  <c r="LG91" i="2"/>
  <c r="LH91" i="2"/>
  <c r="LI91" i="2"/>
  <c r="LJ91" i="2"/>
  <c r="LK91" i="2"/>
  <c r="LL91" i="2"/>
  <c r="LM91" i="2"/>
  <c r="LN91" i="2"/>
  <c r="LO91" i="2"/>
  <c r="LP91" i="2"/>
  <c r="LQ91" i="2"/>
  <c r="LR91" i="2"/>
  <c r="LS91" i="2"/>
  <c r="LT91" i="2"/>
  <c r="LU91" i="2"/>
  <c r="LV91" i="2"/>
  <c r="LW91" i="2"/>
  <c r="LX91" i="2"/>
  <c r="LY91" i="2"/>
  <c r="LZ91" i="2"/>
  <c r="MA91" i="2"/>
  <c r="MB91" i="2"/>
  <c r="MC91" i="2"/>
  <c r="MD91" i="2"/>
  <c r="ME91" i="2"/>
  <c r="MF91" i="2"/>
  <c r="MG91" i="2"/>
  <c r="MH91" i="2"/>
  <c r="MI91" i="2"/>
  <c r="MJ91" i="2"/>
  <c r="MK91" i="2"/>
  <c r="ML91" i="2"/>
  <c r="MM91" i="2"/>
  <c r="MN91" i="2"/>
  <c r="MO91" i="2"/>
  <c r="MP91" i="2"/>
  <c r="MQ91" i="2"/>
  <c r="MR91" i="2"/>
  <c r="MS91" i="2"/>
  <c r="MT91" i="2"/>
  <c r="MU91" i="2"/>
  <c r="MV91" i="2"/>
  <c r="MW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EL92" i="2"/>
  <c r="EM92" i="2"/>
  <c r="EN92" i="2"/>
  <c r="EO92" i="2"/>
  <c r="EP92" i="2"/>
  <c r="EQ92" i="2"/>
  <c r="ER92" i="2"/>
  <c r="ES92" i="2"/>
  <c r="ET92" i="2"/>
  <c r="EU92" i="2"/>
  <c r="EV92" i="2"/>
  <c r="EW92" i="2"/>
  <c r="EX92" i="2"/>
  <c r="EY92" i="2"/>
  <c r="EZ92" i="2"/>
  <c r="FA92" i="2"/>
  <c r="FB92" i="2"/>
  <c r="FC92" i="2"/>
  <c r="FD92" i="2"/>
  <c r="FE92" i="2"/>
  <c r="FF92" i="2"/>
  <c r="FG92" i="2"/>
  <c r="FH92" i="2"/>
  <c r="FI92" i="2"/>
  <c r="FJ92" i="2"/>
  <c r="FK92" i="2"/>
  <c r="FL92" i="2"/>
  <c r="FM92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Q92" i="2"/>
  <c r="HR92" i="2"/>
  <c r="HS92" i="2"/>
  <c r="HT92" i="2"/>
  <c r="HU92" i="2"/>
  <c r="HV92" i="2"/>
  <c r="HW92" i="2"/>
  <c r="HX92" i="2"/>
  <c r="HY92" i="2"/>
  <c r="HZ92" i="2"/>
  <c r="IA92" i="2"/>
  <c r="IB92" i="2"/>
  <c r="IC92" i="2"/>
  <c r="ID92" i="2"/>
  <c r="IE92" i="2"/>
  <c r="IF92" i="2"/>
  <c r="IG92" i="2"/>
  <c r="IH92" i="2"/>
  <c r="II92" i="2"/>
  <c r="IJ92" i="2"/>
  <c r="IK92" i="2"/>
  <c r="IL92" i="2"/>
  <c r="IM92" i="2"/>
  <c r="IN92" i="2"/>
  <c r="IO92" i="2"/>
  <c r="IP92" i="2"/>
  <c r="IQ92" i="2"/>
  <c r="IR92" i="2"/>
  <c r="IS92" i="2"/>
  <c r="IT92" i="2"/>
  <c r="IU92" i="2"/>
  <c r="IV92" i="2"/>
  <c r="IW92" i="2"/>
  <c r="IX92" i="2"/>
  <c r="IY92" i="2"/>
  <c r="IZ92" i="2"/>
  <c r="JA92" i="2"/>
  <c r="JB92" i="2"/>
  <c r="JC92" i="2"/>
  <c r="JD92" i="2"/>
  <c r="JE92" i="2"/>
  <c r="JF92" i="2"/>
  <c r="JG92" i="2"/>
  <c r="JH92" i="2"/>
  <c r="JI92" i="2"/>
  <c r="JJ92" i="2"/>
  <c r="JK92" i="2"/>
  <c r="JL92" i="2"/>
  <c r="JM92" i="2"/>
  <c r="JN92" i="2"/>
  <c r="JO92" i="2"/>
  <c r="JP92" i="2"/>
  <c r="JQ92" i="2"/>
  <c r="JR92" i="2"/>
  <c r="JS92" i="2"/>
  <c r="JT92" i="2"/>
  <c r="JU92" i="2"/>
  <c r="JV92" i="2"/>
  <c r="JW92" i="2"/>
  <c r="JX92" i="2"/>
  <c r="JY92" i="2"/>
  <c r="JZ92" i="2"/>
  <c r="KA92" i="2"/>
  <c r="KB92" i="2"/>
  <c r="KC92" i="2"/>
  <c r="KD92" i="2"/>
  <c r="KE92" i="2"/>
  <c r="KF92" i="2"/>
  <c r="KG92" i="2"/>
  <c r="KH92" i="2"/>
  <c r="KI92" i="2"/>
  <c r="KJ92" i="2"/>
  <c r="KK92" i="2"/>
  <c r="KL92" i="2"/>
  <c r="KM92" i="2"/>
  <c r="KN92" i="2"/>
  <c r="KO92" i="2"/>
  <c r="KP92" i="2"/>
  <c r="KQ92" i="2"/>
  <c r="KR92" i="2"/>
  <c r="KS92" i="2"/>
  <c r="KT92" i="2"/>
  <c r="KU92" i="2"/>
  <c r="KV92" i="2"/>
  <c r="KW92" i="2"/>
  <c r="KX92" i="2"/>
  <c r="KY92" i="2"/>
  <c r="KZ92" i="2"/>
  <c r="LA92" i="2"/>
  <c r="LB92" i="2"/>
  <c r="LC92" i="2"/>
  <c r="LD92" i="2"/>
  <c r="LE92" i="2"/>
  <c r="LF92" i="2"/>
  <c r="LG92" i="2"/>
  <c r="LH92" i="2"/>
  <c r="LI92" i="2"/>
  <c r="LJ92" i="2"/>
  <c r="LK92" i="2"/>
  <c r="LL92" i="2"/>
  <c r="LM92" i="2"/>
  <c r="LN92" i="2"/>
  <c r="LO92" i="2"/>
  <c r="LP92" i="2"/>
  <c r="LQ92" i="2"/>
  <c r="LR92" i="2"/>
  <c r="LS92" i="2"/>
  <c r="LT92" i="2"/>
  <c r="LU92" i="2"/>
  <c r="LV92" i="2"/>
  <c r="LW92" i="2"/>
  <c r="LX92" i="2"/>
  <c r="LY92" i="2"/>
  <c r="LZ92" i="2"/>
  <c r="MA92" i="2"/>
  <c r="MB92" i="2"/>
  <c r="MC92" i="2"/>
  <c r="MD92" i="2"/>
  <c r="ME92" i="2"/>
  <c r="MF92" i="2"/>
  <c r="MG92" i="2"/>
  <c r="MH92" i="2"/>
  <c r="MI92" i="2"/>
  <c r="MJ92" i="2"/>
  <c r="MK92" i="2"/>
  <c r="ML92" i="2"/>
  <c r="MM92" i="2"/>
  <c r="MN92" i="2"/>
  <c r="MO92" i="2"/>
  <c r="MP92" i="2"/>
  <c r="MQ92" i="2"/>
  <c r="MR92" i="2"/>
  <c r="MS92" i="2"/>
  <c r="MT92" i="2"/>
  <c r="MU92" i="2"/>
  <c r="MV92" i="2"/>
  <c r="MW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EL93" i="2"/>
  <c r="EM93" i="2"/>
  <c r="EN93" i="2"/>
  <c r="EO93" i="2"/>
  <c r="EP93" i="2"/>
  <c r="EQ93" i="2"/>
  <c r="ER93" i="2"/>
  <c r="ES93" i="2"/>
  <c r="ET93" i="2"/>
  <c r="EU93" i="2"/>
  <c r="EV93" i="2"/>
  <c r="EW93" i="2"/>
  <c r="EX93" i="2"/>
  <c r="EY93" i="2"/>
  <c r="EZ93" i="2"/>
  <c r="FA93" i="2"/>
  <c r="FB93" i="2"/>
  <c r="FC93" i="2"/>
  <c r="FD93" i="2"/>
  <c r="FE93" i="2"/>
  <c r="FF93" i="2"/>
  <c r="FG93" i="2"/>
  <c r="FH93" i="2"/>
  <c r="FI93" i="2"/>
  <c r="FJ93" i="2"/>
  <c r="FK93" i="2"/>
  <c r="FL93" i="2"/>
  <c r="FM93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GY93" i="2"/>
  <c r="GZ93" i="2"/>
  <c r="HA93" i="2"/>
  <c r="HB93" i="2"/>
  <c r="HC93" i="2"/>
  <c r="HD93" i="2"/>
  <c r="HE93" i="2"/>
  <c r="HF93" i="2"/>
  <c r="HG93" i="2"/>
  <c r="HH93" i="2"/>
  <c r="HI93" i="2"/>
  <c r="HJ93" i="2"/>
  <c r="HK93" i="2"/>
  <c r="HL93" i="2"/>
  <c r="HM93" i="2"/>
  <c r="HN93" i="2"/>
  <c r="HO93" i="2"/>
  <c r="HP93" i="2"/>
  <c r="HQ93" i="2"/>
  <c r="HR93" i="2"/>
  <c r="HS93" i="2"/>
  <c r="HT93" i="2"/>
  <c r="HU93" i="2"/>
  <c r="HV93" i="2"/>
  <c r="HW93" i="2"/>
  <c r="HX93" i="2"/>
  <c r="HY93" i="2"/>
  <c r="HZ93" i="2"/>
  <c r="IA93" i="2"/>
  <c r="IB93" i="2"/>
  <c r="IC93" i="2"/>
  <c r="ID93" i="2"/>
  <c r="IE93" i="2"/>
  <c r="IF93" i="2"/>
  <c r="IG93" i="2"/>
  <c r="IH93" i="2"/>
  <c r="II93" i="2"/>
  <c r="IJ93" i="2"/>
  <c r="IK93" i="2"/>
  <c r="IL93" i="2"/>
  <c r="IM93" i="2"/>
  <c r="IN93" i="2"/>
  <c r="IO93" i="2"/>
  <c r="IP93" i="2"/>
  <c r="IQ93" i="2"/>
  <c r="IR93" i="2"/>
  <c r="IS93" i="2"/>
  <c r="IT93" i="2"/>
  <c r="IU93" i="2"/>
  <c r="IV93" i="2"/>
  <c r="IW93" i="2"/>
  <c r="IX93" i="2"/>
  <c r="IY93" i="2"/>
  <c r="IZ93" i="2"/>
  <c r="JA93" i="2"/>
  <c r="JB93" i="2"/>
  <c r="JC93" i="2"/>
  <c r="JD93" i="2"/>
  <c r="JE93" i="2"/>
  <c r="JF93" i="2"/>
  <c r="JG93" i="2"/>
  <c r="JH93" i="2"/>
  <c r="JI93" i="2"/>
  <c r="JJ93" i="2"/>
  <c r="JK93" i="2"/>
  <c r="JL93" i="2"/>
  <c r="JM93" i="2"/>
  <c r="JN93" i="2"/>
  <c r="JO93" i="2"/>
  <c r="JP93" i="2"/>
  <c r="JQ93" i="2"/>
  <c r="JR93" i="2"/>
  <c r="JS93" i="2"/>
  <c r="JT93" i="2"/>
  <c r="JU93" i="2"/>
  <c r="JV93" i="2"/>
  <c r="JW93" i="2"/>
  <c r="JX93" i="2"/>
  <c r="JY93" i="2"/>
  <c r="JZ93" i="2"/>
  <c r="KA93" i="2"/>
  <c r="KB93" i="2"/>
  <c r="KC93" i="2"/>
  <c r="KD93" i="2"/>
  <c r="KE93" i="2"/>
  <c r="KF93" i="2"/>
  <c r="KG93" i="2"/>
  <c r="KH93" i="2"/>
  <c r="KI93" i="2"/>
  <c r="KJ93" i="2"/>
  <c r="KK93" i="2"/>
  <c r="KL93" i="2"/>
  <c r="KM93" i="2"/>
  <c r="KN93" i="2"/>
  <c r="KO93" i="2"/>
  <c r="KP93" i="2"/>
  <c r="KQ93" i="2"/>
  <c r="KR93" i="2"/>
  <c r="KS93" i="2"/>
  <c r="KT93" i="2"/>
  <c r="KU93" i="2"/>
  <c r="KV93" i="2"/>
  <c r="KW93" i="2"/>
  <c r="KX93" i="2"/>
  <c r="KY93" i="2"/>
  <c r="KZ93" i="2"/>
  <c r="LA93" i="2"/>
  <c r="LB93" i="2"/>
  <c r="LC93" i="2"/>
  <c r="LD93" i="2"/>
  <c r="LE93" i="2"/>
  <c r="LF93" i="2"/>
  <c r="LG93" i="2"/>
  <c r="LH93" i="2"/>
  <c r="LI93" i="2"/>
  <c r="LJ93" i="2"/>
  <c r="LK93" i="2"/>
  <c r="LL93" i="2"/>
  <c r="LM93" i="2"/>
  <c r="LN93" i="2"/>
  <c r="LO93" i="2"/>
  <c r="LP93" i="2"/>
  <c r="LQ93" i="2"/>
  <c r="LR93" i="2"/>
  <c r="LS93" i="2"/>
  <c r="LT93" i="2"/>
  <c r="LU93" i="2"/>
  <c r="LV93" i="2"/>
  <c r="LW93" i="2"/>
  <c r="LX93" i="2"/>
  <c r="LY93" i="2"/>
  <c r="LZ93" i="2"/>
  <c r="MA93" i="2"/>
  <c r="MB93" i="2"/>
  <c r="MC93" i="2"/>
  <c r="MD93" i="2"/>
  <c r="ME93" i="2"/>
  <c r="MF93" i="2"/>
  <c r="MG93" i="2"/>
  <c r="MH93" i="2"/>
  <c r="MI93" i="2"/>
  <c r="MJ93" i="2"/>
  <c r="MK93" i="2"/>
  <c r="ML93" i="2"/>
  <c r="MM93" i="2"/>
  <c r="MN93" i="2"/>
  <c r="MO93" i="2"/>
  <c r="MP93" i="2"/>
  <c r="MQ93" i="2"/>
  <c r="MR93" i="2"/>
  <c r="MS93" i="2"/>
  <c r="MT93" i="2"/>
  <c r="MU93" i="2"/>
  <c r="MV93" i="2"/>
  <c r="MW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EL94" i="2"/>
  <c r="EM94" i="2"/>
  <c r="EN94" i="2"/>
  <c r="EO94" i="2"/>
  <c r="EP94" i="2"/>
  <c r="EQ94" i="2"/>
  <c r="ER94" i="2"/>
  <c r="ES94" i="2"/>
  <c r="ET94" i="2"/>
  <c r="EU94" i="2"/>
  <c r="EV94" i="2"/>
  <c r="EW94" i="2"/>
  <c r="EX94" i="2"/>
  <c r="EY94" i="2"/>
  <c r="EZ94" i="2"/>
  <c r="FA94" i="2"/>
  <c r="FB94" i="2"/>
  <c r="FC94" i="2"/>
  <c r="FD94" i="2"/>
  <c r="FE94" i="2"/>
  <c r="FF94" i="2"/>
  <c r="FG94" i="2"/>
  <c r="FH94" i="2"/>
  <c r="FI94" i="2"/>
  <c r="FJ94" i="2"/>
  <c r="FK94" i="2"/>
  <c r="FL94" i="2"/>
  <c r="FM94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GY94" i="2"/>
  <c r="GZ94" i="2"/>
  <c r="HA94" i="2"/>
  <c r="HB94" i="2"/>
  <c r="HC94" i="2"/>
  <c r="HD94" i="2"/>
  <c r="HE94" i="2"/>
  <c r="HF94" i="2"/>
  <c r="HG94" i="2"/>
  <c r="HH94" i="2"/>
  <c r="HI94" i="2"/>
  <c r="HJ94" i="2"/>
  <c r="HK94" i="2"/>
  <c r="HL94" i="2"/>
  <c r="HM94" i="2"/>
  <c r="HN94" i="2"/>
  <c r="HO94" i="2"/>
  <c r="HP94" i="2"/>
  <c r="HQ94" i="2"/>
  <c r="HR94" i="2"/>
  <c r="HS94" i="2"/>
  <c r="HT94" i="2"/>
  <c r="HU94" i="2"/>
  <c r="HV94" i="2"/>
  <c r="HW94" i="2"/>
  <c r="HX94" i="2"/>
  <c r="HY94" i="2"/>
  <c r="HZ94" i="2"/>
  <c r="IA94" i="2"/>
  <c r="IB94" i="2"/>
  <c r="IC94" i="2"/>
  <c r="ID94" i="2"/>
  <c r="IE94" i="2"/>
  <c r="IF94" i="2"/>
  <c r="IG94" i="2"/>
  <c r="IH94" i="2"/>
  <c r="II94" i="2"/>
  <c r="IJ94" i="2"/>
  <c r="IK94" i="2"/>
  <c r="IL94" i="2"/>
  <c r="IM94" i="2"/>
  <c r="IN94" i="2"/>
  <c r="IO94" i="2"/>
  <c r="IP94" i="2"/>
  <c r="IQ94" i="2"/>
  <c r="IR94" i="2"/>
  <c r="IS94" i="2"/>
  <c r="IT94" i="2"/>
  <c r="IU94" i="2"/>
  <c r="IV94" i="2"/>
  <c r="IW94" i="2"/>
  <c r="IX94" i="2"/>
  <c r="IY94" i="2"/>
  <c r="IZ94" i="2"/>
  <c r="JA94" i="2"/>
  <c r="JB94" i="2"/>
  <c r="JC94" i="2"/>
  <c r="JD94" i="2"/>
  <c r="JE94" i="2"/>
  <c r="JF94" i="2"/>
  <c r="JG94" i="2"/>
  <c r="JH94" i="2"/>
  <c r="JI94" i="2"/>
  <c r="JJ94" i="2"/>
  <c r="JK94" i="2"/>
  <c r="JL94" i="2"/>
  <c r="JM94" i="2"/>
  <c r="JN94" i="2"/>
  <c r="JO94" i="2"/>
  <c r="JP94" i="2"/>
  <c r="JQ94" i="2"/>
  <c r="JR94" i="2"/>
  <c r="JS94" i="2"/>
  <c r="JT94" i="2"/>
  <c r="JU94" i="2"/>
  <c r="JV94" i="2"/>
  <c r="JW94" i="2"/>
  <c r="JX94" i="2"/>
  <c r="JY94" i="2"/>
  <c r="JZ94" i="2"/>
  <c r="KA94" i="2"/>
  <c r="KB94" i="2"/>
  <c r="KC94" i="2"/>
  <c r="KD94" i="2"/>
  <c r="KE94" i="2"/>
  <c r="KF94" i="2"/>
  <c r="KG94" i="2"/>
  <c r="KH94" i="2"/>
  <c r="KI94" i="2"/>
  <c r="KJ94" i="2"/>
  <c r="KK94" i="2"/>
  <c r="KL94" i="2"/>
  <c r="KM94" i="2"/>
  <c r="KN94" i="2"/>
  <c r="KO94" i="2"/>
  <c r="KP94" i="2"/>
  <c r="KQ94" i="2"/>
  <c r="KR94" i="2"/>
  <c r="KS94" i="2"/>
  <c r="KT94" i="2"/>
  <c r="KU94" i="2"/>
  <c r="KV94" i="2"/>
  <c r="KW94" i="2"/>
  <c r="KX94" i="2"/>
  <c r="KY94" i="2"/>
  <c r="KZ94" i="2"/>
  <c r="LA94" i="2"/>
  <c r="LB94" i="2"/>
  <c r="LC94" i="2"/>
  <c r="LD94" i="2"/>
  <c r="LE94" i="2"/>
  <c r="LF94" i="2"/>
  <c r="LG94" i="2"/>
  <c r="LH94" i="2"/>
  <c r="LI94" i="2"/>
  <c r="LJ94" i="2"/>
  <c r="LK94" i="2"/>
  <c r="LL94" i="2"/>
  <c r="LM94" i="2"/>
  <c r="LN94" i="2"/>
  <c r="LO94" i="2"/>
  <c r="LP94" i="2"/>
  <c r="LQ94" i="2"/>
  <c r="LR94" i="2"/>
  <c r="LS94" i="2"/>
  <c r="LT94" i="2"/>
  <c r="LU94" i="2"/>
  <c r="LV94" i="2"/>
  <c r="LW94" i="2"/>
  <c r="LX94" i="2"/>
  <c r="LY94" i="2"/>
  <c r="LZ94" i="2"/>
  <c r="MA94" i="2"/>
  <c r="MB94" i="2"/>
  <c r="MC94" i="2"/>
  <c r="MD94" i="2"/>
  <c r="ME94" i="2"/>
  <c r="MF94" i="2"/>
  <c r="MG94" i="2"/>
  <c r="MH94" i="2"/>
  <c r="MI94" i="2"/>
  <c r="MJ94" i="2"/>
  <c r="MK94" i="2"/>
  <c r="ML94" i="2"/>
  <c r="MM94" i="2"/>
  <c r="MN94" i="2"/>
  <c r="MO94" i="2"/>
  <c r="MP94" i="2"/>
  <c r="MQ94" i="2"/>
  <c r="MR94" i="2"/>
  <c r="MS94" i="2"/>
  <c r="MT94" i="2"/>
  <c r="MU94" i="2"/>
  <c r="MV94" i="2"/>
  <c r="MW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EL95" i="2"/>
  <c r="EM95" i="2"/>
  <c r="EN95" i="2"/>
  <c r="EO95" i="2"/>
  <c r="EP95" i="2"/>
  <c r="EQ95" i="2"/>
  <c r="ER95" i="2"/>
  <c r="ES95" i="2"/>
  <c r="ET95" i="2"/>
  <c r="EU95" i="2"/>
  <c r="EV95" i="2"/>
  <c r="EW95" i="2"/>
  <c r="EX95" i="2"/>
  <c r="EY95" i="2"/>
  <c r="EZ95" i="2"/>
  <c r="FA95" i="2"/>
  <c r="FB95" i="2"/>
  <c r="FC95" i="2"/>
  <c r="FD95" i="2"/>
  <c r="FE95" i="2"/>
  <c r="FF95" i="2"/>
  <c r="FG95" i="2"/>
  <c r="FH95" i="2"/>
  <c r="FI95" i="2"/>
  <c r="FJ95" i="2"/>
  <c r="FK95" i="2"/>
  <c r="FL95" i="2"/>
  <c r="FM95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GY95" i="2"/>
  <c r="GZ95" i="2"/>
  <c r="HA95" i="2"/>
  <c r="HB95" i="2"/>
  <c r="HC95" i="2"/>
  <c r="HD95" i="2"/>
  <c r="HE95" i="2"/>
  <c r="HF95" i="2"/>
  <c r="HG95" i="2"/>
  <c r="HH95" i="2"/>
  <c r="HI95" i="2"/>
  <c r="HJ95" i="2"/>
  <c r="HK95" i="2"/>
  <c r="HL95" i="2"/>
  <c r="HM95" i="2"/>
  <c r="HN95" i="2"/>
  <c r="HO95" i="2"/>
  <c r="HP95" i="2"/>
  <c r="HQ95" i="2"/>
  <c r="HR95" i="2"/>
  <c r="HS95" i="2"/>
  <c r="HT95" i="2"/>
  <c r="HU95" i="2"/>
  <c r="HV95" i="2"/>
  <c r="HW95" i="2"/>
  <c r="HX95" i="2"/>
  <c r="HY95" i="2"/>
  <c r="HZ95" i="2"/>
  <c r="IA95" i="2"/>
  <c r="IB95" i="2"/>
  <c r="IC95" i="2"/>
  <c r="ID95" i="2"/>
  <c r="IE95" i="2"/>
  <c r="IF95" i="2"/>
  <c r="IG95" i="2"/>
  <c r="IH95" i="2"/>
  <c r="II95" i="2"/>
  <c r="IJ95" i="2"/>
  <c r="IK95" i="2"/>
  <c r="IL95" i="2"/>
  <c r="IM95" i="2"/>
  <c r="IN95" i="2"/>
  <c r="IO95" i="2"/>
  <c r="IP95" i="2"/>
  <c r="IQ95" i="2"/>
  <c r="IR95" i="2"/>
  <c r="IS95" i="2"/>
  <c r="IT95" i="2"/>
  <c r="IU95" i="2"/>
  <c r="IV95" i="2"/>
  <c r="IW95" i="2"/>
  <c r="IX95" i="2"/>
  <c r="IY95" i="2"/>
  <c r="IZ95" i="2"/>
  <c r="JA95" i="2"/>
  <c r="JB95" i="2"/>
  <c r="JC95" i="2"/>
  <c r="JD95" i="2"/>
  <c r="JE95" i="2"/>
  <c r="JF95" i="2"/>
  <c r="JG95" i="2"/>
  <c r="JH95" i="2"/>
  <c r="JI95" i="2"/>
  <c r="JJ95" i="2"/>
  <c r="JK95" i="2"/>
  <c r="JL95" i="2"/>
  <c r="JM95" i="2"/>
  <c r="JN95" i="2"/>
  <c r="JO95" i="2"/>
  <c r="JP95" i="2"/>
  <c r="JQ95" i="2"/>
  <c r="JR95" i="2"/>
  <c r="JS95" i="2"/>
  <c r="JT95" i="2"/>
  <c r="JU95" i="2"/>
  <c r="JV95" i="2"/>
  <c r="JW95" i="2"/>
  <c r="JX95" i="2"/>
  <c r="JY95" i="2"/>
  <c r="JZ95" i="2"/>
  <c r="KA95" i="2"/>
  <c r="KB95" i="2"/>
  <c r="KC95" i="2"/>
  <c r="KD95" i="2"/>
  <c r="KE95" i="2"/>
  <c r="KF95" i="2"/>
  <c r="KG95" i="2"/>
  <c r="KH95" i="2"/>
  <c r="KI95" i="2"/>
  <c r="KJ95" i="2"/>
  <c r="KK95" i="2"/>
  <c r="KL95" i="2"/>
  <c r="KM95" i="2"/>
  <c r="KN95" i="2"/>
  <c r="KO95" i="2"/>
  <c r="KP95" i="2"/>
  <c r="KQ95" i="2"/>
  <c r="KR95" i="2"/>
  <c r="KS95" i="2"/>
  <c r="KT95" i="2"/>
  <c r="KU95" i="2"/>
  <c r="KV95" i="2"/>
  <c r="KW95" i="2"/>
  <c r="KX95" i="2"/>
  <c r="KY95" i="2"/>
  <c r="KZ95" i="2"/>
  <c r="LA95" i="2"/>
  <c r="LB95" i="2"/>
  <c r="LC95" i="2"/>
  <c r="LD95" i="2"/>
  <c r="LE95" i="2"/>
  <c r="LF95" i="2"/>
  <c r="LG95" i="2"/>
  <c r="LH95" i="2"/>
  <c r="LI95" i="2"/>
  <c r="LJ95" i="2"/>
  <c r="LK95" i="2"/>
  <c r="LL95" i="2"/>
  <c r="LM95" i="2"/>
  <c r="LN95" i="2"/>
  <c r="LO95" i="2"/>
  <c r="LP95" i="2"/>
  <c r="LQ95" i="2"/>
  <c r="LR95" i="2"/>
  <c r="LS95" i="2"/>
  <c r="LT95" i="2"/>
  <c r="LU95" i="2"/>
  <c r="LV95" i="2"/>
  <c r="LW95" i="2"/>
  <c r="LX95" i="2"/>
  <c r="LY95" i="2"/>
  <c r="LZ95" i="2"/>
  <c r="MA95" i="2"/>
  <c r="MB95" i="2"/>
  <c r="MC95" i="2"/>
  <c r="MD95" i="2"/>
  <c r="ME95" i="2"/>
  <c r="MF95" i="2"/>
  <c r="MG95" i="2"/>
  <c r="MH95" i="2"/>
  <c r="MI95" i="2"/>
  <c r="MJ95" i="2"/>
  <c r="MK95" i="2"/>
  <c r="ML95" i="2"/>
  <c r="MM95" i="2"/>
  <c r="MN95" i="2"/>
  <c r="MO95" i="2"/>
  <c r="MP95" i="2"/>
  <c r="MQ95" i="2"/>
  <c r="MR95" i="2"/>
  <c r="MS95" i="2"/>
  <c r="MT95" i="2"/>
  <c r="MU95" i="2"/>
  <c r="MV95" i="2"/>
  <c r="MW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EL96" i="2"/>
  <c r="EM96" i="2"/>
  <c r="EN96" i="2"/>
  <c r="EO96" i="2"/>
  <c r="EP96" i="2"/>
  <c r="EQ96" i="2"/>
  <c r="ER96" i="2"/>
  <c r="ES96" i="2"/>
  <c r="ET96" i="2"/>
  <c r="EU96" i="2"/>
  <c r="EV96" i="2"/>
  <c r="EW96" i="2"/>
  <c r="EX96" i="2"/>
  <c r="EY96" i="2"/>
  <c r="EZ96" i="2"/>
  <c r="FA96" i="2"/>
  <c r="FB96" i="2"/>
  <c r="FC96" i="2"/>
  <c r="FD96" i="2"/>
  <c r="FE96" i="2"/>
  <c r="FF96" i="2"/>
  <c r="FG96" i="2"/>
  <c r="FH96" i="2"/>
  <c r="FI96" i="2"/>
  <c r="FJ96" i="2"/>
  <c r="FK96" i="2"/>
  <c r="FL96" i="2"/>
  <c r="FM96" i="2"/>
  <c r="FN96" i="2"/>
  <c r="FO96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GG96" i="2"/>
  <c r="GH96" i="2"/>
  <c r="GI96" i="2"/>
  <c r="GJ96" i="2"/>
  <c r="GK96" i="2"/>
  <c r="GL96" i="2"/>
  <c r="GM96" i="2"/>
  <c r="GN96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Q96" i="2"/>
  <c r="HR96" i="2"/>
  <c r="HS96" i="2"/>
  <c r="HT96" i="2"/>
  <c r="HU96" i="2"/>
  <c r="HV96" i="2"/>
  <c r="HW96" i="2"/>
  <c r="HX96" i="2"/>
  <c r="HY96" i="2"/>
  <c r="HZ96" i="2"/>
  <c r="IA96" i="2"/>
  <c r="IB96" i="2"/>
  <c r="IC96" i="2"/>
  <c r="ID96" i="2"/>
  <c r="IE96" i="2"/>
  <c r="IF96" i="2"/>
  <c r="IG96" i="2"/>
  <c r="IH96" i="2"/>
  <c r="II96" i="2"/>
  <c r="IJ96" i="2"/>
  <c r="IK96" i="2"/>
  <c r="IL96" i="2"/>
  <c r="IM96" i="2"/>
  <c r="IN96" i="2"/>
  <c r="IO96" i="2"/>
  <c r="IP96" i="2"/>
  <c r="IQ96" i="2"/>
  <c r="IR96" i="2"/>
  <c r="IS96" i="2"/>
  <c r="IT96" i="2"/>
  <c r="IU96" i="2"/>
  <c r="IV96" i="2"/>
  <c r="IW96" i="2"/>
  <c r="IX96" i="2"/>
  <c r="IY96" i="2"/>
  <c r="IZ96" i="2"/>
  <c r="JA96" i="2"/>
  <c r="JB96" i="2"/>
  <c r="JC96" i="2"/>
  <c r="JD96" i="2"/>
  <c r="JE96" i="2"/>
  <c r="JF96" i="2"/>
  <c r="JG96" i="2"/>
  <c r="JH96" i="2"/>
  <c r="JI96" i="2"/>
  <c r="JJ96" i="2"/>
  <c r="JK96" i="2"/>
  <c r="JL96" i="2"/>
  <c r="JM96" i="2"/>
  <c r="JN96" i="2"/>
  <c r="JO96" i="2"/>
  <c r="JP96" i="2"/>
  <c r="JQ96" i="2"/>
  <c r="JR96" i="2"/>
  <c r="JS96" i="2"/>
  <c r="JT96" i="2"/>
  <c r="JU96" i="2"/>
  <c r="JV96" i="2"/>
  <c r="JW96" i="2"/>
  <c r="JX96" i="2"/>
  <c r="JY96" i="2"/>
  <c r="JZ96" i="2"/>
  <c r="KA96" i="2"/>
  <c r="KB96" i="2"/>
  <c r="KC96" i="2"/>
  <c r="KD96" i="2"/>
  <c r="KE96" i="2"/>
  <c r="KF96" i="2"/>
  <c r="KG96" i="2"/>
  <c r="KH96" i="2"/>
  <c r="KI96" i="2"/>
  <c r="KJ96" i="2"/>
  <c r="KK96" i="2"/>
  <c r="KL96" i="2"/>
  <c r="KM96" i="2"/>
  <c r="KN96" i="2"/>
  <c r="KO96" i="2"/>
  <c r="KP96" i="2"/>
  <c r="KQ96" i="2"/>
  <c r="KR96" i="2"/>
  <c r="KS96" i="2"/>
  <c r="KT96" i="2"/>
  <c r="KU96" i="2"/>
  <c r="KV96" i="2"/>
  <c r="KW96" i="2"/>
  <c r="KX96" i="2"/>
  <c r="KY96" i="2"/>
  <c r="KZ96" i="2"/>
  <c r="LA96" i="2"/>
  <c r="LB96" i="2"/>
  <c r="LC96" i="2"/>
  <c r="LD96" i="2"/>
  <c r="LE96" i="2"/>
  <c r="LF96" i="2"/>
  <c r="LG96" i="2"/>
  <c r="LH96" i="2"/>
  <c r="LI96" i="2"/>
  <c r="LJ96" i="2"/>
  <c r="LK96" i="2"/>
  <c r="LL96" i="2"/>
  <c r="LM96" i="2"/>
  <c r="LN96" i="2"/>
  <c r="LO96" i="2"/>
  <c r="LP96" i="2"/>
  <c r="LQ96" i="2"/>
  <c r="LR96" i="2"/>
  <c r="LS96" i="2"/>
  <c r="LT96" i="2"/>
  <c r="LU96" i="2"/>
  <c r="LV96" i="2"/>
  <c r="LW96" i="2"/>
  <c r="LX96" i="2"/>
  <c r="LY96" i="2"/>
  <c r="LZ96" i="2"/>
  <c r="MA96" i="2"/>
  <c r="MB96" i="2"/>
  <c r="MC96" i="2"/>
  <c r="MD96" i="2"/>
  <c r="ME96" i="2"/>
  <c r="MF96" i="2"/>
  <c r="MG96" i="2"/>
  <c r="MH96" i="2"/>
  <c r="MI96" i="2"/>
  <c r="MJ96" i="2"/>
  <c r="MK96" i="2"/>
  <c r="ML96" i="2"/>
  <c r="MM96" i="2"/>
  <c r="MN96" i="2"/>
  <c r="MO96" i="2"/>
  <c r="MP96" i="2"/>
  <c r="MQ96" i="2"/>
  <c r="MR96" i="2"/>
  <c r="MS96" i="2"/>
  <c r="MT96" i="2"/>
  <c r="MU96" i="2"/>
  <c r="MV96" i="2"/>
  <c r="MW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EL97" i="2"/>
  <c r="EM97" i="2"/>
  <c r="EN97" i="2"/>
  <c r="EO97" i="2"/>
  <c r="EP97" i="2"/>
  <c r="EQ97" i="2"/>
  <c r="ER97" i="2"/>
  <c r="ES97" i="2"/>
  <c r="ET97" i="2"/>
  <c r="EU97" i="2"/>
  <c r="EV97" i="2"/>
  <c r="EW97" i="2"/>
  <c r="EX97" i="2"/>
  <c r="EY97" i="2"/>
  <c r="EZ97" i="2"/>
  <c r="FA97" i="2"/>
  <c r="FB97" i="2"/>
  <c r="FC97" i="2"/>
  <c r="FD97" i="2"/>
  <c r="FE97" i="2"/>
  <c r="FF97" i="2"/>
  <c r="FG97" i="2"/>
  <c r="FH97" i="2"/>
  <c r="FI97" i="2"/>
  <c r="FJ97" i="2"/>
  <c r="FK97" i="2"/>
  <c r="FL97" i="2"/>
  <c r="FM97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GY97" i="2"/>
  <c r="GZ97" i="2"/>
  <c r="HA97" i="2"/>
  <c r="HB97" i="2"/>
  <c r="HC97" i="2"/>
  <c r="HD97" i="2"/>
  <c r="HE97" i="2"/>
  <c r="HF97" i="2"/>
  <c r="HG97" i="2"/>
  <c r="HH97" i="2"/>
  <c r="HI97" i="2"/>
  <c r="HJ97" i="2"/>
  <c r="HK97" i="2"/>
  <c r="HL97" i="2"/>
  <c r="HM97" i="2"/>
  <c r="HN97" i="2"/>
  <c r="HO97" i="2"/>
  <c r="HP97" i="2"/>
  <c r="HQ97" i="2"/>
  <c r="HR97" i="2"/>
  <c r="HS97" i="2"/>
  <c r="HT97" i="2"/>
  <c r="HU97" i="2"/>
  <c r="HV97" i="2"/>
  <c r="HW97" i="2"/>
  <c r="HX97" i="2"/>
  <c r="HY97" i="2"/>
  <c r="HZ97" i="2"/>
  <c r="IA97" i="2"/>
  <c r="IB97" i="2"/>
  <c r="IC97" i="2"/>
  <c r="ID97" i="2"/>
  <c r="IE97" i="2"/>
  <c r="IF97" i="2"/>
  <c r="IG97" i="2"/>
  <c r="IH97" i="2"/>
  <c r="II97" i="2"/>
  <c r="IJ97" i="2"/>
  <c r="IK97" i="2"/>
  <c r="IL97" i="2"/>
  <c r="IM97" i="2"/>
  <c r="IN97" i="2"/>
  <c r="IO97" i="2"/>
  <c r="IP97" i="2"/>
  <c r="IQ97" i="2"/>
  <c r="IR97" i="2"/>
  <c r="IS97" i="2"/>
  <c r="IT97" i="2"/>
  <c r="IU97" i="2"/>
  <c r="IV97" i="2"/>
  <c r="IW97" i="2"/>
  <c r="IX97" i="2"/>
  <c r="IY97" i="2"/>
  <c r="IZ97" i="2"/>
  <c r="JA97" i="2"/>
  <c r="JB97" i="2"/>
  <c r="JC97" i="2"/>
  <c r="JD97" i="2"/>
  <c r="JE97" i="2"/>
  <c r="JF97" i="2"/>
  <c r="JG97" i="2"/>
  <c r="JH97" i="2"/>
  <c r="JI97" i="2"/>
  <c r="JJ97" i="2"/>
  <c r="JK97" i="2"/>
  <c r="JL97" i="2"/>
  <c r="JM97" i="2"/>
  <c r="JN97" i="2"/>
  <c r="JO97" i="2"/>
  <c r="JP97" i="2"/>
  <c r="JQ97" i="2"/>
  <c r="JR97" i="2"/>
  <c r="JS97" i="2"/>
  <c r="JT97" i="2"/>
  <c r="JU97" i="2"/>
  <c r="JV97" i="2"/>
  <c r="JW97" i="2"/>
  <c r="JX97" i="2"/>
  <c r="JY97" i="2"/>
  <c r="JZ97" i="2"/>
  <c r="KA97" i="2"/>
  <c r="KB97" i="2"/>
  <c r="KC97" i="2"/>
  <c r="KD97" i="2"/>
  <c r="KE97" i="2"/>
  <c r="KF97" i="2"/>
  <c r="KG97" i="2"/>
  <c r="KH97" i="2"/>
  <c r="KI97" i="2"/>
  <c r="KJ97" i="2"/>
  <c r="KK97" i="2"/>
  <c r="KL97" i="2"/>
  <c r="KM97" i="2"/>
  <c r="KN97" i="2"/>
  <c r="KO97" i="2"/>
  <c r="KP97" i="2"/>
  <c r="KQ97" i="2"/>
  <c r="KR97" i="2"/>
  <c r="KS97" i="2"/>
  <c r="KT97" i="2"/>
  <c r="KU97" i="2"/>
  <c r="KV97" i="2"/>
  <c r="KW97" i="2"/>
  <c r="KX97" i="2"/>
  <c r="KY97" i="2"/>
  <c r="KZ97" i="2"/>
  <c r="LA97" i="2"/>
  <c r="LB97" i="2"/>
  <c r="LC97" i="2"/>
  <c r="LD97" i="2"/>
  <c r="LE97" i="2"/>
  <c r="LF97" i="2"/>
  <c r="LG97" i="2"/>
  <c r="LH97" i="2"/>
  <c r="LI97" i="2"/>
  <c r="LJ97" i="2"/>
  <c r="LK97" i="2"/>
  <c r="LL97" i="2"/>
  <c r="LM97" i="2"/>
  <c r="LN97" i="2"/>
  <c r="LO97" i="2"/>
  <c r="LP97" i="2"/>
  <c r="LQ97" i="2"/>
  <c r="LR97" i="2"/>
  <c r="LS97" i="2"/>
  <c r="LT97" i="2"/>
  <c r="LU97" i="2"/>
  <c r="LV97" i="2"/>
  <c r="LW97" i="2"/>
  <c r="LX97" i="2"/>
  <c r="LY97" i="2"/>
  <c r="LZ97" i="2"/>
  <c r="MA97" i="2"/>
  <c r="MB97" i="2"/>
  <c r="MC97" i="2"/>
  <c r="MD97" i="2"/>
  <c r="ME97" i="2"/>
  <c r="MF97" i="2"/>
  <c r="MG97" i="2"/>
  <c r="MH97" i="2"/>
  <c r="MI97" i="2"/>
  <c r="MJ97" i="2"/>
  <c r="MK97" i="2"/>
  <c r="ML97" i="2"/>
  <c r="MM97" i="2"/>
  <c r="MN97" i="2"/>
  <c r="MO97" i="2"/>
  <c r="MP97" i="2"/>
  <c r="MQ97" i="2"/>
  <c r="MR97" i="2"/>
  <c r="MS97" i="2"/>
  <c r="MT97" i="2"/>
  <c r="MU97" i="2"/>
  <c r="MV97" i="2"/>
  <c r="MW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ER98" i="2"/>
  <c r="ES98" i="2"/>
  <c r="ET98" i="2"/>
  <c r="EU98" i="2"/>
  <c r="EV98" i="2"/>
  <c r="EW98" i="2"/>
  <c r="EX98" i="2"/>
  <c r="EY98" i="2"/>
  <c r="EZ98" i="2"/>
  <c r="FA98" i="2"/>
  <c r="FB98" i="2"/>
  <c r="FC98" i="2"/>
  <c r="FD98" i="2"/>
  <c r="FE98" i="2"/>
  <c r="FF98" i="2"/>
  <c r="FG98" i="2"/>
  <c r="FH98" i="2"/>
  <c r="FI98" i="2"/>
  <c r="FJ98" i="2"/>
  <c r="FK98" i="2"/>
  <c r="FL98" i="2"/>
  <c r="FM98" i="2"/>
  <c r="FN98" i="2"/>
  <c r="FO98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GG98" i="2"/>
  <c r="GH98" i="2"/>
  <c r="GI98" i="2"/>
  <c r="GJ98" i="2"/>
  <c r="GK98" i="2"/>
  <c r="GL98" i="2"/>
  <c r="GM98" i="2"/>
  <c r="GN98" i="2"/>
  <c r="GO98" i="2"/>
  <c r="GP98" i="2"/>
  <c r="GQ98" i="2"/>
  <c r="GR98" i="2"/>
  <c r="GS98" i="2"/>
  <c r="GT98" i="2"/>
  <c r="GU98" i="2"/>
  <c r="GV98" i="2"/>
  <c r="GW98" i="2"/>
  <c r="GX98" i="2"/>
  <c r="GY98" i="2"/>
  <c r="GZ98" i="2"/>
  <c r="HA98" i="2"/>
  <c r="HB98" i="2"/>
  <c r="HC98" i="2"/>
  <c r="HD98" i="2"/>
  <c r="HE98" i="2"/>
  <c r="HF98" i="2"/>
  <c r="HG98" i="2"/>
  <c r="HH98" i="2"/>
  <c r="HI98" i="2"/>
  <c r="HJ98" i="2"/>
  <c r="HK98" i="2"/>
  <c r="HL98" i="2"/>
  <c r="HM98" i="2"/>
  <c r="HN98" i="2"/>
  <c r="HO98" i="2"/>
  <c r="HP98" i="2"/>
  <c r="HQ98" i="2"/>
  <c r="HR98" i="2"/>
  <c r="HS98" i="2"/>
  <c r="HT98" i="2"/>
  <c r="HU98" i="2"/>
  <c r="HV98" i="2"/>
  <c r="HW98" i="2"/>
  <c r="HX98" i="2"/>
  <c r="HY98" i="2"/>
  <c r="HZ98" i="2"/>
  <c r="IA98" i="2"/>
  <c r="IB98" i="2"/>
  <c r="IC98" i="2"/>
  <c r="ID98" i="2"/>
  <c r="IE98" i="2"/>
  <c r="IF98" i="2"/>
  <c r="IG98" i="2"/>
  <c r="IH98" i="2"/>
  <c r="II98" i="2"/>
  <c r="IJ98" i="2"/>
  <c r="IK98" i="2"/>
  <c r="IL98" i="2"/>
  <c r="IM98" i="2"/>
  <c r="IN98" i="2"/>
  <c r="IO98" i="2"/>
  <c r="IP98" i="2"/>
  <c r="IQ98" i="2"/>
  <c r="IR98" i="2"/>
  <c r="IS98" i="2"/>
  <c r="IT98" i="2"/>
  <c r="IU98" i="2"/>
  <c r="IV98" i="2"/>
  <c r="IW98" i="2"/>
  <c r="IX98" i="2"/>
  <c r="IY98" i="2"/>
  <c r="IZ98" i="2"/>
  <c r="JA98" i="2"/>
  <c r="JB98" i="2"/>
  <c r="JC98" i="2"/>
  <c r="JD98" i="2"/>
  <c r="JE98" i="2"/>
  <c r="JF98" i="2"/>
  <c r="JG98" i="2"/>
  <c r="JH98" i="2"/>
  <c r="JI98" i="2"/>
  <c r="JJ98" i="2"/>
  <c r="JK98" i="2"/>
  <c r="JL98" i="2"/>
  <c r="JM98" i="2"/>
  <c r="JN98" i="2"/>
  <c r="JO98" i="2"/>
  <c r="JP98" i="2"/>
  <c r="JQ98" i="2"/>
  <c r="JR98" i="2"/>
  <c r="JS98" i="2"/>
  <c r="JT98" i="2"/>
  <c r="JU98" i="2"/>
  <c r="JV98" i="2"/>
  <c r="JW98" i="2"/>
  <c r="JX98" i="2"/>
  <c r="JY98" i="2"/>
  <c r="JZ98" i="2"/>
  <c r="KA98" i="2"/>
  <c r="KB98" i="2"/>
  <c r="KC98" i="2"/>
  <c r="KD98" i="2"/>
  <c r="KE98" i="2"/>
  <c r="KF98" i="2"/>
  <c r="KG98" i="2"/>
  <c r="KH98" i="2"/>
  <c r="KI98" i="2"/>
  <c r="KJ98" i="2"/>
  <c r="KK98" i="2"/>
  <c r="KL98" i="2"/>
  <c r="KM98" i="2"/>
  <c r="KN98" i="2"/>
  <c r="KO98" i="2"/>
  <c r="KP98" i="2"/>
  <c r="KQ98" i="2"/>
  <c r="KR98" i="2"/>
  <c r="KS98" i="2"/>
  <c r="KT98" i="2"/>
  <c r="KU98" i="2"/>
  <c r="KV98" i="2"/>
  <c r="KW98" i="2"/>
  <c r="KX98" i="2"/>
  <c r="KY98" i="2"/>
  <c r="KZ98" i="2"/>
  <c r="LA98" i="2"/>
  <c r="LB98" i="2"/>
  <c r="LC98" i="2"/>
  <c r="LD98" i="2"/>
  <c r="LE98" i="2"/>
  <c r="LF98" i="2"/>
  <c r="LG98" i="2"/>
  <c r="LH98" i="2"/>
  <c r="LI98" i="2"/>
  <c r="LJ98" i="2"/>
  <c r="LK98" i="2"/>
  <c r="LL98" i="2"/>
  <c r="LM98" i="2"/>
  <c r="LN98" i="2"/>
  <c r="LO98" i="2"/>
  <c r="LP98" i="2"/>
  <c r="LQ98" i="2"/>
  <c r="LR98" i="2"/>
  <c r="LS98" i="2"/>
  <c r="LT98" i="2"/>
  <c r="LU98" i="2"/>
  <c r="LV98" i="2"/>
  <c r="LW98" i="2"/>
  <c r="LX98" i="2"/>
  <c r="LY98" i="2"/>
  <c r="LZ98" i="2"/>
  <c r="MA98" i="2"/>
  <c r="MB98" i="2"/>
  <c r="MC98" i="2"/>
  <c r="MD98" i="2"/>
  <c r="ME98" i="2"/>
  <c r="MF98" i="2"/>
  <c r="MG98" i="2"/>
  <c r="MH98" i="2"/>
  <c r="MI98" i="2"/>
  <c r="MJ98" i="2"/>
  <c r="MK98" i="2"/>
  <c r="ML98" i="2"/>
  <c r="MM98" i="2"/>
  <c r="MN98" i="2"/>
  <c r="MO98" i="2"/>
  <c r="MP98" i="2"/>
  <c r="MQ98" i="2"/>
  <c r="MR98" i="2"/>
  <c r="MS98" i="2"/>
  <c r="MT98" i="2"/>
  <c r="MU98" i="2"/>
  <c r="MV98" i="2"/>
  <c r="MW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Q99" i="2"/>
  <c r="ER99" i="2"/>
  <c r="ES99" i="2"/>
  <c r="ET99" i="2"/>
  <c r="EU99" i="2"/>
  <c r="EV99" i="2"/>
  <c r="EW99" i="2"/>
  <c r="EX99" i="2"/>
  <c r="EY99" i="2"/>
  <c r="EZ99" i="2"/>
  <c r="FA99" i="2"/>
  <c r="FB99" i="2"/>
  <c r="FC99" i="2"/>
  <c r="FD99" i="2"/>
  <c r="FE99" i="2"/>
  <c r="FF99" i="2"/>
  <c r="FG99" i="2"/>
  <c r="FH99" i="2"/>
  <c r="FI99" i="2"/>
  <c r="FJ99" i="2"/>
  <c r="FK99" i="2"/>
  <c r="FL99" i="2"/>
  <c r="FM99" i="2"/>
  <c r="FN99" i="2"/>
  <c r="FO99" i="2"/>
  <c r="FP99" i="2"/>
  <c r="FQ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GG99" i="2"/>
  <c r="GH99" i="2"/>
  <c r="GI99" i="2"/>
  <c r="GJ99" i="2"/>
  <c r="GK99" i="2"/>
  <c r="GL99" i="2"/>
  <c r="GM99" i="2"/>
  <c r="GN99" i="2"/>
  <c r="GO99" i="2"/>
  <c r="GP99" i="2"/>
  <c r="GQ99" i="2"/>
  <c r="GR99" i="2"/>
  <c r="GS99" i="2"/>
  <c r="GT99" i="2"/>
  <c r="GU99" i="2"/>
  <c r="GV99" i="2"/>
  <c r="GW99" i="2"/>
  <c r="GX99" i="2"/>
  <c r="GY99" i="2"/>
  <c r="GZ99" i="2"/>
  <c r="HA99" i="2"/>
  <c r="HB99" i="2"/>
  <c r="HC99" i="2"/>
  <c r="HD99" i="2"/>
  <c r="HE99" i="2"/>
  <c r="HF99" i="2"/>
  <c r="HG99" i="2"/>
  <c r="HH99" i="2"/>
  <c r="HI99" i="2"/>
  <c r="HJ99" i="2"/>
  <c r="HK99" i="2"/>
  <c r="HL99" i="2"/>
  <c r="HM99" i="2"/>
  <c r="HN99" i="2"/>
  <c r="HO99" i="2"/>
  <c r="HP99" i="2"/>
  <c r="HQ99" i="2"/>
  <c r="HR99" i="2"/>
  <c r="HS99" i="2"/>
  <c r="HT99" i="2"/>
  <c r="HU99" i="2"/>
  <c r="HV99" i="2"/>
  <c r="HW99" i="2"/>
  <c r="HX99" i="2"/>
  <c r="HY99" i="2"/>
  <c r="HZ99" i="2"/>
  <c r="IA99" i="2"/>
  <c r="IB99" i="2"/>
  <c r="IC99" i="2"/>
  <c r="ID99" i="2"/>
  <c r="IE99" i="2"/>
  <c r="IF99" i="2"/>
  <c r="IG99" i="2"/>
  <c r="IH99" i="2"/>
  <c r="II99" i="2"/>
  <c r="IJ99" i="2"/>
  <c r="IK99" i="2"/>
  <c r="IL99" i="2"/>
  <c r="IM99" i="2"/>
  <c r="IN99" i="2"/>
  <c r="IO99" i="2"/>
  <c r="IP99" i="2"/>
  <c r="IQ99" i="2"/>
  <c r="IR99" i="2"/>
  <c r="IS99" i="2"/>
  <c r="IT99" i="2"/>
  <c r="IU99" i="2"/>
  <c r="IV99" i="2"/>
  <c r="IW99" i="2"/>
  <c r="IX99" i="2"/>
  <c r="IY99" i="2"/>
  <c r="IZ99" i="2"/>
  <c r="JA99" i="2"/>
  <c r="JB99" i="2"/>
  <c r="JC99" i="2"/>
  <c r="JD99" i="2"/>
  <c r="JE99" i="2"/>
  <c r="JF99" i="2"/>
  <c r="JG99" i="2"/>
  <c r="JH99" i="2"/>
  <c r="JI99" i="2"/>
  <c r="JJ99" i="2"/>
  <c r="JK99" i="2"/>
  <c r="JL99" i="2"/>
  <c r="JM99" i="2"/>
  <c r="JN99" i="2"/>
  <c r="JO99" i="2"/>
  <c r="JP99" i="2"/>
  <c r="JQ99" i="2"/>
  <c r="JR99" i="2"/>
  <c r="JS99" i="2"/>
  <c r="JT99" i="2"/>
  <c r="JU99" i="2"/>
  <c r="JV99" i="2"/>
  <c r="JW99" i="2"/>
  <c r="JX99" i="2"/>
  <c r="JY99" i="2"/>
  <c r="JZ99" i="2"/>
  <c r="KA99" i="2"/>
  <c r="KB99" i="2"/>
  <c r="KC99" i="2"/>
  <c r="KD99" i="2"/>
  <c r="KE99" i="2"/>
  <c r="KF99" i="2"/>
  <c r="KG99" i="2"/>
  <c r="KH99" i="2"/>
  <c r="KI99" i="2"/>
  <c r="KJ99" i="2"/>
  <c r="KK99" i="2"/>
  <c r="KL99" i="2"/>
  <c r="KM99" i="2"/>
  <c r="KN99" i="2"/>
  <c r="KO99" i="2"/>
  <c r="KP99" i="2"/>
  <c r="KQ99" i="2"/>
  <c r="KR99" i="2"/>
  <c r="KS99" i="2"/>
  <c r="KT99" i="2"/>
  <c r="KU99" i="2"/>
  <c r="KV99" i="2"/>
  <c r="KW99" i="2"/>
  <c r="KX99" i="2"/>
  <c r="KY99" i="2"/>
  <c r="KZ99" i="2"/>
  <c r="LA99" i="2"/>
  <c r="LB99" i="2"/>
  <c r="LC99" i="2"/>
  <c r="LD99" i="2"/>
  <c r="LE99" i="2"/>
  <c r="LF99" i="2"/>
  <c r="LG99" i="2"/>
  <c r="LH99" i="2"/>
  <c r="LI99" i="2"/>
  <c r="LJ99" i="2"/>
  <c r="LK99" i="2"/>
  <c r="LL99" i="2"/>
  <c r="LM99" i="2"/>
  <c r="LN99" i="2"/>
  <c r="LO99" i="2"/>
  <c r="LP99" i="2"/>
  <c r="LQ99" i="2"/>
  <c r="LR99" i="2"/>
  <c r="LS99" i="2"/>
  <c r="LT99" i="2"/>
  <c r="LU99" i="2"/>
  <c r="LV99" i="2"/>
  <c r="LW99" i="2"/>
  <c r="LX99" i="2"/>
  <c r="LY99" i="2"/>
  <c r="LZ99" i="2"/>
  <c r="MA99" i="2"/>
  <c r="MB99" i="2"/>
  <c r="MC99" i="2"/>
  <c r="MD99" i="2"/>
  <c r="ME99" i="2"/>
  <c r="MF99" i="2"/>
  <c r="MG99" i="2"/>
  <c r="MH99" i="2"/>
  <c r="MI99" i="2"/>
  <c r="MJ99" i="2"/>
  <c r="MK99" i="2"/>
  <c r="ML99" i="2"/>
  <c r="MM99" i="2"/>
  <c r="MN99" i="2"/>
  <c r="MO99" i="2"/>
  <c r="MP99" i="2"/>
  <c r="MQ99" i="2"/>
  <c r="MR99" i="2"/>
  <c r="MS99" i="2"/>
  <c r="MT99" i="2"/>
  <c r="MU99" i="2"/>
  <c r="MV99" i="2"/>
  <c r="MW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HF100" i="2"/>
  <c r="HG100" i="2"/>
  <c r="HH100" i="2"/>
  <c r="HI100" i="2"/>
  <c r="HJ100" i="2"/>
  <c r="HK100" i="2"/>
  <c r="HL100" i="2"/>
  <c r="HM100" i="2"/>
  <c r="HN100" i="2"/>
  <c r="HO100" i="2"/>
  <c r="HP100" i="2"/>
  <c r="HQ100" i="2"/>
  <c r="HR100" i="2"/>
  <c r="HS100" i="2"/>
  <c r="HT100" i="2"/>
  <c r="HU100" i="2"/>
  <c r="HV100" i="2"/>
  <c r="HW100" i="2"/>
  <c r="HX100" i="2"/>
  <c r="HY100" i="2"/>
  <c r="HZ100" i="2"/>
  <c r="IA100" i="2"/>
  <c r="IB100" i="2"/>
  <c r="IC100" i="2"/>
  <c r="ID100" i="2"/>
  <c r="IE100" i="2"/>
  <c r="IF100" i="2"/>
  <c r="IG100" i="2"/>
  <c r="IH100" i="2"/>
  <c r="II100" i="2"/>
  <c r="IJ100" i="2"/>
  <c r="IK100" i="2"/>
  <c r="IL100" i="2"/>
  <c r="IM100" i="2"/>
  <c r="IN100" i="2"/>
  <c r="IO100" i="2"/>
  <c r="IP100" i="2"/>
  <c r="IQ100" i="2"/>
  <c r="IR100" i="2"/>
  <c r="IS100" i="2"/>
  <c r="IT100" i="2"/>
  <c r="IU100" i="2"/>
  <c r="IV100" i="2"/>
  <c r="IW100" i="2"/>
  <c r="IX100" i="2"/>
  <c r="IY100" i="2"/>
  <c r="IZ100" i="2"/>
  <c r="JA100" i="2"/>
  <c r="JB100" i="2"/>
  <c r="JC100" i="2"/>
  <c r="JD100" i="2"/>
  <c r="JE100" i="2"/>
  <c r="JF100" i="2"/>
  <c r="JG100" i="2"/>
  <c r="JH100" i="2"/>
  <c r="JI100" i="2"/>
  <c r="JJ100" i="2"/>
  <c r="JK100" i="2"/>
  <c r="JL100" i="2"/>
  <c r="JM100" i="2"/>
  <c r="JN100" i="2"/>
  <c r="JO100" i="2"/>
  <c r="JP100" i="2"/>
  <c r="JQ100" i="2"/>
  <c r="JR100" i="2"/>
  <c r="JS100" i="2"/>
  <c r="JT100" i="2"/>
  <c r="JU100" i="2"/>
  <c r="JV100" i="2"/>
  <c r="JW100" i="2"/>
  <c r="JX100" i="2"/>
  <c r="JY100" i="2"/>
  <c r="JZ100" i="2"/>
  <c r="KA100" i="2"/>
  <c r="KB100" i="2"/>
  <c r="KC100" i="2"/>
  <c r="KD100" i="2"/>
  <c r="KE100" i="2"/>
  <c r="KF100" i="2"/>
  <c r="KG100" i="2"/>
  <c r="KH100" i="2"/>
  <c r="KI100" i="2"/>
  <c r="KJ100" i="2"/>
  <c r="KK100" i="2"/>
  <c r="KL100" i="2"/>
  <c r="KM100" i="2"/>
  <c r="KN100" i="2"/>
  <c r="KO100" i="2"/>
  <c r="KP100" i="2"/>
  <c r="KQ100" i="2"/>
  <c r="KR100" i="2"/>
  <c r="KS100" i="2"/>
  <c r="KT100" i="2"/>
  <c r="KU100" i="2"/>
  <c r="KV100" i="2"/>
  <c r="KW100" i="2"/>
  <c r="KX100" i="2"/>
  <c r="KY100" i="2"/>
  <c r="KZ100" i="2"/>
  <c r="LA100" i="2"/>
  <c r="LB100" i="2"/>
  <c r="LC100" i="2"/>
  <c r="LD100" i="2"/>
  <c r="LE100" i="2"/>
  <c r="LF100" i="2"/>
  <c r="LG100" i="2"/>
  <c r="LH100" i="2"/>
  <c r="LI100" i="2"/>
  <c r="LJ100" i="2"/>
  <c r="LK100" i="2"/>
  <c r="LL100" i="2"/>
  <c r="LM100" i="2"/>
  <c r="LN100" i="2"/>
  <c r="LO100" i="2"/>
  <c r="LP100" i="2"/>
  <c r="LQ100" i="2"/>
  <c r="LR100" i="2"/>
  <c r="LS100" i="2"/>
  <c r="LT100" i="2"/>
  <c r="LU100" i="2"/>
  <c r="LV100" i="2"/>
  <c r="LW100" i="2"/>
  <c r="LX100" i="2"/>
  <c r="LY100" i="2"/>
  <c r="LZ100" i="2"/>
  <c r="MA100" i="2"/>
  <c r="MB100" i="2"/>
  <c r="MC100" i="2"/>
  <c r="MD100" i="2"/>
  <c r="ME100" i="2"/>
  <c r="MF100" i="2"/>
  <c r="MG100" i="2"/>
  <c r="MH100" i="2"/>
  <c r="MI100" i="2"/>
  <c r="MJ100" i="2"/>
  <c r="MK100" i="2"/>
  <c r="ML100" i="2"/>
  <c r="MM100" i="2"/>
  <c r="MN100" i="2"/>
  <c r="MO100" i="2"/>
  <c r="MP100" i="2"/>
  <c r="MQ100" i="2"/>
  <c r="MR100" i="2"/>
  <c r="MS100" i="2"/>
  <c r="MT100" i="2"/>
  <c r="MU100" i="2"/>
  <c r="MV100" i="2"/>
  <c r="MW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EL101" i="2"/>
  <c r="EM101" i="2"/>
  <c r="EN101" i="2"/>
  <c r="EO101" i="2"/>
  <c r="EP101" i="2"/>
  <c r="EQ101" i="2"/>
  <c r="ER101" i="2"/>
  <c r="ES101" i="2"/>
  <c r="ET101" i="2"/>
  <c r="EU101" i="2"/>
  <c r="EV101" i="2"/>
  <c r="EW101" i="2"/>
  <c r="EX101" i="2"/>
  <c r="EY101" i="2"/>
  <c r="EZ101" i="2"/>
  <c r="FA101" i="2"/>
  <c r="FB101" i="2"/>
  <c r="FC101" i="2"/>
  <c r="FD101" i="2"/>
  <c r="FE101" i="2"/>
  <c r="FF101" i="2"/>
  <c r="FG101" i="2"/>
  <c r="FH101" i="2"/>
  <c r="FI101" i="2"/>
  <c r="FJ101" i="2"/>
  <c r="FK101" i="2"/>
  <c r="FL101" i="2"/>
  <c r="FM101" i="2"/>
  <c r="FN101" i="2"/>
  <c r="FO101" i="2"/>
  <c r="FP101" i="2"/>
  <c r="FQ101" i="2"/>
  <c r="FR101" i="2"/>
  <c r="FS101" i="2"/>
  <c r="FT101" i="2"/>
  <c r="FU101" i="2"/>
  <c r="FV101" i="2"/>
  <c r="FW101" i="2"/>
  <c r="FX101" i="2"/>
  <c r="FY101" i="2"/>
  <c r="FZ101" i="2"/>
  <c r="GA101" i="2"/>
  <c r="GB101" i="2"/>
  <c r="GC101" i="2"/>
  <c r="GD101" i="2"/>
  <c r="GE101" i="2"/>
  <c r="GF101" i="2"/>
  <c r="GG101" i="2"/>
  <c r="GH101" i="2"/>
  <c r="GI101" i="2"/>
  <c r="GJ101" i="2"/>
  <c r="GK101" i="2"/>
  <c r="GL101" i="2"/>
  <c r="GM101" i="2"/>
  <c r="GN101" i="2"/>
  <c r="GO101" i="2"/>
  <c r="GP101" i="2"/>
  <c r="GQ101" i="2"/>
  <c r="GR101" i="2"/>
  <c r="GS101" i="2"/>
  <c r="GT101" i="2"/>
  <c r="GU101" i="2"/>
  <c r="GV101" i="2"/>
  <c r="GW101" i="2"/>
  <c r="GX101" i="2"/>
  <c r="GY101" i="2"/>
  <c r="GZ101" i="2"/>
  <c r="HA101" i="2"/>
  <c r="HB101" i="2"/>
  <c r="HC101" i="2"/>
  <c r="HD101" i="2"/>
  <c r="HE101" i="2"/>
  <c r="HF101" i="2"/>
  <c r="HG101" i="2"/>
  <c r="HH101" i="2"/>
  <c r="HI101" i="2"/>
  <c r="HJ101" i="2"/>
  <c r="HK101" i="2"/>
  <c r="HL101" i="2"/>
  <c r="HM101" i="2"/>
  <c r="HN101" i="2"/>
  <c r="HO101" i="2"/>
  <c r="HP101" i="2"/>
  <c r="HQ101" i="2"/>
  <c r="HR101" i="2"/>
  <c r="HS101" i="2"/>
  <c r="HT101" i="2"/>
  <c r="HU101" i="2"/>
  <c r="HV101" i="2"/>
  <c r="HW101" i="2"/>
  <c r="HX101" i="2"/>
  <c r="HY101" i="2"/>
  <c r="HZ101" i="2"/>
  <c r="IA101" i="2"/>
  <c r="IB101" i="2"/>
  <c r="IC101" i="2"/>
  <c r="ID101" i="2"/>
  <c r="IE101" i="2"/>
  <c r="IF101" i="2"/>
  <c r="IG101" i="2"/>
  <c r="IH101" i="2"/>
  <c r="II101" i="2"/>
  <c r="IJ101" i="2"/>
  <c r="IK101" i="2"/>
  <c r="IL101" i="2"/>
  <c r="IM101" i="2"/>
  <c r="IN101" i="2"/>
  <c r="IO101" i="2"/>
  <c r="IP101" i="2"/>
  <c r="IQ101" i="2"/>
  <c r="IR101" i="2"/>
  <c r="IS101" i="2"/>
  <c r="IT101" i="2"/>
  <c r="IU101" i="2"/>
  <c r="IV101" i="2"/>
  <c r="IW101" i="2"/>
  <c r="IX101" i="2"/>
  <c r="IY101" i="2"/>
  <c r="IZ101" i="2"/>
  <c r="JA101" i="2"/>
  <c r="JB101" i="2"/>
  <c r="JC101" i="2"/>
  <c r="JD101" i="2"/>
  <c r="JE101" i="2"/>
  <c r="JF101" i="2"/>
  <c r="JG101" i="2"/>
  <c r="JH101" i="2"/>
  <c r="JI101" i="2"/>
  <c r="JJ101" i="2"/>
  <c r="JK101" i="2"/>
  <c r="JL101" i="2"/>
  <c r="JM101" i="2"/>
  <c r="JN101" i="2"/>
  <c r="JO101" i="2"/>
  <c r="JP101" i="2"/>
  <c r="JQ101" i="2"/>
  <c r="JR101" i="2"/>
  <c r="JS101" i="2"/>
  <c r="JT101" i="2"/>
  <c r="JU101" i="2"/>
  <c r="JV101" i="2"/>
  <c r="JW101" i="2"/>
  <c r="JX101" i="2"/>
  <c r="JY101" i="2"/>
  <c r="JZ101" i="2"/>
  <c r="KA101" i="2"/>
  <c r="KB101" i="2"/>
  <c r="KC101" i="2"/>
  <c r="KD101" i="2"/>
  <c r="KE101" i="2"/>
  <c r="KF101" i="2"/>
  <c r="KG101" i="2"/>
  <c r="KH101" i="2"/>
  <c r="KI101" i="2"/>
  <c r="KJ101" i="2"/>
  <c r="KK101" i="2"/>
  <c r="KL101" i="2"/>
  <c r="KM101" i="2"/>
  <c r="KN101" i="2"/>
  <c r="KO101" i="2"/>
  <c r="KP101" i="2"/>
  <c r="KQ101" i="2"/>
  <c r="KR101" i="2"/>
  <c r="KS101" i="2"/>
  <c r="KT101" i="2"/>
  <c r="KU101" i="2"/>
  <c r="KV101" i="2"/>
  <c r="KW101" i="2"/>
  <c r="KX101" i="2"/>
  <c r="KY101" i="2"/>
  <c r="KZ101" i="2"/>
  <c r="LA101" i="2"/>
  <c r="LB101" i="2"/>
  <c r="LC101" i="2"/>
  <c r="LD101" i="2"/>
  <c r="LE101" i="2"/>
  <c r="LF101" i="2"/>
  <c r="LG101" i="2"/>
  <c r="LH101" i="2"/>
  <c r="LI101" i="2"/>
  <c r="LJ101" i="2"/>
  <c r="LK101" i="2"/>
  <c r="LL101" i="2"/>
  <c r="LM101" i="2"/>
  <c r="LN101" i="2"/>
  <c r="LO101" i="2"/>
  <c r="LP101" i="2"/>
  <c r="LQ101" i="2"/>
  <c r="LR101" i="2"/>
  <c r="LS101" i="2"/>
  <c r="LT101" i="2"/>
  <c r="LU101" i="2"/>
  <c r="LV101" i="2"/>
  <c r="LW101" i="2"/>
  <c r="LX101" i="2"/>
  <c r="LY101" i="2"/>
  <c r="LZ101" i="2"/>
  <c r="MA101" i="2"/>
  <c r="MB101" i="2"/>
  <c r="MC101" i="2"/>
  <c r="MD101" i="2"/>
  <c r="ME101" i="2"/>
  <c r="MF101" i="2"/>
  <c r="MG101" i="2"/>
  <c r="MH101" i="2"/>
  <c r="MI101" i="2"/>
  <c r="MJ101" i="2"/>
  <c r="MK101" i="2"/>
  <c r="ML101" i="2"/>
  <c r="MM101" i="2"/>
  <c r="MN101" i="2"/>
  <c r="MO101" i="2"/>
  <c r="MP101" i="2"/>
  <c r="MQ101" i="2"/>
  <c r="MR101" i="2"/>
  <c r="MS101" i="2"/>
  <c r="MT101" i="2"/>
  <c r="MU101" i="2"/>
  <c r="MV101" i="2"/>
  <c r="MW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EL102" i="2"/>
  <c r="EM102" i="2"/>
  <c r="EN102" i="2"/>
  <c r="EO102" i="2"/>
  <c r="EP102" i="2"/>
  <c r="EQ102" i="2"/>
  <c r="ER102" i="2"/>
  <c r="ES102" i="2"/>
  <c r="ET102" i="2"/>
  <c r="EU102" i="2"/>
  <c r="EV102" i="2"/>
  <c r="EW102" i="2"/>
  <c r="EX102" i="2"/>
  <c r="EY102" i="2"/>
  <c r="EZ102" i="2"/>
  <c r="FA102" i="2"/>
  <c r="FB102" i="2"/>
  <c r="FC102" i="2"/>
  <c r="FD102" i="2"/>
  <c r="FE102" i="2"/>
  <c r="FF102" i="2"/>
  <c r="FG102" i="2"/>
  <c r="FH102" i="2"/>
  <c r="FI102" i="2"/>
  <c r="FJ102" i="2"/>
  <c r="FK102" i="2"/>
  <c r="FL102" i="2"/>
  <c r="FM102" i="2"/>
  <c r="FN102" i="2"/>
  <c r="FO102" i="2"/>
  <c r="FP102" i="2"/>
  <c r="FQ102" i="2"/>
  <c r="FR102" i="2"/>
  <c r="FS102" i="2"/>
  <c r="FT102" i="2"/>
  <c r="FU102" i="2"/>
  <c r="FV102" i="2"/>
  <c r="FW102" i="2"/>
  <c r="FX102" i="2"/>
  <c r="FY102" i="2"/>
  <c r="FZ102" i="2"/>
  <c r="GA102" i="2"/>
  <c r="GB102" i="2"/>
  <c r="GC102" i="2"/>
  <c r="GD102" i="2"/>
  <c r="GE102" i="2"/>
  <c r="GF102" i="2"/>
  <c r="GG102" i="2"/>
  <c r="GH102" i="2"/>
  <c r="GI102" i="2"/>
  <c r="GJ102" i="2"/>
  <c r="GK102" i="2"/>
  <c r="GL102" i="2"/>
  <c r="GM102" i="2"/>
  <c r="GN102" i="2"/>
  <c r="GO102" i="2"/>
  <c r="GP102" i="2"/>
  <c r="GQ102" i="2"/>
  <c r="GR102" i="2"/>
  <c r="GS102" i="2"/>
  <c r="GT102" i="2"/>
  <c r="GU102" i="2"/>
  <c r="GV102" i="2"/>
  <c r="GW102" i="2"/>
  <c r="GX102" i="2"/>
  <c r="GY102" i="2"/>
  <c r="GZ102" i="2"/>
  <c r="HA102" i="2"/>
  <c r="HB102" i="2"/>
  <c r="HC102" i="2"/>
  <c r="HD102" i="2"/>
  <c r="HE102" i="2"/>
  <c r="HF102" i="2"/>
  <c r="HG102" i="2"/>
  <c r="HH102" i="2"/>
  <c r="HI102" i="2"/>
  <c r="HJ102" i="2"/>
  <c r="HK102" i="2"/>
  <c r="HL102" i="2"/>
  <c r="HM102" i="2"/>
  <c r="HN102" i="2"/>
  <c r="HO102" i="2"/>
  <c r="HP102" i="2"/>
  <c r="HQ102" i="2"/>
  <c r="HR102" i="2"/>
  <c r="HS102" i="2"/>
  <c r="HT102" i="2"/>
  <c r="HU102" i="2"/>
  <c r="HV102" i="2"/>
  <c r="HW102" i="2"/>
  <c r="HX102" i="2"/>
  <c r="HY102" i="2"/>
  <c r="HZ102" i="2"/>
  <c r="IA102" i="2"/>
  <c r="IB102" i="2"/>
  <c r="IC102" i="2"/>
  <c r="ID102" i="2"/>
  <c r="IE102" i="2"/>
  <c r="IF102" i="2"/>
  <c r="IG102" i="2"/>
  <c r="IH102" i="2"/>
  <c r="II102" i="2"/>
  <c r="IJ102" i="2"/>
  <c r="IK102" i="2"/>
  <c r="IL102" i="2"/>
  <c r="IM102" i="2"/>
  <c r="IN102" i="2"/>
  <c r="IO102" i="2"/>
  <c r="IP102" i="2"/>
  <c r="IQ102" i="2"/>
  <c r="IR102" i="2"/>
  <c r="IS102" i="2"/>
  <c r="IT102" i="2"/>
  <c r="IU102" i="2"/>
  <c r="IV102" i="2"/>
  <c r="IW102" i="2"/>
  <c r="IX102" i="2"/>
  <c r="IY102" i="2"/>
  <c r="IZ102" i="2"/>
  <c r="JA102" i="2"/>
  <c r="JB102" i="2"/>
  <c r="JC102" i="2"/>
  <c r="JD102" i="2"/>
  <c r="JE102" i="2"/>
  <c r="JF102" i="2"/>
  <c r="JG102" i="2"/>
  <c r="JH102" i="2"/>
  <c r="JI102" i="2"/>
  <c r="JJ102" i="2"/>
  <c r="JK102" i="2"/>
  <c r="JL102" i="2"/>
  <c r="JM102" i="2"/>
  <c r="JN102" i="2"/>
  <c r="JO102" i="2"/>
  <c r="JP102" i="2"/>
  <c r="JQ102" i="2"/>
  <c r="JR102" i="2"/>
  <c r="JS102" i="2"/>
  <c r="JT102" i="2"/>
  <c r="JU102" i="2"/>
  <c r="JV102" i="2"/>
  <c r="JW102" i="2"/>
  <c r="JX102" i="2"/>
  <c r="JY102" i="2"/>
  <c r="JZ102" i="2"/>
  <c r="KA102" i="2"/>
  <c r="KB102" i="2"/>
  <c r="KC102" i="2"/>
  <c r="KD102" i="2"/>
  <c r="KE102" i="2"/>
  <c r="KF102" i="2"/>
  <c r="KG102" i="2"/>
  <c r="KH102" i="2"/>
  <c r="KI102" i="2"/>
  <c r="KJ102" i="2"/>
  <c r="KK102" i="2"/>
  <c r="KL102" i="2"/>
  <c r="KM102" i="2"/>
  <c r="KN102" i="2"/>
  <c r="KO102" i="2"/>
  <c r="KP102" i="2"/>
  <c r="KQ102" i="2"/>
  <c r="KR102" i="2"/>
  <c r="KS102" i="2"/>
  <c r="KT102" i="2"/>
  <c r="KU102" i="2"/>
  <c r="KV102" i="2"/>
  <c r="KW102" i="2"/>
  <c r="KX102" i="2"/>
  <c r="KY102" i="2"/>
  <c r="KZ102" i="2"/>
  <c r="LA102" i="2"/>
  <c r="LB102" i="2"/>
  <c r="LC102" i="2"/>
  <c r="LD102" i="2"/>
  <c r="LE102" i="2"/>
  <c r="LF102" i="2"/>
  <c r="LG102" i="2"/>
  <c r="LH102" i="2"/>
  <c r="LI102" i="2"/>
  <c r="LJ102" i="2"/>
  <c r="LK102" i="2"/>
  <c r="LL102" i="2"/>
  <c r="LM102" i="2"/>
  <c r="LN102" i="2"/>
  <c r="LO102" i="2"/>
  <c r="LP102" i="2"/>
  <c r="LQ102" i="2"/>
  <c r="LR102" i="2"/>
  <c r="LS102" i="2"/>
  <c r="LT102" i="2"/>
  <c r="LU102" i="2"/>
  <c r="LV102" i="2"/>
  <c r="LW102" i="2"/>
  <c r="LX102" i="2"/>
  <c r="LY102" i="2"/>
  <c r="LZ102" i="2"/>
  <c r="MA102" i="2"/>
  <c r="MB102" i="2"/>
  <c r="MC102" i="2"/>
  <c r="MD102" i="2"/>
  <c r="ME102" i="2"/>
  <c r="MF102" i="2"/>
  <c r="MG102" i="2"/>
  <c r="MH102" i="2"/>
  <c r="MI102" i="2"/>
  <c r="MJ102" i="2"/>
  <c r="MK102" i="2"/>
  <c r="ML102" i="2"/>
  <c r="MM102" i="2"/>
  <c r="MN102" i="2"/>
  <c r="MO102" i="2"/>
  <c r="MP102" i="2"/>
  <c r="MQ102" i="2"/>
  <c r="MR102" i="2"/>
  <c r="MS102" i="2"/>
  <c r="MT102" i="2"/>
  <c r="MU102" i="2"/>
  <c r="MV102" i="2"/>
  <c r="MW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EL103" i="2"/>
  <c r="EM103" i="2"/>
  <c r="EN103" i="2"/>
  <c r="EO103" i="2"/>
  <c r="EP103" i="2"/>
  <c r="EQ103" i="2"/>
  <c r="ER103" i="2"/>
  <c r="ES103" i="2"/>
  <c r="ET103" i="2"/>
  <c r="EU103" i="2"/>
  <c r="EV103" i="2"/>
  <c r="EW103" i="2"/>
  <c r="EX103" i="2"/>
  <c r="EY103" i="2"/>
  <c r="EZ103" i="2"/>
  <c r="FA103" i="2"/>
  <c r="FB103" i="2"/>
  <c r="FC103" i="2"/>
  <c r="FD103" i="2"/>
  <c r="FE103" i="2"/>
  <c r="FF103" i="2"/>
  <c r="FG103" i="2"/>
  <c r="FH103" i="2"/>
  <c r="FI103" i="2"/>
  <c r="FJ103" i="2"/>
  <c r="FK103" i="2"/>
  <c r="FL103" i="2"/>
  <c r="FM103" i="2"/>
  <c r="FN103" i="2"/>
  <c r="FO103" i="2"/>
  <c r="FP103" i="2"/>
  <c r="FQ103" i="2"/>
  <c r="FR103" i="2"/>
  <c r="FS103" i="2"/>
  <c r="FT103" i="2"/>
  <c r="FU103" i="2"/>
  <c r="FV103" i="2"/>
  <c r="FW103" i="2"/>
  <c r="FX103" i="2"/>
  <c r="FY103" i="2"/>
  <c r="FZ103" i="2"/>
  <c r="GA103" i="2"/>
  <c r="GB103" i="2"/>
  <c r="GC103" i="2"/>
  <c r="GD103" i="2"/>
  <c r="GE103" i="2"/>
  <c r="GF103" i="2"/>
  <c r="GG103" i="2"/>
  <c r="GH103" i="2"/>
  <c r="GI103" i="2"/>
  <c r="GJ103" i="2"/>
  <c r="GK103" i="2"/>
  <c r="GL103" i="2"/>
  <c r="GM103" i="2"/>
  <c r="GN103" i="2"/>
  <c r="GO103" i="2"/>
  <c r="GP103" i="2"/>
  <c r="GQ103" i="2"/>
  <c r="GR103" i="2"/>
  <c r="GS103" i="2"/>
  <c r="GT103" i="2"/>
  <c r="GU103" i="2"/>
  <c r="GV103" i="2"/>
  <c r="GW103" i="2"/>
  <c r="GX103" i="2"/>
  <c r="GY103" i="2"/>
  <c r="GZ103" i="2"/>
  <c r="HA103" i="2"/>
  <c r="HB103" i="2"/>
  <c r="HC103" i="2"/>
  <c r="HD103" i="2"/>
  <c r="HE103" i="2"/>
  <c r="HF103" i="2"/>
  <c r="HG103" i="2"/>
  <c r="HH103" i="2"/>
  <c r="HI103" i="2"/>
  <c r="HJ103" i="2"/>
  <c r="HK103" i="2"/>
  <c r="HL103" i="2"/>
  <c r="HM103" i="2"/>
  <c r="HN103" i="2"/>
  <c r="HO103" i="2"/>
  <c r="HP103" i="2"/>
  <c r="HQ103" i="2"/>
  <c r="HR103" i="2"/>
  <c r="HS103" i="2"/>
  <c r="HT103" i="2"/>
  <c r="HU103" i="2"/>
  <c r="HV103" i="2"/>
  <c r="HW103" i="2"/>
  <c r="HX103" i="2"/>
  <c r="HY103" i="2"/>
  <c r="HZ103" i="2"/>
  <c r="IA103" i="2"/>
  <c r="IB103" i="2"/>
  <c r="IC103" i="2"/>
  <c r="ID103" i="2"/>
  <c r="IE103" i="2"/>
  <c r="IF103" i="2"/>
  <c r="IG103" i="2"/>
  <c r="IH103" i="2"/>
  <c r="II103" i="2"/>
  <c r="IJ103" i="2"/>
  <c r="IK103" i="2"/>
  <c r="IL103" i="2"/>
  <c r="IM103" i="2"/>
  <c r="IN103" i="2"/>
  <c r="IO103" i="2"/>
  <c r="IP103" i="2"/>
  <c r="IQ103" i="2"/>
  <c r="IR103" i="2"/>
  <c r="IS103" i="2"/>
  <c r="IT103" i="2"/>
  <c r="IU103" i="2"/>
  <c r="IV103" i="2"/>
  <c r="IW103" i="2"/>
  <c r="IX103" i="2"/>
  <c r="IY103" i="2"/>
  <c r="IZ103" i="2"/>
  <c r="JA103" i="2"/>
  <c r="JB103" i="2"/>
  <c r="JC103" i="2"/>
  <c r="JD103" i="2"/>
  <c r="JE103" i="2"/>
  <c r="JF103" i="2"/>
  <c r="JG103" i="2"/>
  <c r="JH103" i="2"/>
  <c r="JI103" i="2"/>
  <c r="JJ103" i="2"/>
  <c r="JK103" i="2"/>
  <c r="JL103" i="2"/>
  <c r="JM103" i="2"/>
  <c r="JN103" i="2"/>
  <c r="JO103" i="2"/>
  <c r="JP103" i="2"/>
  <c r="JQ103" i="2"/>
  <c r="JR103" i="2"/>
  <c r="JS103" i="2"/>
  <c r="JT103" i="2"/>
  <c r="JU103" i="2"/>
  <c r="JV103" i="2"/>
  <c r="JW103" i="2"/>
  <c r="JX103" i="2"/>
  <c r="JY103" i="2"/>
  <c r="JZ103" i="2"/>
  <c r="KA103" i="2"/>
  <c r="KB103" i="2"/>
  <c r="KC103" i="2"/>
  <c r="KD103" i="2"/>
  <c r="KE103" i="2"/>
  <c r="KF103" i="2"/>
  <c r="KG103" i="2"/>
  <c r="KH103" i="2"/>
  <c r="KI103" i="2"/>
  <c r="KJ103" i="2"/>
  <c r="KK103" i="2"/>
  <c r="KL103" i="2"/>
  <c r="KM103" i="2"/>
  <c r="KN103" i="2"/>
  <c r="KO103" i="2"/>
  <c r="KP103" i="2"/>
  <c r="KQ103" i="2"/>
  <c r="KR103" i="2"/>
  <c r="KS103" i="2"/>
  <c r="KT103" i="2"/>
  <c r="KU103" i="2"/>
  <c r="KV103" i="2"/>
  <c r="KW103" i="2"/>
  <c r="KX103" i="2"/>
  <c r="KY103" i="2"/>
  <c r="KZ103" i="2"/>
  <c r="LA103" i="2"/>
  <c r="LB103" i="2"/>
  <c r="LC103" i="2"/>
  <c r="LD103" i="2"/>
  <c r="LE103" i="2"/>
  <c r="LF103" i="2"/>
  <c r="LG103" i="2"/>
  <c r="LH103" i="2"/>
  <c r="LI103" i="2"/>
  <c r="LJ103" i="2"/>
  <c r="LK103" i="2"/>
  <c r="LL103" i="2"/>
  <c r="LM103" i="2"/>
  <c r="LN103" i="2"/>
  <c r="LO103" i="2"/>
  <c r="LP103" i="2"/>
  <c r="LQ103" i="2"/>
  <c r="LR103" i="2"/>
  <c r="LS103" i="2"/>
  <c r="LT103" i="2"/>
  <c r="LU103" i="2"/>
  <c r="LV103" i="2"/>
  <c r="LW103" i="2"/>
  <c r="LX103" i="2"/>
  <c r="LY103" i="2"/>
  <c r="LZ103" i="2"/>
  <c r="MA103" i="2"/>
  <c r="MB103" i="2"/>
  <c r="MC103" i="2"/>
  <c r="MD103" i="2"/>
  <c r="ME103" i="2"/>
  <c r="MF103" i="2"/>
  <c r="MG103" i="2"/>
  <c r="MH103" i="2"/>
  <c r="MI103" i="2"/>
  <c r="MJ103" i="2"/>
  <c r="MK103" i="2"/>
  <c r="ML103" i="2"/>
  <c r="MM103" i="2"/>
  <c r="MN103" i="2"/>
  <c r="MO103" i="2"/>
  <c r="MP103" i="2"/>
  <c r="MQ103" i="2"/>
  <c r="MR103" i="2"/>
  <c r="MS103" i="2"/>
  <c r="MT103" i="2"/>
  <c r="MU103" i="2"/>
  <c r="MV103" i="2"/>
  <c r="MW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EL104" i="2"/>
  <c r="EM104" i="2"/>
  <c r="EN104" i="2"/>
  <c r="EO104" i="2"/>
  <c r="EP104" i="2"/>
  <c r="EQ104" i="2"/>
  <c r="ER104" i="2"/>
  <c r="ES104" i="2"/>
  <c r="ET104" i="2"/>
  <c r="EU104" i="2"/>
  <c r="EV104" i="2"/>
  <c r="EW104" i="2"/>
  <c r="EX104" i="2"/>
  <c r="EY104" i="2"/>
  <c r="EZ104" i="2"/>
  <c r="FA104" i="2"/>
  <c r="FB104" i="2"/>
  <c r="FC104" i="2"/>
  <c r="FD104" i="2"/>
  <c r="FE104" i="2"/>
  <c r="FF104" i="2"/>
  <c r="FG104" i="2"/>
  <c r="FH104" i="2"/>
  <c r="FI104" i="2"/>
  <c r="FJ104" i="2"/>
  <c r="FK104" i="2"/>
  <c r="FL104" i="2"/>
  <c r="FM104" i="2"/>
  <c r="FN104" i="2"/>
  <c r="FO104" i="2"/>
  <c r="FP104" i="2"/>
  <c r="FQ104" i="2"/>
  <c r="FR104" i="2"/>
  <c r="FS104" i="2"/>
  <c r="FT104" i="2"/>
  <c r="FU104" i="2"/>
  <c r="FV104" i="2"/>
  <c r="FW104" i="2"/>
  <c r="FX104" i="2"/>
  <c r="FY104" i="2"/>
  <c r="FZ104" i="2"/>
  <c r="GA104" i="2"/>
  <c r="GB104" i="2"/>
  <c r="GC104" i="2"/>
  <c r="GD104" i="2"/>
  <c r="GE104" i="2"/>
  <c r="GF104" i="2"/>
  <c r="GG104" i="2"/>
  <c r="GH104" i="2"/>
  <c r="GI104" i="2"/>
  <c r="GJ104" i="2"/>
  <c r="GK104" i="2"/>
  <c r="GL104" i="2"/>
  <c r="GM104" i="2"/>
  <c r="GN104" i="2"/>
  <c r="GO104" i="2"/>
  <c r="GP104" i="2"/>
  <c r="GQ104" i="2"/>
  <c r="GR104" i="2"/>
  <c r="GS104" i="2"/>
  <c r="GT104" i="2"/>
  <c r="GU104" i="2"/>
  <c r="GV104" i="2"/>
  <c r="GW104" i="2"/>
  <c r="GX104" i="2"/>
  <c r="GY104" i="2"/>
  <c r="GZ104" i="2"/>
  <c r="HA104" i="2"/>
  <c r="HB104" i="2"/>
  <c r="HC104" i="2"/>
  <c r="HD104" i="2"/>
  <c r="HE104" i="2"/>
  <c r="HF104" i="2"/>
  <c r="HG104" i="2"/>
  <c r="HH104" i="2"/>
  <c r="HI104" i="2"/>
  <c r="HJ104" i="2"/>
  <c r="HK104" i="2"/>
  <c r="HL104" i="2"/>
  <c r="HM104" i="2"/>
  <c r="HN104" i="2"/>
  <c r="HO104" i="2"/>
  <c r="HP104" i="2"/>
  <c r="HQ104" i="2"/>
  <c r="HR104" i="2"/>
  <c r="HS104" i="2"/>
  <c r="HT104" i="2"/>
  <c r="HU104" i="2"/>
  <c r="HV104" i="2"/>
  <c r="HW104" i="2"/>
  <c r="HX104" i="2"/>
  <c r="HY104" i="2"/>
  <c r="HZ104" i="2"/>
  <c r="IA104" i="2"/>
  <c r="IB104" i="2"/>
  <c r="IC104" i="2"/>
  <c r="ID104" i="2"/>
  <c r="IE104" i="2"/>
  <c r="IF104" i="2"/>
  <c r="IG104" i="2"/>
  <c r="IH104" i="2"/>
  <c r="II104" i="2"/>
  <c r="IJ104" i="2"/>
  <c r="IK104" i="2"/>
  <c r="IL104" i="2"/>
  <c r="IM104" i="2"/>
  <c r="IN104" i="2"/>
  <c r="IO104" i="2"/>
  <c r="IP104" i="2"/>
  <c r="IQ104" i="2"/>
  <c r="IR104" i="2"/>
  <c r="IS104" i="2"/>
  <c r="IT104" i="2"/>
  <c r="IU104" i="2"/>
  <c r="IV104" i="2"/>
  <c r="IW104" i="2"/>
  <c r="IX104" i="2"/>
  <c r="IY104" i="2"/>
  <c r="IZ104" i="2"/>
  <c r="JA104" i="2"/>
  <c r="JB104" i="2"/>
  <c r="JC104" i="2"/>
  <c r="JD104" i="2"/>
  <c r="JE104" i="2"/>
  <c r="JF104" i="2"/>
  <c r="JG104" i="2"/>
  <c r="JH104" i="2"/>
  <c r="JI104" i="2"/>
  <c r="JJ104" i="2"/>
  <c r="JK104" i="2"/>
  <c r="JL104" i="2"/>
  <c r="JM104" i="2"/>
  <c r="JN104" i="2"/>
  <c r="JO104" i="2"/>
  <c r="JP104" i="2"/>
  <c r="JQ104" i="2"/>
  <c r="JR104" i="2"/>
  <c r="JS104" i="2"/>
  <c r="JT104" i="2"/>
  <c r="JU104" i="2"/>
  <c r="JV104" i="2"/>
  <c r="JW104" i="2"/>
  <c r="JX104" i="2"/>
  <c r="JY104" i="2"/>
  <c r="JZ104" i="2"/>
  <c r="KA104" i="2"/>
  <c r="KB104" i="2"/>
  <c r="KC104" i="2"/>
  <c r="KD104" i="2"/>
  <c r="KE104" i="2"/>
  <c r="KF104" i="2"/>
  <c r="KG104" i="2"/>
  <c r="KH104" i="2"/>
  <c r="KI104" i="2"/>
  <c r="KJ104" i="2"/>
  <c r="KK104" i="2"/>
  <c r="KL104" i="2"/>
  <c r="KM104" i="2"/>
  <c r="KN104" i="2"/>
  <c r="KO104" i="2"/>
  <c r="KP104" i="2"/>
  <c r="KQ104" i="2"/>
  <c r="KR104" i="2"/>
  <c r="KS104" i="2"/>
  <c r="KT104" i="2"/>
  <c r="KU104" i="2"/>
  <c r="KV104" i="2"/>
  <c r="KW104" i="2"/>
  <c r="KX104" i="2"/>
  <c r="KY104" i="2"/>
  <c r="KZ104" i="2"/>
  <c r="LA104" i="2"/>
  <c r="LB104" i="2"/>
  <c r="LC104" i="2"/>
  <c r="LD104" i="2"/>
  <c r="LE104" i="2"/>
  <c r="LF104" i="2"/>
  <c r="LG104" i="2"/>
  <c r="LH104" i="2"/>
  <c r="LI104" i="2"/>
  <c r="LJ104" i="2"/>
  <c r="LK104" i="2"/>
  <c r="LL104" i="2"/>
  <c r="LM104" i="2"/>
  <c r="LN104" i="2"/>
  <c r="LO104" i="2"/>
  <c r="LP104" i="2"/>
  <c r="LQ104" i="2"/>
  <c r="LR104" i="2"/>
  <c r="LS104" i="2"/>
  <c r="LT104" i="2"/>
  <c r="LU104" i="2"/>
  <c r="LV104" i="2"/>
  <c r="LW104" i="2"/>
  <c r="LX104" i="2"/>
  <c r="LY104" i="2"/>
  <c r="LZ104" i="2"/>
  <c r="MA104" i="2"/>
  <c r="MB104" i="2"/>
  <c r="MC104" i="2"/>
  <c r="MD104" i="2"/>
  <c r="ME104" i="2"/>
  <c r="MF104" i="2"/>
  <c r="MG104" i="2"/>
  <c r="MH104" i="2"/>
  <c r="MI104" i="2"/>
  <c r="MJ104" i="2"/>
  <c r="MK104" i="2"/>
  <c r="ML104" i="2"/>
  <c r="MM104" i="2"/>
  <c r="MN104" i="2"/>
  <c r="MO104" i="2"/>
  <c r="MP104" i="2"/>
  <c r="MQ104" i="2"/>
  <c r="MR104" i="2"/>
  <c r="MS104" i="2"/>
  <c r="MT104" i="2"/>
  <c r="MU104" i="2"/>
  <c r="MV104" i="2"/>
  <c r="MW104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75" i="2"/>
  <c r="LH8" i="2" l="1"/>
  <c r="LG8" i="2"/>
  <c r="LC8" i="2"/>
  <c r="KU6" i="2"/>
  <c r="KM8" i="2"/>
  <c r="KE6" i="2"/>
  <c r="JW8" i="2"/>
  <c r="JO6" i="2"/>
  <c r="JG8" i="2"/>
  <c r="IY6" i="2"/>
  <c r="IQ8" i="2"/>
  <c r="II6" i="2"/>
  <c r="IA8" i="2"/>
  <c r="HS6" i="2"/>
  <c r="HK8" i="2"/>
  <c r="HC6" i="2"/>
  <c r="GU8" i="2"/>
  <c r="GM6" i="2"/>
  <c r="GE8" i="2"/>
  <c r="FW6" i="2"/>
  <c r="FO8" i="2"/>
  <c r="FG6" i="2"/>
  <c r="EY8" i="2"/>
  <c r="EQ6" i="2"/>
  <c r="EI8" i="2"/>
  <c r="EA8" i="2"/>
  <c r="DS8" i="2"/>
  <c r="DK8" i="2"/>
  <c r="DC8" i="2"/>
  <c r="CU8" i="2"/>
  <c r="CI6" i="2"/>
  <c r="LR7" i="2"/>
  <c r="LF8" i="2"/>
  <c r="LB7" i="2"/>
  <c r="JF7" i="2"/>
  <c r="IP7" i="2"/>
  <c r="GT7" i="2"/>
  <c r="GD7" i="2"/>
  <c r="EH7" i="2"/>
  <c r="DZ6" i="2"/>
  <c r="DR7" i="2"/>
  <c r="CD6" i="2"/>
  <c r="BV7" i="2"/>
  <c r="BN6" i="2"/>
  <c r="BF7" i="2"/>
  <c r="J7" i="2"/>
  <c r="B8" i="2"/>
  <c r="LJ8" i="2"/>
  <c r="LD8" i="2"/>
  <c r="KN8" i="2"/>
  <c r="JX8" i="2"/>
  <c r="KY6" i="2"/>
  <c r="KY8" i="2"/>
  <c r="KI6" i="2"/>
  <c r="KI8" i="2"/>
  <c r="JS6" i="2"/>
  <c r="JC6" i="2"/>
  <c r="IM6" i="2"/>
  <c r="HW6" i="2"/>
  <c r="HG6" i="2"/>
  <c r="GQ6" i="2"/>
  <c r="GA6" i="2"/>
  <c r="FK6" i="2"/>
  <c r="EU6" i="2"/>
  <c r="EE6" i="2"/>
  <c r="BS6" i="2"/>
  <c r="JV7" i="2"/>
  <c r="HJ7" i="2"/>
  <c r="EX7" i="2"/>
  <c r="DJ6" i="2"/>
  <c r="CL7" i="2"/>
  <c r="Z7" i="2"/>
  <c r="MW6" i="2"/>
  <c r="MW7" i="2"/>
  <c r="MS6" i="2"/>
  <c r="MS7" i="2"/>
  <c r="MO6" i="2"/>
  <c r="MO7" i="2"/>
  <c r="MK6" i="2"/>
  <c r="MK7" i="2"/>
  <c r="MG6" i="2"/>
  <c r="MG7" i="2"/>
  <c r="MC6" i="2"/>
  <c r="MC7" i="2"/>
  <c r="LY6" i="2"/>
  <c r="LY7" i="2"/>
  <c r="LU6" i="2"/>
  <c r="LU7" i="2"/>
  <c r="LQ6" i="2"/>
  <c r="LQ7" i="2"/>
  <c r="LM6" i="2"/>
  <c r="LM7" i="2"/>
  <c r="LI7" i="2"/>
  <c r="LE7" i="2"/>
  <c r="LE6" i="2"/>
  <c r="LE8" i="2"/>
  <c r="LA7" i="2"/>
  <c r="LA6" i="2"/>
  <c r="LA8" i="2"/>
  <c r="KW7" i="2"/>
  <c r="KW6" i="2"/>
  <c r="KW8" i="2"/>
  <c r="KS7" i="2"/>
  <c r="KS6" i="2"/>
  <c r="KS8" i="2"/>
  <c r="KO7" i="2"/>
  <c r="KO6" i="2"/>
  <c r="KO8" i="2"/>
  <c r="KK7" i="2"/>
  <c r="KK6" i="2"/>
  <c r="KK8" i="2"/>
  <c r="KG7" i="2"/>
  <c r="KG6" i="2"/>
  <c r="KG8" i="2"/>
  <c r="KC7" i="2"/>
  <c r="KC6" i="2"/>
  <c r="KC8" i="2"/>
  <c r="JY7" i="2"/>
  <c r="JY6" i="2"/>
  <c r="JY8" i="2"/>
  <c r="JU7" i="2"/>
  <c r="JU6" i="2"/>
  <c r="JU8" i="2"/>
  <c r="JQ7" i="2"/>
  <c r="JQ6" i="2"/>
  <c r="JQ8" i="2"/>
  <c r="JM7" i="2"/>
  <c r="JM6" i="2"/>
  <c r="JM8" i="2"/>
  <c r="JI7" i="2"/>
  <c r="JI6" i="2"/>
  <c r="JI8" i="2"/>
  <c r="JE7" i="2"/>
  <c r="JE6" i="2"/>
  <c r="JE8" i="2"/>
  <c r="JA7" i="2"/>
  <c r="JA6" i="2"/>
  <c r="JA8" i="2"/>
  <c r="IW7" i="2"/>
  <c r="IW6" i="2"/>
  <c r="IW8" i="2"/>
  <c r="IS7" i="2"/>
  <c r="IS6" i="2"/>
  <c r="IS8" i="2"/>
  <c r="IO7" i="2"/>
  <c r="IO6" i="2"/>
  <c r="IO8" i="2"/>
  <c r="IK7" i="2"/>
  <c r="IK6" i="2"/>
  <c r="IK8" i="2"/>
  <c r="IG7" i="2"/>
  <c r="IG6" i="2"/>
  <c r="IG8" i="2"/>
  <c r="IC7" i="2"/>
  <c r="IC6" i="2"/>
  <c r="IC8" i="2"/>
  <c r="HY7" i="2"/>
  <c r="HY6" i="2"/>
  <c r="HY8" i="2"/>
  <c r="HU7" i="2"/>
  <c r="HU6" i="2"/>
  <c r="HU8" i="2"/>
  <c r="HQ7" i="2"/>
  <c r="HQ6" i="2"/>
  <c r="HQ8" i="2"/>
  <c r="HM7" i="2"/>
  <c r="HM6" i="2"/>
  <c r="HM8" i="2"/>
  <c r="HI7" i="2"/>
  <c r="HI6" i="2"/>
  <c r="HI8" i="2"/>
  <c r="HE7" i="2"/>
  <c r="HE6" i="2"/>
  <c r="HE8" i="2"/>
  <c r="HA7" i="2"/>
  <c r="HA6" i="2"/>
  <c r="HA8" i="2"/>
  <c r="GW7" i="2"/>
  <c r="GW6" i="2"/>
  <c r="GW8" i="2"/>
  <c r="GS7" i="2"/>
  <c r="GS6" i="2"/>
  <c r="GS8" i="2"/>
  <c r="GO7" i="2"/>
  <c r="GO6" i="2"/>
  <c r="GO8" i="2"/>
  <c r="GK7" i="2"/>
  <c r="GK6" i="2"/>
  <c r="GK8" i="2"/>
  <c r="GG7" i="2"/>
  <c r="GG6" i="2"/>
  <c r="GG8" i="2"/>
  <c r="GC7" i="2"/>
  <c r="GC6" i="2"/>
  <c r="GC8" i="2"/>
  <c r="FY7" i="2"/>
  <c r="FY6" i="2"/>
  <c r="FY8" i="2"/>
  <c r="FU7" i="2"/>
  <c r="FU6" i="2"/>
  <c r="FU8" i="2"/>
  <c r="FQ7" i="2"/>
  <c r="FQ6" i="2"/>
  <c r="FQ8" i="2"/>
  <c r="FM7" i="2"/>
  <c r="FM6" i="2"/>
  <c r="FM8" i="2"/>
  <c r="FI7" i="2"/>
  <c r="FI6" i="2"/>
  <c r="FI8" i="2"/>
  <c r="FE7" i="2"/>
  <c r="FE6" i="2"/>
  <c r="FE8" i="2"/>
  <c r="FA7" i="2"/>
  <c r="FA6" i="2"/>
  <c r="FA8" i="2"/>
  <c r="EW7" i="2"/>
  <c r="EW6" i="2"/>
  <c r="EW8" i="2"/>
  <c r="ES7" i="2"/>
  <c r="ES6" i="2"/>
  <c r="ES8" i="2"/>
  <c r="EO7" i="2"/>
  <c r="EO6" i="2"/>
  <c r="EO8" i="2"/>
  <c r="EK7" i="2"/>
  <c r="EK6" i="2"/>
  <c r="EK8" i="2"/>
  <c r="EG7" i="2"/>
  <c r="EG6" i="2"/>
  <c r="EG8" i="2"/>
  <c r="EC7" i="2"/>
  <c r="EC6" i="2"/>
  <c r="EC8" i="2"/>
  <c r="DY7" i="2"/>
  <c r="DY6" i="2"/>
  <c r="DY8" i="2"/>
  <c r="DU7" i="2"/>
  <c r="DU6" i="2"/>
  <c r="DU8" i="2"/>
  <c r="DQ7" i="2"/>
  <c r="DQ6" i="2"/>
  <c r="DQ8" i="2"/>
  <c r="DM7" i="2"/>
  <c r="DM6" i="2"/>
  <c r="DM8" i="2"/>
  <c r="DI7" i="2"/>
  <c r="DI6" i="2"/>
  <c r="DI8" i="2"/>
  <c r="DE7" i="2"/>
  <c r="DE6" i="2"/>
  <c r="DE8" i="2"/>
  <c r="DA7" i="2"/>
  <c r="DA6" i="2"/>
  <c r="DA8" i="2"/>
  <c r="CW7" i="2"/>
  <c r="CW6" i="2"/>
  <c r="CW8" i="2"/>
  <c r="CS7" i="2"/>
  <c r="CS6" i="2"/>
  <c r="CS8" i="2"/>
  <c r="CO7" i="2"/>
  <c r="CO8" i="2"/>
  <c r="CO6" i="2"/>
  <c r="CK7" i="2"/>
  <c r="CK6" i="2"/>
  <c r="CK8" i="2"/>
  <c r="CG7" i="2"/>
  <c r="CG6" i="2"/>
  <c r="CG8" i="2"/>
  <c r="CC7" i="2"/>
  <c r="CC6" i="2"/>
  <c r="CC8" i="2"/>
  <c r="BY7" i="2"/>
  <c r="BY6" i="2"/>
  <c r="BY8" i="2"/>
  <c r="BU7" i="2"/>
  <c r="BU6" i="2"/>
  <c r="BU8" i="2"/>
  <c r="BQ7" i="2"/>
  <c r="BQ6" i="2"/>
  <c r="BQ8" i="2"/>
  <c r="BM7" i="2"/>
  <c r="BM6" i="2"/>
  <c r="BM8" i="2"/>
  <c r="BI7" i="2"/>
  <c r="BI8" i="2"/>
  <c r="BI6" i="2"/>
  <c r="BE7" i="2"/>
  <c r="BE6" i="2"/>
  <c r="BE8" i="2"/>
  <c r="BA7" i="2"/>
  <c r="AW7" i="2"/>
  <c r="AW6" i="2"/>
  <c r="AS7" i="2"/>
  <c r="AO7" i="2"/>
  <c r="AO6" i="2"/>
  <c r="AK7" i="2"/>
  <c r="AG7" i="2"/>
  <c r="AG6" i="2"/>
  <c r="AC7" i="2"/>
  <c r="Y7" i="2"/>
  <c r="Y6" i="2"/>
  <c r="U7" i="2"/>
  <c r="Q7" i="2"/>
  <c r="Q6" i="2"/>
  <c r="M7" i="2"/>
  <c r="I7" i="2"/>
  <c r="I6" i="2"/>
  <c r="E7" i="2"/>
  <c r="AO8" i="2"/>
  <c r="Y8" i="2"/>
  <c r="I8" i="2"/>
  <c r="AS6" i="2"/>
  <c r="M6" i="2"/>
  <c r="LI6" i="2"/>
  <c r="MW8" i="2"/>
  <c r="MS8" i="2"/>
  <c r="MO8" i="2"/>
  <c r="MK8" i="2"/>
  <c r="MG8" i="2"/>
  <c r="MC8" i="2"/>
  <c r="LY8" i="2"/>
  <c r="LU8" i="2"/>
  <c r="LQ8" i="2"/>
  <c r="LM8" i="2"/>
  <c r="MV8" i="2"/>
  <c r="MV7" i="2"/>
  <c r="MR8" i="2"/>
  <c r="MR7" i="2"/>
  <c r="MN8" i="2"/>
  <c r="MN7" i="2"/>
  <c r="MJ8" i="2"/>
  <c r="MJ7" i="2"/>
  <c r="MF8" i="2"/>
  <c r="MF7" i="2"/>
  <c r="MB8" i="2"/>
  <c r="MB7" i="2"/>
  <c r="LX8" i="2"/>
  <c r="LX7" i="2"/>
  <c r="LT8" i="2"/>
  <c r="LT7" i="2"/>
  <c r="LP6" i="2"/>
  <c r="LP7" i="2"/>
  <c r="LL8" i="2"/>
  <c r="LL7" i="2"/>
  <c r="LH7" i="2"/>
  <c r="LH6" i="2"/>
  <c r="LD7" i="2"/>
  <c r="LD6" i="2"/>
  <c r="KZ7" i="2"/>
  <c r="KZ6" i="2"/>
  <c r="KV7" i="2"/>
  <c r="KV6" i="2"/>
  <c r="KR7" i="2"/>
  <c r="KR6" i="2"/>
  <c r="KN7" i="2"/>
  <c r="KN6" i="2"/>
  <c r="KJ7" i="2"/>
  <c r="KJ6" i="2"/>
  <c r="KF7" i="2"/>
  <c r="KF6" i="2"/>
  <c r="KB7" i="2"/>
  <c r="KB6" i="2"/>
  <c r="JX7" i="2"/>
  <c r="JX6" i="2"/>
  <c r="JT7" i="2"/>
  <c r="JT6" i="2"/>
  <c r="JT8" i="2"/>
  <c r="JP7" i="2"/>
  <c r="JP6" i="2"/>
  <c r="JP8" i="2"/>
  <c r="JL7" i="2"/>
  <c r="JL6" i="2"/>
  <c r="JL8" i="2"/>
  <c r="JH7" i="2"/>
  <c r="JH6" i="2"/>
  <c r="JH8" i="2"/>
  <c r="JD7" i="2"/>
  <c r="JD6" i="2"/>
  <c r="JD8" i="2"/>
  <c r="IZ7" i="2"/>
  <c r="IZ6" i="2"/>
  <c r="IZ8" i="2"/>
  <c r="IV7" i="2"/>
  <c r="IV6" i="2"/>
  <c r="IV8" i="2"/>
  <c r="IR7" i="2"/>
  <c r="IR6" i="2"/>
  <c r="IR8" i="2"/>
  <c r="IN7" i="2"/>
  <c r="IN6" i="2"/>
  <c r="IN8" i="2"/>
  <c r="IJ7" i="2"/>
  <c r="IJ6" i="2"/>
  <c r="IJ8" i="2"/>
  <c r="IF7" i="2"/>
  <c r="IF6" i="2"/>
  <c r="IF8" i="2"/>
  <c r="IB7" i="2"/>
  <c r="IB6" i="2"/>
  <c r="IB8" i="2"/>
  <c r="HX7" i="2"/>
  <c r="HX6" i="2"/>
  <c r="HX8" i="2"/>
  <c r="HT7" i="2"/>
  <c r="HT6" i="2"/>
  <c r="HT8" i="2"/>
  <c r="HP7" i="2"/>
  <c r="HP6" i="2"/>
  <c r="HP8" i="2"/>
  <c r="HL7" i="2"/>
  <c r="HL6" i="2"/>
  <c r="HL8" i="2"/>
  <c r="HH7" i="2"/>
  <c r="HH6" i="2"/>
  <c r="HH8" i="2"/>
  <c r="HD7" i="2"/>
  <c r="HD6" i="2"/>
  <c r="HD8" i="2"/>
  <c r="GZ7" i="2"/>
  <c r="GZ6" i="2"/>
  <c r="GZ8" i="2"/>
  <c r="GV7" i="2"/>
  <c r="GV6" i="2"/>
  <c r="GV8" i="2"/>
  <c r="GR7" i="2"/>
  <c r="GR6" i="2"/>
  <c r="GR8" i="2"/>
  <c r="GN7" i="2"/>
  <c r="GN6" i="2"/>
  <c r="GN8" i="2"/>
  <c r="GJ7" i="2"/>
  <c r="GJ6" i="2"/>
  <c r="GJ8" i="2"/>
  <c r="GF7" i="2"/>
  <c r="GF6" i="2"/>
  <c r="GF8" i="2"/>
  <c r="GB7" i="2"/>
  <c r="GB6" i="2"/>
  <c r="GB8" i="2"/>
  <c r="FX7" i="2"/>
  <c r="FX6" i="2"/>
  <c r="FX8" i="2"/>
  <c r="FT7" i="2"/>
  <c r="FT6" i="2"/>
  <c r="FT8" i="2"/>
  <c r="FP7" i="2"/>
  <c r="FP6" i="2"/>
  <c r="FP8" i="2"/>
  <c r="FL7" i="2"/>
  <c r="FL6" i="2"/>
  <c r="FL8" i="2"/>
  <c r="FH7" i="2"/>
  <c r="FH6" i="2"/>
  <c r="FH8" i="2"/>
  <c r="FD7" i="2"/>
  <c r="FD6" i="2"/>
  <c r="FD8" i="2"/>
  <c r="EZ7" i="2"/>
  <c r="EZ6" i="2"/>
  <c r="EZ8" i="2"/>
  <c r="EV7" i="2"/>
  <c r="EV6" i="2"/>
  <c r="EV8" i="2"/>
  <c r="ER7" i="2"/>
  <c r="ER6" i="2"/>
  <c r="ER8" i="2"/>
  <c r="EN7" i="2"/>
  <c r="EN6" i="2"/>
  <c r="EN8" i="2"/>
  <c r="EJ7" i="2"/>
  <c r="EJ6" i="2"/>
  <c r="EJ8" i="2"/>
  <c r="EF7" i="2"/>
  <c r="EF6" i="2"/>
  <c r="EF8" i="2"/>
  <c r="EB7" i="2"/>
  <c r="EB6" i="2"/>
  <c r="EB8" i="2"/>
  <c r="DX7" i="2"/>
  <c r="DX6" i="2"/>
  <c r="DX8" i="2"/>
  <c r="DT7" i="2"/>
  <c r="DT6" i="2"/>
  <c r="DT8" i="2"/>
  <c r="DP7" i="2"/>
  <c r="DP6" i="2"/>
  <c r="DP8" i="2"/>
  <c r="DL7" i="2"/>
  <c r="DL6" i="2"/>
  <c r="DL8" i="2"/>
  <c r="DH7" i="2"/>
  <c r="DH6" i="2"/>
  <c r="DH8" i="2"/>
  <c r="DD7" i="2"/>
  <c r="DD6" i="2"/>
  <c r="DD8" i="2"/>
  <c r="CZ7" i="2"/>
  <c r="CZ6" i="2"/>
  <c r="CZ8" i="2"/>
  <c r="CV7" i="2"/>
  <c r="CV6" i="2"/>
  <c r="CV8" i="2"/>
  <c r="CR7" i="2"/>
  <c r="CR6" i="2"/>
  <c r="CR8" i="2"/>
  <c r="CN7" i="2"/>
  <c r="CN6" i="2"/>
  <c r="CN8" i="2"/>
  <c r="CJ7" i="2"/>
  <c r="CJ6" i="2"/>
  <c r="CJ8" i="2"/>
  <c r="CF7" i="2"/>
  <c r="CF6" i="2"/>
  <c r="CF8" i="2"/>
  <c r="CB7" i="2"/>
  <c r="CB6" i="2"/>
  <c r="CB8" i="2"/>
  <c r="BX7" i="2"/>
  <c r="BX6" i="2"/>
  <c r="BX8" i="2"/>
  <c r="BT7" i="2"/>
  <c r="BT6" i="2"/>
  <c r="BT8" i="2"/>
  <c r="BP7" i="2"/>
  <c r="BP6" i="2"/>
  <c r="BP8" i="2"/>
  <c r="BL7" i="2"/>
  <c r="BL6" i="2"/>
  <c r="BL8" i="2"/>
  <c r="BH7" i="2"/>
  <c r="BH6" i="2"/>
  <c r="BH8" i="2"/>
  <c r="BD7" i="2"/>
  <c r="BD6" i="2"/>
  <c r="BD8" i="2"/>
  <c r="AZ7" i="2"/>
  <c r="AZ6" i="2"/>
  <c r="AZ8" i="2"/>
  <c r="AV7" i="2"/>
  <c r="AV6" i="2"/>
  <c r="AV8" i="2"/>
  <c r="AR7" i="2"/>
  <c r="AR6" i="2"/>
  <c r="AR8" i="2"/>
  <c r="AN7" i="2"/>
  <c r="AN6" i="2"/>
  <c r="AN8" i="2"/>
  <c r="AJ7" i="2"/>
  <c r="AJ6" i="2"/>
  <c r="AJ8" i="2"/>
  <c r="AF7" i="2"/>
  <c r="AF6" i="2"/>
  <c r="AF8" i="2"/>
  <c r="AB7" i="2"/>
  <c r="AB6" i="2"/>
  <c r="AB8" i="2"/>
  <c r="X7" i="2"/>
  <c r="X6" i="2"/>
  <c r="X8" i="2"/>
  <c r="T7" i="2"/>
  <c r="T6" i="2"/>
  <c r="T8" i="2"/>
  <c r="P7" i="2"/>
  <c r="P6" i="2"/>
  <c r="P8" i="2"/>
  <c r="L7" i="2"/>
  <c r="L6" i="2"/>
  <c r="L8" i="2"/>
  <c r="H7" i="2"/>
  <c r="H6" i="2"/>
  <c r="H8" i="2"/>
  <c r="D7" i="2"/>
  <c r="D6" i="2"/>
  <c r="D8" i="2"/>
  <c r="KR8" i="2"/>
  <c r="KB8" i="2"/>
  <c r="JO8" i="2"/>
  <c r="IY8" i="2"/>
  <c r="II8" i="2"/>
  <c r="HS8" i="2"/>
  <c r="HC8" i="2"/>
  <c r="GM8" i="2"/>
  <c r="FW8" i="2"/>
  <c r="FG8" i="2"/>
  <c r="EQ8" i="2"/>
  <c r="BA8" i="2"/>
  <c r="AK8" i="2"/>
  <c r="U8" i="2"/>
  <c r="E8" i="2"/>
  <c r="AK6" i="2"/>
  <c r="E6" i="2"/>
  <c r="MU8" i="2"/>
  <c r="MU7" i="2"/>
  <c r="MQ8" i="2"/>
  <c r="MQ7" i="2"/>
  <c r="MM8" i="2"/>
  <c r="MM7" i="2"/>
  <c r="MI8" i="2"/>
  <c r="MI7" i="2"/>
  <c r="ME8" i="2"/>
  <c r="ME7" i="2"/>
  <c r="MA8" i="2"/>
  <c r="MA7" i="2"/>
  <c r="LW8" i="2"/>
  <c r="LW7" i="2"/>
  <c r="LS8" i="2"/>
  <c r="LS7" i="2"/>
  <c r="LO8" i="2"/>
  <c r="LO7" i="2"/>
  <c r="LK8" i="2"/>
  <c r="LK7" i="2"/>
  <c r="LG7" i="2"/>
  <c r="LC7" i="2"/>
  <c r="KY7" i="2"/>
  <c r="KU7" i="2"/>
  <c r="KQ7" i="2"/>
  <c r="KM7" i="2"/>
  <c r="KI7" i="2"/>
  <c r="KE7" i="2"/>
  <c r="KA7" i="2"/>
  <c r="JW7" i="2"/>
  <c r="JS7" i="2"/>
  <c r="JO7" i="2"/>
  <c r="JK7" i="2"/>
  <c r="JG7" i="2"/>
  <c r="JC7" i="2"/>
  <c r="IY7" i="2"/>
  <c r="IU7" i="2"/>
  <c r="IQ7" i="2"/>
  <c r="IM7" i="2"/>
  <c r="II7" i="2"/>
  <c r="IE7" i="2"/>
  <c r="IA7" i="2"/>
  <c r="HW7" i="2"/>
  <c r="HS7" i="2"/>
  <c r="HO7" i="2"/>
  <c r="HK7" i="2"/>
  <c r="HG7" i="2"/>
  <c r="HC7" i="2"/>
  <c r="GY7" i="2"/>
  <c r="GU7" i="2"/>
  <c r="GQ7" i="2"/>
  <c r="GM7" i="2"/>
  <c r="GI7" i="2"/>
  <c r="GE7" i="2"/>
  <c r="GA7" i="2"/>
  <c r="FW7" i="2"/>
  <c r="FS7" i="2"/>
  <c r="FO7" i="2"/>
  <c r="FK7" i="2"/>
  <c r="FG7" i="2"/>
  <c r="FC7" i="2"/>
  <c r="EY7" i="2"/>
  <c r="EU7" i="2"/>
  <c r="EQ7" i="2"/>
  <c r="EM7" i="2"/>
  <c r="EI7" i="2"/>
  <c r="EE7" i="2"/>
  <c r="EA7" i="2"/>
  <c r="EA6" i="2"/>
  <c r="DW7" i="2"/>
  <c r="DW6" i="2"/>
  <c r="DS7" i="2"/>
  <c r="DS6" i="2"/>
  <c r="DO7" i="2"/>
  <c r="DK7" i="2"/>
  <c r="DK6" i="2"/>
  <c r="DG7" i="2"/>
  <c r="DG6" i="2"/>
  <c r="DC7" i="2"/>
  <c r="DC6" i="2"/>
  <c r="CY7" i="2"/>
  <c r="CU7" i="2"/>
  <c r="CU6" i="2"/>
  <c r="CQ7" i="2"/>
  <c r="CQ6" i="2"/>
  <c r="CQ8" i="2"/>
  <c r="CM7" i="2"/>
  <c r="CM8" i="2"/>
  <c r="CM6" i="2"/>
  <c r="CI7" i="2"/>
  <c r="CI8" i="2"/>
  <c r="CE7" i="2"/>
  <c r="CE6" i="2"/>
  <c r="CE8" i="2"/>
  <c r="CA7" i="2"/>
  <c r="CA6" i="2"/>
  <c r="CA8" i="2"/>
  <c r="BW7" i="2"/>
  <c r="BW8" i="2"/>
  <c r="BW6" i="2"/>
  <c r="BS7" i="2"/>
  <c r="BS8" i="2"/>
  <c r="BO7" i="2"/>
  <c r="BO6" i="2"/>
  <c r="BO8" i="2"/>
  <c r="BK7" i="2"/>
  <c r="BK6" i="2"/>
  <c r="BK8" i="2"/>
  <c r="BG7" i="2"/>
  <c r="BG6" i="2"/>
  <c r="BG8" i="2"/>
  <c r="BC7" i="2"/>
  <c r="BC6" i="2"/>
  <c r="BC8" i="2"/>
  <c r="AY7" i="2"/>
  <c r="AY6" i="2"/>
  <c r="AY8" i="2"/>
  <c r="AU7" i="2"/>
  <c r="AU6" i="2"/>
  <c r="AU8" i="2"/>
  <c r="AQ7" i="2"/>
  <c r="AQ6" i="2"/>
  <c r="AQ8" i="2"/>
  <c r="AM7" i="2"/>
  <c r="AM6" i="2"/>
  <c r="AM8" i="2"/>
  <c r="AI7" i="2"/>
  <c r="AI6" i="2"/>
  <c r="AI8" i="2"/>
  <c r="AE7" i="2"/>
  <c r="AE6" i="2"/>
  <c r="AE8" i="2"/>
  <c r="AA7" i="2"/>
  <c r="AA6" i="2"/>
  <c r="AA8" i="2"/>
  <c r="W7" i="2"/>
  <c r="W6" i="2"/>
  <c r="W8" i="2"/>
  <c r="S7" i="2"/>
  <c r="S6" i="2"/>
  <c r="S8" i="2"/>
  <c r="O7" i="2"/>
  <c r="O6" i="2"/>
  <c r="O8" i="2"/>
  <c r="K7" i="2"/>
  <c r="K6" i="2"/>
  <c r="K8" i="2"/>
  <c r="G7" i="2"/>
  <c r="G6" i="2"/>
  <c r="G8" i="2"/>
  <c r="C7" i="2"/>
  <c r="C6" i="2"/>
  <c r="C8" i="2"/>
  <c r="KV8" i="2"/>
  <c r="KQ8" i="2"/>
  <c r="KF8" i="2"/>
  <c r="KA8" i="2"/>
  <c r="AW8" i="2"/>
  <c r="AG8" i="2"/>
  <c r="Q8" i="2"/>
  <c r="LG6" i="2"/>
  <c r="KQ6" i="2"/>
  <c r="KA6" i="2"/>
  <c r="JK6" i="2"/>
  <c r="IU6" i="2"/>
  <c r="IE6" i="2"/>
  <c r="HO6" i="2"/>
  <c r="GY6" i="2"/>
  <c r="GI6" i="2"/>
  <c r="FS6" i="2"/>
  <c r="FC6" i="2"/>
  <c r="EM6" i="2"/>
  <c r="CY6" i="2"/>
  <c r="AC6" i="2"/>
  <c r="B7" i="2"/>
  <c r="MT8" i="2"/>
  <c r="MT7" i="2"/>
  <c r="MP8" i="2"/>
  <c r="MP7" i="2"/>
  <c r="ML8" i="2"/>
  <c r="ML7" i="2"/>
  <c r="MH8" i="2"/>
  <c r="MH7" i="2"/>
  <c r="MD8" i="2"/>
  <c r="MD7" i="2"/>
  <c r="LZ8" i="2"/>
  <c r="LZ7" i="2"/>
  <c r="LV8" i="2"/>
  <c r="LV7" i="2"/>
  <c r="LR8" i="2"/>
  <c r="LN8" i="2"/>
  <c r="LN7" i="2"/>
  <c r="LJ7" i="2"/>
  <c r="LF7" i="2"/>
  <c r="LF6" i="2"/>
  <c r="LB8" i="2"/>
  <c r="LB6" i="2"/>
  <c r="KX8" i="2"/>
  <c r="KX7" i="2"/>
  <c r="KX6" i="2"/>
  <c r="KT8" i="2"/>
  <c r="KT7" i="2"/>
  <c r="KT6" i="2"/>
  <c r="KP7" i="2"/>
  <c r="KP8" i="2"/>
  <c r="KP6" i="2"/>
  <c r="KL8" i="2"/>
  <c r="KL6" i="2"/>
  <c r="KH8" i="2"/>
  <c r="KH7" i="2"/>
  <c r="KH6" i="2"/>
  <c r="KD8" i="2"/>
  <c r="KD7" i="2"/>
  <c r="KD6" i="2"/>
  <c r="JZ7" i="2"/>
  <c r="JZ8" i="2"/>
  <c r="JZ6" i="2"/>
  <c r="JV8" i="2"/>
  <c r="JV6" i="2"/>
  <c r="JR8" i="2"/>
  <c r="JR7" i="2"/>
  <c r="JR6" i="2"/>
  <c r="JN8" i="2"/>
  <c r="JN7" i="2"/>
  <c r="JN6" i="2"/>
  <c r="JJ7" i="2"/>
  <c r="JJ8" i="2"/>
  <c r="JJ6" i="2"/>
  <c r="JF8" i="2"/>
  <c r="JF6" i="2"/>
  <c r="JB8" i="2"/>
  <c r="JB7" i="2"/>
  <c r="JB6" i="2"/>
  <c r="IX8" i="2"/>
  <c r="IX7" i="2"/>
  <c r="IX6" i="2"/>
  <c r="IT7" i="2"/>
  <c r="IT8" i="2"/>
  <c r="IT6" i="2"/>
  <c r="IP8" i="2"/>
  <c r="IP6" i="2"/>
  <c r="IL8" i="2"/>
  <c r="IL7" i="2"/>
  <c r="IL6" i="2"/>
  <c r="IH8" i="2"/>
  <c r="IH7" i="2"/>
  <c r="IH6" i="2"/>
  <c r="ID7" i="2"/>
  <c r="ID8" i="2"/>
  <c r="ID6" i="2"/>
  <c r="HZ8" i="2"/>
  <c r="HZ6" i="2"/>
  <c r="HV8" i="2"/>
  <c r="HV7" i="2"/>
  <c r="HV6" i="2"/>
  <c r="HR8" i="2"/>
  <c r="HR7" i="2"/>
  <c r="HR6" i="2"/>
  <c r="HN7" i="2"/>
  <c r="HN8" i="2"/>
  <c r="HN6" i="2"/>
  <c r="HJ8" i="2"/>
  <c r="HJ6" i="2"/>
  <c r="HF8" i="2"/>
  <c r="HF7" i="2"/>
  <c r="HF6" i="2"/>
  <c r="HB8" i="2"/>
  <c r="HB7" i="2"/>
  <c r="HB6" i="2"/>
  <c r="GX7" i="2"/>
  <c r="GX8" i="2"/>
  <c r="GX6" i="2"/>
  <c r="GT8" i="2"/>
  <c r="GT6" i="2"/>
  <c r="GP8" i="2"/>
  <c r="GP7" i="2"/>
  <c r="GP6" i="2"/>
  <c r="GL8" i="2"/>
  <c r="GL7" i="2"/>
  <c r="GL6" i="2"/>
  <c r="GH7" i="2"/>
  <c r="GH8" i="2"/>
  <c r="GH6" i="2"/>
  <c r="GD8" i="2"/>
  <c r="GD6" i="2"/>
  <c r="FZ8" i="2"/>
  <c r="FZ7" i="2"/>
  <c r="FZ6" i="2"/>
  <c r="FV8" i="2"/>
  <c r="FV7" i="2"/>
  <c r="FV6" i="2"/>
  <c r="FR7" i="2"/>
  <c r="FR8" i="2"/>
  <c r="FR6" i="2"/>
  <c r="FN8" i="2"/>
  <c r="FN6" i="2"/>
  <c r="FJ8" i="2"/>
  <c r="FJ7" i="2"/>
  <c r="FJ6" i="2"/>
  <c r="FF8" i="2"/>
  <c r="FF7" i="2"/>
  <c r="FF6" i="2"/>
  <c r="FB7" i="2"/>
  <c r="FB8" i="2"/>
  <c r="FB6" i="2"/>
  <c r="EX8" i="2"/>
  <c r="EX6" i="2"/>
  <c r="ET8" i="2"/>
  <c r="ET7" i="2"/>
  <c r="ET6" i="2"/>
  <c r="EP8" i="2"/>
  <c r="EP7" i="2"/>
  <c r="EP6" i="2"/>
  <c r="EL7" i="2"/>
  <c r="EL8" i="2"/>
  <c r="EL6" i="2"/>
  <c r="EH8" i="2"/>
  <c r="EH6" i="2"/>
  <c r="ED8" i="2"/>
  <c r="ED7" i="2"/>
  <c r="ED6" i="2"/>
  <c r="DZ8" i="2"/>
  <c r="DZ7" i="2"/>
  <c r="DV7" i="2"/>
  <c r="DV6" i="2"/>
  <c r="DV8" i="2"/>
  <c r="DR8" i="2"/>
  <c r="DR6" i="2"/>
  <c r="DN8" i="2"/>
  <c r="DN7" i="2"/>
  <c r="DN6" i="2"/>
  <c r="DJ8" i="2"/>
  <c r="DJ7" i="2"/>
  <c r="DF7" i="2"/>
  <c r="DF6" i="2"/>
  <c r="DF8" i="2"/>
  <c r="DB8" i="2"/>
  <c r="DB6" i="2"/>
  <c r="CX8" i="2"/>
  <c r="CX7" i="2"/>
  <c r="CX6" i="2"/>
  <c r="CT8" i="2"/>
  <c r="CT7" i="2"/>
  <c r="CP7" i="2"/>
  <c r="CP6" i="2"/>
  <c r="CP8" i="2"/>
  <c r="CL8" i="2"/>
  <c r="CL6" i="2"/>
  <c r="CH8" i="2"/>
  <c r="CH7" i="2"/>
  <c r="CH6" i="2"/>
  <c r="CD8" i="2"/>
  <c r="CD7" i="2"/>
  <c r="BZ7" i="2"/>
  <c r="BZ6" i="2"/>
  <c r="BZ8" i="2"/>
  <c r="BV8" i="2"/>
  <c r="BV6" i="2"/>
  <c r="BR8" i="2"/>
  <c r="BR7" i="2"/>
  <c r="BR6" i="2"/>
  <c r="BN8" i="2"/>
  <c r="BN7" i="2"/>
  <c r="BJ7" i="2"/>
  <c r="BJ6" i="2"/>
  <c r="BJ8" i="2"/>
  <c r="BF8" i="2"/>
  <c r="BF6" i="2"/>
  <c r="BB6" i="2"/>
  <c r="BB8" i="2"/>
  <c r="BB7" i="2"/>
  <c r="AX8" i="2"/>
  <c r="AX7" i="2"/>
  <c r="AX6" i="2"/>
  <c r="AT7" i="2"/>
  <c r="AT6" i="2"/>
  <c r="AT8" i="2"/>
  <c r="AP8" i="2"/>
  <c r="AP6" i="2"/>
  <c r="AL6" i="2"/>
  <c r="AL8" i="2"/>
  <c r="AL7" i="2"/>
  <c r="AH8" i="2"/>
  <c r="AH7" i="2"/>
  <c r="AH6" i="2"/>
  <c r="AD7" i="2"/>
  <c r="AD6" i="2"/>
  <c r="AD8" i="2"/>
  <c r="Z8" i="2"/>
  <c r="Z6" i="2"/>
  <c r="V6" i="2"/>
  <c r="V8" i="2"/>
  <c r="V7" i="2"/>
  <c r="R8" i="2"/>
  <c r="R7" i="2"/>
  <c r="R6" i="2"/>
  <c r="N7" i="2"/>
  <c r="N6" i="2"/>
  <c r="N8" i="2"/>
  <c r="J8" i="2"/>
  <c r="J6" i="2"/>
  <c r="F6" i="2"/>
  <c r="F8" i="2"/>
  <c r="F7" i="2"/>
  <c r="B6" i="2"/>
  <c r="KZ8" i="2"/>
  <c r="KU8" i="2"/>
  <c r="KJ8" i="2"/>
  <c r="KE8" i="2"/>
  <c r="JS8" i="2"/>
  <c r="JK8" i="2"/>
  <c r="JC8" i="2"/>
  <c r="IU8" i="2"/>
  <c r="IM8" i="2"/>
  <c r="IE8" i="2"/>
  <c r="HW8" i="2"/>
  <c r="HO8" i="2"/>
  <c r="HG8" i="2"/>
  <c r="GY8" i="2"/>
  <c r="GQ8" i="2"/>
  <c r="GI8" i="2"/>
  <c r="GA8" i="2"/>
  <c r="FS8" i="2"/>
  <c r="FK8" i="2"/>
  <c r="FC8" i="2"/>
  <c r="EU8" i="2"/>
  <c r="EM8" i="2"/>
  <c r="EE8" i="2"/>
  <c r="DW8" i="2"/>
  <c r="DO8" i="2"/>
  <c r="DG8" i="2"/>
  <c r="CY8" i="2"/>
  <c r="AS8" i="2"/>
  <c r="AC8" i="2"/>
  <c r="M8" i="2"/>
  <c r="LC6" i="2"/>
  <c r="KM6" i="2"/>
  <c r="JW6" i="2"/>
  <c r="JG6" i="2"/>
  <c r="IQ6" i="2"/>
  <c r="IA6" i="2"/>
  <c r="HK6" i="2"/>
  <c r="GU6" i="2"/>
  <c r="GE6" i="2"/>
  <c r="FO6" i="2"/>
  <c r="EY6" i="2"/>
  <c r="EI6" i="2"/>
  <c r="DO6" i="2"/>
  <c r="CT6" i="2"/>
  <c r="BA6" i="2"/>
  <c r="U6" i="2"/>
  <c r="KL7" i="2"/>
  <c r="HZ7" i="2"/>
  <c r="FN7" i="2"/>
  <c r="DB7" i="2"/>
  <c r="AP7" i="2"/>
  <c r="R63" i="5"/>
  <c r="S63" i="5" s="1"/>
  <c r="N63" i="5"/>
  <c r="MV6" i="2"/>
  <c r="MR6" i="2"/>
  <c r="MN6" i="2"/>
  <c r="MJ6" i="2"/>
  <c r="MF6" i="2"/>
  <c r="MB6" i="2"/>
  <c r="LX6" i="2"/>
  <c r="LT6" i="2"/>
  <c r="LL6" i="2"/>
  <c r="LP8" i="2"/>
  <c r="MU6" i="2"/>
  <c r="MQ6" i="2"/>
  <c r="MM6" i="2"/>
  <c r="MI6" i="2"/>
  <c r="ME6" i="2"/>
  <c r="MA6" i="2"/>
  <c r="LW6" i="2"/>
  <c r="LS6" i="2"/>
  <c r="LO6" i="2"/>
  <c r="LK6" i="2"/>
  <c r="MT6" i="2"/>
  <c r="MP6" i="2"/>
  <c r="ML6" i="2"/>
  <c r="MH6" i="2"/>
  <c r="MD6" i="2"/>
  <c r="LZ6" i="2"/>
  <c r="LV6" i="2"/>
  <c r="LR6" i="2"/>
  <c r="LN6" i="2"/>
  <c r="LJ6" i="2"/>
  <c r="LI8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9" i="2"/>
  <c r="MY9" i="2" l="1"/>
</calcChain>
</file>

<file path=xl/sharedStrings.xml><?xml version="1.0" encoding="utf-8"?>
<sst xmlns="http://schemas.openxmlformats.org/spreadsheetml/2006/main" count="917" uniqueCount="42">
  <si>
    <t>Avg time</t>
  </si>
  <si>
    <t>1 to 3</t>
  </si>
  <si>
    <t>0.95 to 1.05</t>
  </si>
  <si>
    <t>0.75 to 1.25</t>
  </si>
  <si>
    <t>4 to 6</t>
  </si>
  <si>
    <t>LB</t>
  </si>
  <si>
    <t>RPD</t>
  </si>
  <si>
    <t>Best RPD</t>
  </si>
  <si>
    <t>Avg RPD</t>
  </si>
  <si>
    <t>Source</t>
  </si>
  <si>
    <t>DF</t>
  </si>
  <si>
    <t>Seq SS</t>
  </si>
  <si>
    <t>Adj SS</t>
  </si>
  <si>
    <t>Adj MS</t>
  </si>
  <si>
    <t>F</t>
  </si>
  <si>
    <t>P</t>
  </si>
  <si>
    <t>|W|</t>
  </si>
  <si>
    <t>|J|/|W|</t>
  </si>
  <si>
    <t>qw</t>
  </si>
  <si>
    <t>LL</t>
  </si>
  <si>
    <t>PTVL</t>
  </si>
  <si>
    <t>|W|*|J|/|W|</t>
  </si>
  <si>
    <t>|W|*qw</t>
  </si>
  <si>
    <t>|W|*LL</t>
  </si>
  <si>
    <t>|W|*PTVL</t>
  </si>
  <si>
    <t>|J|/|W|*qw</t>
  </si>
  <si>
    <t>|J|/|W|*LL</t>
  </si>
  <si>
    <t>|J|/|W|*PTVL</t>
  </si>
  <si>
    <t>qw*LL</t>
  </si>
  <si>
    <t>qw*PTVL</t>
  </si>
  <si>
    <t>LL*PTVL</t>
  </si>
  <si>
    <t>Error</t>
  </si>
  <si>
    <t>Total</t>
  </si>
  <si>
    <t>Worst RPD</t>
  </si>
  <si>
    <t>CPLEX time</t>
  </si>
  <si>
    <t>CPLEX LB</t>
  </si>
  <si>
    <t>CPLEX UB</t>
  </si>
  <si>
    <t>SSPR Best</t>
  </si>
  <si>
    <t>SSPR Worst</t>
  </si>
  <si>
    <t>SSPR Avg</t>
  </si>
  <si>
    <t>SSPR time</t>
  </si>
  <si>
    <t>Replicate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</si>
</sst>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66FFFF"/>
      <color rgb="FFFFCCFF"/>
      <color rgb="FFCCFFCC"/>
      <color rgb="FF66FF99"/>
      <color rgb="FFCCECFF"/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D532-5748-4BA7-A1BA-2C1A0D0BF02C}">
  <dimension ref="A1:MY104"/>
  <sheetViews>
    <sheetView tabSelected="1" workbookViewId="0">
      <selection activeCell="B9" sqref="B9"/>
    </sheetView>
  </sheetViews>
  <sheetFormatPr defaultRowHeight="14.4" x14ac:dyDescent="0.3"/>
  <cols>
    <col min="1" max="361" width="8.88671875" style="3"/>
  </cols>
  <sheetData>
    <row r="1" spans="1:363" s="1" customFormat="1" x14ac:dyDescent="0.3">
      <c r="A1" s="4"/>
      <c r="B1" s="5">
        <v>6</v>
      </c>
      <c r="C1" s="5">
        <v>6</v>
      </c>
      <c r="D1" s="5">
        <v>6</v>
      </c>
      <c r="E1" s="5">
        <v>6</v>
      </c>
      <c r="F1" s="5">
        <v>6</v>
      </c>
      <c r="G1" s="5">
        <v>6</v>
      </c>
      <c r="H1" s="5">
        <v>6</v>
      </c>
      <c r="I1" s="5">
        <v>6</v>
      </c>
      <c r="J1" s="5">
        <v>6</v>
      </c>
      <c r="K1" s="5">
        <v>6</v>
      </c>
      <c r="L1" s="5">
        <v>6</v>
      </c>
      <c r="M1" s="5">
        <v>6</v>
      </c>
      <c r="N1" s="5">
        <v>6</v>
      </c>
      <c r="O1" s="5">
        <v>6</v>
      </c>
      <c r="P1" s="5">
        <v>6</v>
      </c>
      <c r="Q1" s="5">
        <v>6</v>
      </c>
      <c r="R1" s="5">
        <v>6</v>
      </c>
      <c r="S1" s="5">
        <v>6</v>
      </c>
      <c r="T1" s="5">
        <v>6</v>
      </c>
      <c r="U1" s="5">
        <v>6</v>
      </c>
      <c r="V1" s="5">
        <v>6</v>
      </c>
      <c r="W1" s="5">
        <v>6</v>
      </c>
      <c r="X1" s="5">
        <v>6</v>
      </c>
      <c r="Y1" s="5">
        <v>6</v>
      </c>
      <c r="Z1" s="5">
        <v>6</v>
      </c>
      <c r="AA1" s="5">
        <v>6</v>
      </c>
      <c r="AB1" s="5">
        <v>6</v>
      </c>
      <c r="AC1" s="5">
        <v>6</v>
      </c>
      <c r="AD1" s="5">
        <v>6</v>
      </c>
      <c r="AE1" s="5">
        <v>6</v>
      </c>
      <c r="AF1" s="5">
        <v>6</v>
      </c>
      <c r="AG1" s="5">
        <v>6</v>
      </c>
      <c r="AH1" s="5">
        <v>6</v>
      </c>
      <c r="AI1" s="5">
        <v>6</v>
      </c>
      <c r="AJ1" s="5">
        <v>6</v>
      </c>
      <c r="AK1" s="5">
        <v>6</v>
      </c>
      <c r="AL1" s="5">
        <v>12</v>
      </c>
      <c r="AM1" s="5">
        <v>12</v>
      </c>
      <c r="AN1" s="5">
        <v>12</v>
      </c>
      <c r="AO1" s="5">
        <v>12</v>
      </c>
      <c r="AP1" s="5">
        <v>12</v>
      </c>
      <c r="AQ1" s="5">
        <v>12</v>
      </c>
      <c r="AR1" s="5">
        <v>12</v>
      </c>
      <c r="AS1" s="5">
        <v>12</v>
      </c>
      <c r="AT1" s="5">
        <v>12</v>
      </c>
      <c r="AU1" s="5">
        <v>12</v>
      </c>
      <c r="AV1" s="5">
        <v>12</v>
      </c>
      <c r="AW1" s="5">
        <v>12</v>
      </c>
      <c r="AX1" s="5">
        <v>12</v>
      </c>
      <c r="AY1" s="5">
        <v>12</v>
      </c>
      <c r="AZ1" s="5">
        <v>12</v>
      </c>
      <c r="BA1" s="5">
        <v>12</v>
      </c>
      <c r="BB1" s="5">
        <v>12</v>
      </c>
      <c r="BC1" s="5">
        <v>12</v>
      </c>
      <c r="BD1" s="5">
        <v>12</v>
      </c>
      <c r="BE1" s="5">
        <v>12</v>
      </c>
      <c r="BF1" s="5">
        <v>12</v>
      </c>
      <c r="BG1" s="5">
        <v>12</v>
      </c>
      <c r="BH1" s="5">
        <v>12</v>
      </c>
      <c r="BI1" s="5">
        <v>12</v>
      </c>
      <c r="BJ1" s="5">
        <v>12</v>
      </c>
      <c r="BK1" s="5">
        <v>12</v>
      </c>
      <c r="BL1" s="5">
        <v>12</v>
      </c>
      <c r="BM1" s="5">
        <v>12</v>
      </c>
      <c r="BN1" s="5">
        <v>12</v>
      </c>
      <c r="BO1" s="5">
        <v>12</v>
      </c>
      <c r="BP1" s="5">
        <v>12</v>
      </c>
      <c r="BQ1" s="5">
        <v>12</v>
      </c>
      <c r="BR1" s="5">
        <v>12</v>
      </c>
      <c r="BS1" s="5">
        <v>12</v>
      </c>
      <c r="BT1" s="5">
        <v>12</v>
      </c>
      <c r="BU1" s="5">
        <v>12</v>
      </c>
      <c r="BV1" s="6">
        <v>6</v>
      </c>
      <c r="BW1" s="6">
        <v>6</v>
      </c>
      <c r="BX1" s="6">
        <v>6</v>
      </c>
      <c r="BY1" s="6">
        <v>6</v>
      </c>
      <c r="BZ1" s="6">
        <v>6</v>
      </c>
      <c r="CA1" s="6">
        <v>6</v>
      </c>
      <c r="CB1" s="6">
        <v>6</v>
      </c>
      <c r="CC1" s="6">
        <v>6</v>
      </c>
      <c r="CD1" s="6">
        <v>6</v>
      </c>
      <c r="CE1" s="6">
        <v>6</v>
      </c>
      <c r="CF1" s="6">
        <v>6</v>
      </c>
      <c r="CG1" s="6">
        <v>6</v>
      </c>
      <c r="CH1" s="6">
        <v>6</v>
      </c>
      <c r="CI1" s="6">
        <v>6</v>
      </c>
      <c r="CJ1" s="6">
        <v>6</v>
      </c>
      <c r="CK1" s="6">
        <v>6</v>
      </c>
      <c r="CL1" s="6">
        <v>6</v>
      </c>
      <c r="CM1" s="6">
        <v>6</v>
      </c>
      <c r="CN1" s="6">
        <v>6</v>
      </c>
      <c r="CO1" s="6">
        <v>6</v>
      </c>
      <c r="CP1" s="6">
        <v>6</v>
      </c>
      <c r="CQ1" s="6">
        <v>6</v>
      </c>
      <c r="CR1" s="6">
        <v>6</v>
      </c>
      <c r="CS1" s="6">
        <v>6</v>
      </c>
      <c r="CT1" s="6">
        <v>6</v>
      </c>
      <c r="CU1" s="6">
        <v>6</v>
      </c>
      <c r="CV1" s="6">
        <v>6</v>
      </c>
      <c r="CW1" s="6">
        <v>6</v>
      </c>
      <c r="CX1" s="6">
        <v>6</v>
      </c>
      <c r="CY1" s="6">
        <v>6</v>
      </c>
      <c r="CZ1" s="6">
        <v>6</v>
      </c>
      <c r="DA1" s="6">
        <v>6</v>
      </c>
      <c r="DB1" s="6">
        <v>6</v>
      </c>
      <c r="DC1" s="6">
        <v>6</v>
      </c>
      <c r="DD1" s="6">
        <v>6</v>
      </c>
      <c r="DE1" s="6">
        <v>6</v>
      </c>
      <c r="DF1" s="6">
        <v>12</v>
      </c>
      <c r="DG1" s="6">
        <v>12</v>
      </c>
      <c r="DH1" s="6">
        <v>12</v>
      </c>
      <c r="DI1" s="6">
        <v>12</v>
      </c>
      <c r="DJ1" s="6">
        <v>12</v>
      </c>
      <c r="DK1" s="6">
        <v>12</v>
      </c>
      <c r="DL1" s="6">
        <v>12</v>
      </c>
      <c r="DM1" s="6">
        <v>12</v>
      </c>
      <c r="DN1" s="6">
        <v>12</v>
      </c>
      <c r="DO1" s="6">
        <v>12</v>
      </c>
      <c r="DP1" s="6">
        <v>12</v>
      </c>
      <c r="DQ1" s="6">
        <v>12</v>
      </c>
      <c r="DR1" s="6">
        <v>12</v>
      </c>
      <c r="DS1" s="6">
        <v>12</v>
      </c>
      <c r="DT1" s="6">
        <v>12</v>
      </c>
      <c r="DU1" s="6">
        <v>12</v>
      </c>
      <c r="DV1" s="6">
        <v>12</v>
      </c>
      <c r="DW1" s="6">
        <v>12</v>
      </c>
      <c r="DX1" s="6">
        <v>12</v>
      </c>
      <c r="DY1" s="6">
        <v>12</v>
      </c>
      <c r="DZ1" s="6">
        <v>12</v>
      </c>
      <c r="EA1" s="6">
        <v>12</v>
      </c>
      <c r="EB1" s="6">
        <v>12</v>
      </c>
      <c r="EC1" s="6">
        <v>12</v>
      </c>
      <c r="ED1" s="6">
        <v>12</v>
      </c>
      <c r="EE1" s="6">
        <v>12</v>
      </c>
      <c r="EF1" s="6">
        <v>12</v>
      </c>
      <c r="EG1" s="6">
        <v>12</v>
      </c>
      <c r="EH1" s="6">
        <v>12</v>
      </c>
      <c r="EI1" s="6">
        <v>12</v>
      </c>
      <c r="EJ1" s="6">
        <v>12</v>
      </c>
      <c r="EK1" s="6">
        <v>12</v>
      </c>
      <c r="EL1" s="6">
        <v>12</v>
      </c>
      <c r="EM1" s="6">
        <v>12</v>
      </c>
      <c r="EN1" s="6">
        <v>12</v>
      </c>
      <c r="EO1" s="6">
        <v>12</v>
      </c>
      <c r="EP1" s="7">
        <v>6</v>
      </c>
      <c r="EQ1" s="7">
        <v>6</v>
      </c>
      <c r="ER1" s="7">
        <v>6</v>
      </c>
      <c r="ES1" s="7">
        <v>6</v>
      </c>
      <c r="ET1" s="7">
        <v>6</v>
      </c>
      <c r="EU1" s="7">
        <v>6</v>
      </c>
      <c r="EV1" s="7">
        <v>6</v>
      </c>
      <c r="EW1" s="7">
        <v>6</v>
      </c>
      <c r="EX1" s="7">
        <v>6</v>
      </c>
      <c r="EY1" s="7">
        <v>6</v>
      </c>
      <c r="EZ1" s="7">
        <v>6</v>
      </c>
      <c r="FA1" s="7">
        <v>6</v>
      </c>
      <c r="FB1" s="7">
        <v>6</v>
      </c>
      <c r="FC1" s="7">
        <v>6</v>
      </c>
      <c r="FD1" s="7">
        <v>6</v>
      </c>
      <c r="FE1" s="7">
        <v>6</v>
      </c>
      <c r="FF1" s="7">
        <v>6</v>
      </c>
      <c r="FG1" s="7">
        <v>6</v>
      </c>
      <c r="FH1" s="7">
        <v>6</v>
      </c>
      <c r="FI1" s="7">
        <v>6</v>
      </c>
      <c r="FJ1" s="7">
        <v>6</v>
      </c>
      <c r="FK1" s="7">
        <v>6</v>
      </c>
      <c r="FL1" s="7">
        <v>6</v>
      </c>
      <c r="FM1" s="7">
        <v>6</v>
      </c>
      <c r="FN1" s="7">
        <v>6</v>
      </c>
      <c r="FO1" s="7">
        <v>6</v>
      </c>
      <c r="FP1" s="7">
        <v>6</v>
      </c>
      <c r="FQ1" s="7">
        <v>6</v>
      </c>
      <c r="FR1" s="7">
        <v>6</v>
      </c>
      <c r="FS1" s="7">
        <v>6</v>
      </c>
      <c r="FT1" s="7">
        <v>6</v>
      </c>
      <c r="FU1" s="7">
        <v>6</v>
      </c>
      <c r="FV1" s="7">
        <v>6</v>
      </c>
      <c r="FW1" s="7">
        <v>6</v>
      </c>
      <c r="FX1" s="7">
        <v>6</v>
      </c>
      <c r="FY1" s="7">
        <v>6</v>
      </c>
      <c r="FZ1" s="7">
        <v>12</v>
      </c>
      <c r="GA1" s="7">
        <v>12</v>
      </c>
      <c r="GB1" s="7">
        <v>12</v>
      </c>
      <c r="GC1" s="7">
        <v>12</v>
      </c>
      <c r="GD1" s="7">
        <v>12</v>
      </c>
      <c r="GE1" s="7">
        <v>12</v>
      </c>
      <c r="GF1" s="7">
        <v>12</v>
      </c>
      <c r="GG1" s="7">
        <v>12</v>
      </c>
      <c r="GH1" s="7">
        <v>12</v>
      </c>
      <c r="GI1" s="7">
        <v>12</v>
      </c>
      <c r="GJ1" s="7">
        <v>12</v>
      </c>
      <c r="GK1" s="7">
        <v>12</v>
      </c>
      <c r="GL1" s="7">
        <v>12</v>
      </c>
      <c r="GM1" s="7">
        <v>12</v>
      </c>
      <c r="GN1" s="7">
        <v>12</v>
      </c>
      <c r="GO1" s="7">
        <v>12</v>
      </c>
      <c r="GP1" s="7">
        <v>12</v>
      </c>
      <c r="GQ1" s="7">
        <v>12</v>
      </c>
      <c r="GR1" s="7">
        <v>12</v>
      </c>
      <c r="GS1" s="7">
        <v>12</v>
      </c>
      <c r="GT1" s="7">
        <v>12</v>
      </c>
      <c r="GU1" s="7">
        <v>12</v>
      </c>
      <c r="GV1" s="7">
        <v>12</v>
      </c>
      <c r="GW1" s="7">
        <v>12</v>
      </c>
      <c r="GX1" s="7">
        <v>12</v>
      </c>
      <c r="GY1" s="7">
        <v>12</v>
      </c>
      <c r="GZ1" s="7">
        <v>12</v>
      </c>
      <c r="HA1" s="7">
        <v>12</v>
      </c>
      <c r="HB1" s="7">
        <v>12</v>
      </c>
      <c r="HC1" s="7">
        <v>12</v>
      </c>
      <c r="HD1" s="7">
        <v>12</v>
      </c>
      <c r="HE1" s="7">
        <v>12</v>
      </c>
      <c r="HF1" s="7">
        <v>12</v>
      </c>
      <c r="HG1" s="7">
        <v>12</v>
      </c>
      <c r="HH1" s="7">
        <v>12</v>
      </c>
      <c r="HI1" s="7">
        <v>12</v>
      </c>
      <c r="HJ1" s="8">
        <v>6</v>
      </c>
      <c r="HK1" s="8">
        <v>6</v>
      </c>
      <c r="HL1" s="8">
        <v>6</v>
      </c>
      <c r="HM1" s="8">
        <v>6</v>
      </c>
      <c r="HN1" s="8">
        <v>6</v>
      </c>
      <c r="HO1" s="8">
        <v>6</v>
      </c>
      <c r="HP1" s="8">
        <v>6</v>
      </c>
      <c r="HQ1" s="8">
        <v>6</v>
      </c>
      <c r="HR1" s="8">
        <v>6</v>
      </c>
      <c r="HS1" s="8">
        <v>6</v>
      </c>
      <c r="HT1" s="8">
        <v>6</v>
      </c>
      <c r="HU1" s="8">
        <v>6</v>
      </c>
      <c r="HV1" s="8">
        <v>6</v>
      </c>
      <c r="HW1" s="8">
        <v>6</v>
      </c>
      <c r="HX1" s="8">
        <v>6</v>
      </c>
      <c r="HY1" s="8">
        <v>6</v>
      </c>
      <c r="HZ1" s="8">
        <v>6</v>
      </c>
      <c r="IA1" s="8">
        <v>6</v>
      </c>
      <c r="IB1" s="8">
        <v>6</v>
      </c>
      <c r="IC1" s="8">
        <v>6</v>
      </c>
      <c r="ID1" s="8">
        <v>6</v>
      </c>
      <c r="IE1" s="8">
        <v>6</v>
      </c>
      <c r="IF1" s="8">
        <v>6</v>
      </c>
      <c r="IG1" s="8">
        <v>6</v>
      </c>
      <c r="IH1" s="8">
        <v>6</v>
      </c>
      <c r="II1" s="8">
        <v>6</v>
      </c>
      <c r="IJ1" s="8">
        <v>6</v>
      </c>
      <c r="IK1" s="8">
        <v>6</v>
      </c>
      <c r="IL1" s="8">
        <v>6</v>
      </c>
      <c r="IM1" s="8">
        <v>6</v>
      </c>
      <c r="IN1" s="8">
        <v>6</v>
      </c>
      <c r="IO1" s="8">
        <v>6</v>
      </c>
      <c r="IP1" s="8">
        <v>6</v>
      </c>
      <c r="IQ1" s="8">
        <v>6</v>
      </c>
      <c r="IR1" s="8">
        <v>6</v>
      </c>
      <c r="IS1" s="8">
        <v>6</v>
      </c>
      <c r="IT1" s="8">
        <v>12</v>
      </c>
      <c r="IU1" s="8">
        <v>12</v>
      </c>
      <c r="IV1" s="8">
        <v>12</v>
      </c>
      <c r="IW1" s="8">
        <v>12</v>
      </c>
      <c r="IX1" s="8">
        <v>12</v>
      </c>
      <c r="IY1" s="8">
        <v>12</v>
      </c>
      <c r="IZ1" s="8">
        <v>12</v>
      </c>
      <c r="JA1" s="8">
        <v>12</v>
      </c>
      <c r="JB1" s="8">
        <v>12</v>
      </c>
      <c r="JC1" s="8">
        <v>12</v>
      </c>
      <c r="JD1" s="8">
        <v>12</v>
      </c>
      <c r="JE1" s="8">
        <v>12</v>
      </c>
      <c r="JF1" s="8">
        <v>12</v>
      </c>
      <c r="JG1" s="8">
        <v>12</v>
      </c>
      <c r="JH1" s="8">
        <v>12</v>
      </c>
      <c r="JI1" s="8">
        <v>12</v>
      </c>
      <c r="JJ1" s="8">
        <v>12</v>
      </c>
      <c r="JK1" s="8">
        <v>12</v>
      </c>
      <c r="JL1" s="8">
        <v>12</v>
      </c>
      <c r="JM1" s="8">
        <v>12</v>
      </c>
      <c r="JN1" s="8">
        <v>12</v>
      </c>
      <c r="JO1" s="8">
        <v>12</v>
      </c>
      <c r="JP1" s="8">
        <v>12</v>
      </c>
      <c r="JQ1" s="8">
        <v>12</v>
      </c>
      <c r="JR1" s="8">
        <v>12</v>
      </c>
      <c r="JS1" s="8">
        <v>12</v>
      </c>
      <c r="JT1" s="8">
        <v>12</v>
      </c>
      <c r="JU1" s="8">
        <v>12</v>
      </c>
      <c r="JV1" s="8">
        <v>12</v>
      </c>
      <c r="JW1" s="8">
        <v>12</v>
      </c>
      <c r="JX1" s="8">
        <v>12</v>
      </c>
      <c r="JY1" s="8">
        <v>12</v>
      </c>
      <c r="JZ1" s="8">
        <v>12</v>
      </c>
      <c r="KA1" s="8">
        <v>12</v>
      </c>
      <c r="KB1" s="8">
        <v>12</v>
      </c>
      <c r="KC1" s="8">
        <v>12</v>
      </c>
      <c r="KD1" s="9">
        <v>6</v>
      </c>
      <c r="KE1" s="9">
        <v>6</v>
      </c>
      <c r="KF1" s="9">
        <v>6</v>
      </c>
      <c r="KG1" s="9">
        <v>6</v>
      </c>
      <c r="KH1" s="9">
        <v>6</v>
      </c>
      <c r="KI1" s="9">
        <v>6</v>
      </c>
      <c r="KJ1" s="9">
        <v>6</v>
      </c>
      <c r="KK1" s="9">
        <v>6</v>
      </c>
      <c r="KL1" s="9">
        <v>6</v>
      </c>
      <c r="KM1" s="9">
        <v>6</v>
      </c>
      <c r="KN1" s="9">
        <v>6</v>
      </c>
      <c r="KO1" s="9">
        <v>6</v>
      </c>
      <c r="KP1" s="9">
        <v>6</v>
      </c>
      <c r="KQ1" s="9">
        <v>6</v>
      </c>
      <c r="KR1" s="9">
        <v>6</v>
      </c>
      <c r="KS1" s="9">
        <v>6</v>
      </c>
      <c r="KT1" s="9">
        <v>6</v>
      </c>
      <c r="KU1" s="9">
        <v>6</v>
      </c>
      <c r="KV1" s="9">
        <v>6</v>
      </c>
      <c r="KW1" s="9">
        <v>6</v>
      </c>
      <c r="KX1" s="9">
        <v>6</v>
      </c>
      <c r="KY1" s="9">
        <v>6</v>
      </c>
      <c r="KZ1" s="9">
        <v>6</v>
      </c>
      <c r="LA1" s="9">
        <v>6</v>
      </c>
      <c r="LB1" s="9">
        <v>6</v>
      </c>
      <c r="LC1" s="9">
        <v>6</v>
      </c>
      <c r="LD1" s="9">
        <v>6</v>
      </c>
      <c r="LE1" s="9">
        <v>6</v>
      </c>
      <c r="LF1" s="9">
        <v>6</v>
      </c>
      <c r="LG1" s="9">
        <v>6</v>
      </c>
      <c r="LH1" s="9">
        <v>6</v>
      </c>
      <c r="LI1" s="9">
        <v>6</v>
      </c>
      <c r="LJ1" s="9">
        <v>6</v>
      </c>
      <c r="LK1" s="9">
        <v>6</v>
      </c>
      <c r="LL1" s="9">
        <v>6</v>
      </c>
      <c r="LM1" s="9">
        <v>6</v>
      </c>
      <c r="LN1" s="9">
        <v>12</v>
      </c>
      <c r="LO1" s="9">
        <v>12</v>
      </c>
      <c r="LP1" s="9">
        <v>12</v>
      </c>
      <c r="LQ1" s="9">
        <v>12</v>
      </c>
      <c r="LR1" s="9">
        <v>12</v>
      </c>
      <c r="LS1" s="9">
        <v>12</v>
      </c>
      <c r="LT1" s="9">
        <v>12</v>
      </c>
      <c r="LU1" s="9">
        <v>12</v>
      </c>
      <c r="LV1" s="9">
        <v>12</v>
      </c>
      <c r="LW1" s="9">
        <v>12</v>
      </c>
      <c r="LX1" s="9">
        <v>12</v>
      </c>
      <c r="LY1" s="9">
        <v>12</v>
      </c>
      <c r="LZ1" s="9">
        <v>12</v>
      </c>
      <c r="MA1" s="9">
        <v>12</v>
      </c>
      <c r="MB1" s="9">
        <v>12</v>
      </c>
      <c r="MC1" s="9">
        <v>12</v>
      </c>
      <c r="MD1" s="9">
        <v>12</v>
      </c>
      <c r="ME1" s="9">
        <v>12</v>
      </c>
      <c r="MF1" s="9">
        <v>12</v>
      </c>
      <c r="MG1" s="9">
        <v>12</v>
      </c>
      <c r="MH1" s="9">
        <v>12</v>
      </c>
      <c r="MI1" s="9">
        <v>12</v>
      </c>
      <c r="MJ1" s="9">
        <v>12</v>
      </c>
      <c r="MK1" s="9">
        <v>12</v>
      </c>
      <c r="ML1" s="9">
        <v>12</v>
      </c>
      <c r="MM1" s="9">
        <v>12</v>
      </c>
      <c r="MN1" s="9">
        <v>12</v>
      </c>
      <c r="MO1" s="9">
        <v>12</v>
      </c>
      <c r="MP1" s="9">
        <v>12</v>
      </c>
      <c r="MQ1" s="9">
        <v>12</v>
      </c>
      <c r="MR1" s="9">
        <v>12</v>
      </c>
      <c r="MS1" s="9">
        <v>12</v>
      </c>
      <c r="MT1" s="9">
        <v>12</v>
      </c>
      <c r="MU1" s="9">
        <v>12</v>
      </c>
      <c r="MV1" s="9">
        <v>12</v>
      </c>
      <c r="MW1" s="9">
        <v>12</v>
      </c>
    </row>
    <row r="2" spans="1:363" s="1" customFormat="1" x14ac:dyDescent="0.3">
      <c r="A2" s="4"/>
      <c r="B2" s="5">
        <v>2</v>
      </c>
      <c r="C2" s="5">
        <v>2</v>
      </c>
      <c r="D2" s="5">
        <v>2</v>
      </c>
      <c r="E2" s="5">
        <v>2</v>
      </c>
      <c r="F2" s="5">
        <v>2</v>
      </c>
      <c r="G2" s="5">
        <v>2</v>
      </c>
      <c r="H2" s="5">
        <v>2</v>
      </c>
      <c r="I2" s="5">
        <v>2</v>
      </c>
      <c r="J2" s="5">
        <v>2</v>
      </c>
      <c r="K2" s="5">
        <v>2</v>
      </c>
      <c r="L2" s="5">
        <v>2</v>
      </c>
      <c r="M2" s="5">
        <v>2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6</v>
      </c>
      <c r="AA2" s="5">
        <v>6</v>
      </c>
      <c r="AB2" s="5">
        <v>6</v>
      </c>
      <c r="AC2" s="5">
        <v>6</v>
      </c>
      <c r="AD2" s="5">
        <v>6</v>
      </c>
      <c r="AE2" s="5">
        <v>6</v>
      </c>
      <c r="AF2" s="5">
        <v>6</v>
      </c>
      <c r="AG2" s="5">
        <v>6</v>
      </c>
      <c r="AH2" s="5">
        <v>6</v>
      </c>
      <c r="AI2" s="5">
        <v>6</v>
      </c>
      <c r="AJ2" s="5">
        <v>6</v>
      </c>
      <c r="AK2" s="5">
        <v>6</v>
      </c>
      <c r="AL2" s="5">
        <v>2</v>
      </c>
      <c r="AM2" s="5">
        <v>2</v>
      </c>
      <c r="AN2" s="5">
        <v>2</v>
      </c>
      <c r="AO2" s="5">
        <v>2</v>
      </c>
      <c r="AP2" s="5">
        <v>2</v>
      </c>
      <c r="AQ2" s="5">
        <v>2</v>
      </c>
      <c r="AR2" s="5">
        <v>2</v>
      </c>
      <c r="AS2" s="5">
        <v>2</v>
      </c>
      <c r="AT2" s="5">
        <v>2</v>
      </c>
      <c r="AU2" s="5">
        <v>2</v>
      </c>
      <c r="AV2" s="5">
        <v>2</v>
      </c>
      <c r="AW2" s="5">
        <v>2</v>
      </c>
      <c r="AX2" s="5">
        <v>4</v>
      </c>
      <c r="AY2" s="5">
        <v>4</v>
      </c>
      <c r="AZ2" s="5">
        <v>4</v>
      </c>
      <c r="BA2" s="5">
        <v>4</v>
      </c>
      <c r="BB2" s="5">
        <v>4</v>
      </c>
      <c r="BC2" s="5">
        <v>4</v>
      </c>
      <c r="BD2" s="5">
        <v>4</v>
      </c>
      <c r="BE2" s="5">
        <v>4</v>
      </c>
      <c r="BF2" s="5">
        <v>4</v>
      </c>
      <c r="BG2" s="5">
        <v>4</v>
      </c>
      <c r="BH2" s="5">
        <v>4</v>
      </c>
      <c r="BI2" s="5">
        <v>4</v>
      </c>
      <c r="BJ2" s="5">
        <v>6</v>
      </c>
      <c r="BK2" s="5">
        <v>6</v>
      </c>
      <c r="BL2" s="5">
        <v>6</v>
      </c>
      <c r="BM2" s="5">
        <v>6</v>
      </c>
      <c r="BN2" s="5">
        <v>6</v>
      </c>
      <c r="BO2" s="5">
        <v>6</v>
      </c>
      <c r="BP2" s="5">
        <v>6</v>
      </c>
      <c r="BQ2" s="5">
        <v>6</v>
      </c>
      <c r="BR2" s="5">
        <v>6</v>
      </c>
      <c r="BS2" s="5">
        <v>6</v>
      </c>
      <c r="BT2" s="5">
        <v>6</v>
      </c>
      <c r="BU2" s="5">
        <v>6</v>
      </c>
      <c r="BV2" s="6">
        <v>2</v>
      </c>
      <c r="BW2" s="6">
        <v>2</v>
      </c>
      <c r="BX2" s="6">
        <v>2</v>
      </c>
      <c r="BY2" s="6">
        <v>2</v>
      </c>
      <c r="BZ2" s="6">
        <v>2</v>
      </c>
      <c r="CA2" s="6">
        <v>2</v>
      </c>
      <c r="CB2" s="6">
        <v>2</v>
      </c>
      <c r="CC2" s="6">
        <v>2</v>
      </c>
      <c r="CD2" s="6">
        <v>2</v>
      </c>
      <c r="CE2" s="6">
        <v>2</v>
      </c>
      <c r="CF2" s="6">
        <v>2</v>
      </c>
      <c r="CG2" s="6">
        <v>2</v>
      </c>
      <c r="CH2" s="6">
        <v>4</v>
      </c>
      <c r="CI2" s="6">
        <v>4</v>
      </c>
      <c r="CJ2" s="6">
        <v>4</v>
      </c>
      <c r="CK2" s="6">
        <v>4</v>
      </c>
      <c r="CL2" s="6">
        <v>4</v>
      </c>
      <c r="CM2" s="6">
        <v>4</v>
      </c>
      <c r="CN2" s="6">
        <v>4</v>
      </c>
      <c r="CO2" s="6">
        <v>4</v>
      </c>
      <c r="CP2" s="6">
        <v>4</v>
      </c>
      <c r="CQ2" s="6">
        <v>4</v>
      </c>
      <c r="CR2" s="6">
        <v>4</v>
      </c>
      <c r="CS2" s="6">
        <v>4</v>
      </c>
      <c r="CT2" s="6">
        <v>6</v>
      </c>
      <c r="CU2" s="6">
        <v>6</v>
      </c>
      <c r="CV2" s="6">
        <v>6</v>
      </c>
      <c r="CW2" s="6">
        <v>6</v>
      </c>
      <c r="CX2" s="6">
        <v>6</v>
      </c>
      <c r="CY2" s="6">
        <v>6</v>
      </c>
      <c r="CZ2" s="6">
        <v>6</v>
      </c>
      <c r="DA2" s="6">
        <v>6</v>
      </c>
      <c r="DB2" s="6">
        <v>6</v>
      </c>
      <c r="DC2" s="6">
        <v>6</v>
      </c>
      <c r="DD2" s="6">
        <v>6</v>
      </c>
      <c r="DE2" s="6">
        <v>6</v>
      </c>
      <c r="DF2" s="6">
        <v>2</v>
      </c>
      <c r="DG2" s="6">
        <v>2</v>
      </c>
      <c r="DH2" s="6">
        <v>2</v>
      </c>
      <c r="DI2" s="6">
        <v>2</v>
      </c>
      <c r="DJ2" s="6">
        <v>2</v>
      </c>
      <c r="DK2" s="6">
        <v>2</v>
      </c>
      <c r="DL2" s="6">
        <v>2</v>
      </c>
      <c r="DM2" s="6">
        <v>2</v>
      </c>
      <c r="DN2" s="6">
        <v>2</v>
      </c>
      <c r="DO2" s="6">
        <v>2</v>
      </c>
      <c r="DP2" s="6">
        <v>2</v>
      </c>
      <c r="DQ2" s="6">
        <v>2</v>
      </c>
      <c r="DR2" s="6">
        <v>4</v>
      </c>
      <c r="DS2" s="6">
        <v>4</v>
      </c>
      <c r="DT2" s="6">
        <v>4</v>
      </c>
      <c r="DU2" s="6">
        <v>4</v>
      </c>
      <c r="DV2" s="6">
        <v>4</v>
      </c>
      <c r="DW2" s="6">
        <v>4</v>
      </c>
      <c r="DX2" s="6">
        <v>4</v>
      </c>
      <c r="DY2" s="6">
        <v>4</v>
      </c>
      <c r="DZ2" s="6">
        <v>4</v>
      </c>
      <c r="EA2" s="6">
        <v>4</v>
      </c>
      <c r="EB2" s="6">
        <v>4</v>
      </c>
      <c r="EC2" s="6">
        <v>4</v>
      </c>
      <c r="ED2" s="6">
        <v>6</v>
      </c>
      <c r="EE2" s="6">
        <v>6</v>
      </c>
      <c r="EF2" s="6">
        <v>6</v>
      </c>
      <c r="EG2" s="6">
        <v>6</v>
      </c>
      <c r="EH2" s="6">
        <v>6</v>
      </c>
      <c r="EI2" s="6">
        <v>6</v>
      </c>
      <c r="EJ2" s="6">
        <v>6</v>
      </c>
      <c r="EK2" s="6">
        <v>6</v>
      </c>
      <c r="EL2" s="6">
        <v>6</v>
      </c>
      <c r="EM2" s="6">
        <v>6</v>
      </c>
      <c r="EN2" s="6">
        <v>6</v>
      </c>
      <c r="EO2" s="6">
        <v>6</v>
      </c>
      <c r="EP2" s="7">
        <v>2</v>
      </c>
      <c r="EQ2" s="7">
        <v>2</v>
      </c>
      <c r="ER2" s="7">
        <v>2</v>
      </c>
      <c r="ES2" s="7">
        <v>2</v>
      </c>
      <c r="ET2" s="7">
        <v>2</v>
      </c>
      <c r="EU2" s="7">
        <v>2</v>
      </c>
      <c r="EV2" s="7">
        <v>2</v>
      </c>
      <c r="EW2" s="7">
        <v>2</v>
      </c>
      <c r="EX2" s="7">
        <v>2</v>
      </c>
      <c r="EY2" s="7">
        <v>2</v>
      </c>
      <c r="EZ2" s="7">
        <v>2</v>
      </c>
      <c r="FA2" s="7">
        <v>2</v>
      </c>
      <c r="FB2" s="7">
        <v>4</v>
      </c>
      <c r="FC2" s="7">
        <v>4</v>
      </c>
      <c r="FD2" s="7">
        <v>4</v>
      </c>
      <c r="FE2" s="7">
        <v>4</v>
      </c>
      <c r="FF2" s="7">
        <v>4</v>
      </c>
      <c r="FG2" s="7">
        <v>4</v>
      </c>
      <c r="FH2" s="7">
        <v>4</v>
      </c>
      <c r="FI2" s="7">
        <v>4</v>
      </c>
      <c r="FJ2" s="7">
        <v>4</v>
      </c>
      <c r="FK2" s="7">
        <v>4</v>
      </c>
      <c r="FL2" s="7">
        <v>4</v>
      </c>
      <c r="FM2" s="7">
        <v>4</v>
      </c>
      <c r="FN2" s="7">
        <v>6</v>
      </c>
      <c r="FO2" s="7">
        <v>6</v>
      </c>
      <c r="FP2" s="7">
        <v>6</v>
      </c>
      <c r="FQ2" s="7">
        <v>6</v>
      </c>
      <c r="FR2" s="7">
        <v>6</v>
      </c>
      <c r="FS2" s="7">
        <v>6</v>
      </c>
      <c r="FT2" s="7">
        <v>6</v>
      </c>
      <c r="FU2" s="7">
        <v>6</v>
      </c>
      <c r="FV2" s="7">
        <v>6</v>
      </c>
      <c r="FW2" s="7">
        <v>6</v>
      </c>
      <c r="FX2" s="7">
        <v>6</v>
      </c>
      <c r="FY2" s="7">
        <v>6</v>
      </c>
      <c r="FZ2" s="7">
        <v>2</v>
      </c>
      <c r="GA2" s="7">
        <v>2</v>
      </c>
      <c r="GB2" s="7">
        <v>2</v>
      </c>
      <c r="GC2" s="7">
        <v>2</v>
      </c>
      <c r="GD2" s="7">
        <v>2</v>
      </c>
      <c r="GE2" s="7">
        <v>2</v>
      </c>
      <c r="GF2" s="7">
        <v>2</v>
      </c>
      <c r="GG2" s="7">
        <v>2</v>
      </c>
      <c r="GH2" s="7">
        <v>2</v>
      </c>
      <c r="GI2" s="7">
        <v>2</v>
      </c>
      <c r="GJ2" s="7">
        <v>2</v>
      </c>
      <c r="GK2" s="7">
        <v>2</v>
      </c>
      <c r="GL2" s="7">
        <v>4</v>
      </c>
      <c r="GM2" s="7">
        <v>4</v>
      </c>
      <c r="GN2" s="7">
        <v>4</v>
      </c>
      <c r="GO2" s="7">
        <v>4</v>
      </c>
      <c r="GP2" s="7">
        <v>4</v>
      </c>
      <c r="GQ2" s="7">
        <v>4</v>
      </c>
      <c r="GR2" s="7">
        <v>4</v>
      </c>
      <c r="GS2" s="7">
        <v>4</v>
      </c>
      <c r="GT2" s="7">
        <v>4</v>
      </c>
      <c r="GU2" s="7">
        <v>4</v>
      </c>
      <c r="GV2" s="7">
        <v>4</v>
      </c>
      <c r="GW2" s="7">
        <v>4</v>
      </c>
      <c r="GX2" s="7">
        <v>6</v>
      </c>
      <c r="GY2" s="7">
        <v>6</v>
      </c>
      <c r="GZ2" s="7">
        <v>6</v>
      </c>
      <c r="HA2" s="7">
        <v>6</v>
      </c>
      <c r="HB2" s="7">
        <v>6</v>
      </c>
      <c r="HC2" s="7">
        <v>6</v>
      </c>
      <c r="HD2" s="7">
        <v>6</v>
      </c>
      <c r="HE2" s="7">
        <v>6</v>
      </c>
      <c r="HF2" s="7">
        <v>6</v>
      </c>
      <c r="HG2" s="7">
        <v>6</v>
      </c>
      <c r="HH2" s="7">
        <v>6</v>
      </c>
      <c r="HI2" s="7">
        <v>6</v>
      </c>
      <c r="HJ2" s="8">
        <v>2</v>
      </c>
      <c r="HK2" s="8">
        <v>2</v>
      </c>
      <c r="HL2" s="8">
        <v>2</v>
      </c>
      <c r="HM2" s="8">
        <v>2</v>
      </c>
      <c r="HN2" s="8">
        <v>2</v>
      </c>
      <c r="HO2" s="8">
        <v>2</v>
      </c>
      <c r="HP2" s="8">
        <v>2</v>
      </c>
      <c r="HQ2" s="8">
        <v>2</v>
      </c>
      <c r="HR2" s="8">
        <v>2</v>
      </c>
      <c r="HS2" s="8">
        <v>2</v>
      </c>
      <c r="HT2" s="8">
        <v>2</v>
      </c>
      <c r="HU2" s="8">
        <v>2</v>
      </c>
      <c r="HV2" s="8">
        <v>4</v>
      </c>
      <c r="HW2" s="8">
        <v>4</v>
      </c>
      <c r="HX2" s="8">
        <v>4</v>
      </c>
      <c r="HY2" s="8">
        <v>4</v>
      </c>
      <c r="HZ2" s="8">
        <v>4</v>
      </c>
      <c r="IA2" s="8">
        <v>4</v>
      </c>
      <c r="IB2" s="8">
        <v>4</v>
      </c>
      <c r="IC2" s="8">
        <v>4</v>
      </c>
      <c r="ID2" s="8">
        <v>4</v>
      </c>
      <c r="IE2" s="8">
        <v>4</v>
      </c>
      <c r="IF2" s="8">
        <v>4</v>
      </c>
      <c r="IG2" s="8">
        <v>4</v>
      </c>
      <c r="IH2" s="8">
        <v>6</v>
      </c>
      <c r="II2" s="8">
        <v>6</v>
      </c>
      <c r="IJ2" s="8">
        <v>6</v>
      </c>
      <c r="IK2" s="8">
        <v>6</v>
      </c>
      <c r="IL2" s="8">
        <v>6</v>
      </c>
      <c r="IM2" s="8">
        <v>6</v>
      </c>
      <c r="IN2" s="8">
        <v>6</v>
      </c>
      <c r="IO2" s="8">
        <v>6</v>
      </c>
      <c r="IP2" s="8">
        <v>6</v>
      </c>
      <c r="IQ2" s="8">
        <v>6</v>
      </c>
      <c r="IR2" s="8">
        <v>6</v>
      </c>
      <c r="IS2" s="8">
        <v>6</v>
      </c>
      <c r="IT2" s="8">
        <v>2</v>
      </c>
      <c r="IU2" s="8">
        <v>2</v>
      </c>
      <c r="IV2" s="8">
        <v>2</v>
      </c>
      <c r="IW2" s="8">
        <v>2</v>
      </c>
      <c r="IX2" s="8">
        <v>2</v>
      </c>
      <c r="IY2" s="8">
        <v>2</v>
      </c>
      <c r="IZ2" s="8">
        <v>2</v>
      </c>
      <c r="JA2" s="8">
        <v>2</v>
      </c>
      <c r="JB2" s="8">
        <v>2</v>
      </c>
      <c r="JC2" s="8">
        <v>2</v>
      </c>
      <c r="JD2" s="8">
        <v>2</v>
      </c>
      <c r="JE2" s="8">
        <v>2</v>
      </c>
      <c r="JF2" s="8">
        <v>4</v>
      </c>
      <c r="JG2" s="8">
        <v>4</v>
      </c>
      <c r="JH2" s="8">
        <v>4</v>
      </c>
      <c r="JI2" s="8">
        <v>4</v>
      </c>
      <c r="JJ2" s="8">
        <v>4</v>
      </c>
      <c r="JK2" s="8">
        <v>4</v>
      </c>
      <c r="JL2" s="8">
        <v>4</v>
      </c>
      <c r="JM2" s="8">
        <v>4</v>
      </c>
      <c r="JN2" s="8">
        <v>4</v>
      </c>
      <c r="JO2" s="8">
        <v>4</v>
      </c>
      <c r="JP2" s="8">
        <v>4</v>
      </c>
      <c r="JQ2" s="8">
        <v>4</v>
      </c>
      <c r="JR2" s="8">
        <v>6</v>
      </c>
      <c r="JS2" s="8">
        <v>6</v>
      </c>
      <c r="JT2" s="8">
        <v>6</v>
      </c>
      <c r="JU2" s="8">
        <v>6</v>
      </c>
      <c r="JV2" s="8">
        <v>6</v>
      </c>
      <c r="JW2" s="8">
        <v>6</v>
      </c>
      <c r="JX2" s="8">
        <v>6</v>
      </c>
      <c r="JY2" s="8">
        <v>6</v>
      </c>
      <c r="JZ2" s="8">
        <v>6</v>
      </c>
      <c r="KA2" s="8">
        <v>6</v>
      </c>
      <c r="KB2" s="8">
        <v>6</v>
      </c>
      <c r="KC2" s="8">
        <v>6</v>
      </c>
      <c r="KD2" s="9">
        <v>2</v>
      </c>
      <c r="KE2" s="9">
        <v>2</v>
      </c>
      <c r="KF2" s="9">
        <v>2</v>
      </c>
      <c r="KG2" s="9">
        <v>2</v>
      </c>
      <c r="KH2" s="9">
        <v>2</v>
      </c>
      <c r="KI2" s="9">
        <v>2</v>
      </c>
      <c r="KJ2" s="9">
        <v>2</v>
      </c>
      <c r="KK2" s="9">
        <v>2</v>
      </c>
      <c r="KL2" s="9">
        <v>2</v>
      </c>
      <c r="KM2" s="9">
        <v>2</v>
      </c>
      <c r="KN2" s="9">
        <v>2</v>
      </c>
      <c r="KO2" s="9">
        <v>2</v>
      </c>
      <c r="KP2" s="9">
        <v>4</v>
      </c>
      <c r="KQ2" s="9">
        <v>4</v>
      </c>
      <c r="KR2" s="9">
        <v>4</v>
      </c>
      <c r="KS2" s="9">
        <v>4</v>
      </c>
      <c r="KT2" s="9">
        <v>4</v>
      </c>
      <c r="KU2" s="9">
        <v>4</v>
      </c>
      <c r="KV2" s="9">
        <v>4</v>
      </c>
      <c r="KW2" s="9">
        <v>4</v>
      </c>
      <c r="KX2" s="9">
        <v>4</v>
      </c>
      <c r="KY2" s="9">
        <v>4</v>
      </c>
      <c r="KZ2" s="9">
        <v>4</v>
      </c>
      <c r="LA2" s="9">
        <v>4</v>
      </c>
      <c r="LB2" s="9">
        <v>6</v>
      </c>
      <c r="LC2" s="9">
        <v>6</v>
      </c>
      <c r="LD2" s="9">
        <v>6</v>
      </c>
      <c r="LE2" s="9">
        <v>6</v>
      </c>
      <c r="LF2" s="9">
        <v>6</v>
      </c>
      <c r="LG2" s="9">
        <v>6</v>
      </c>
      <c r="LH2" s="9">
        <v>6</v>
      </c>
      <c r="LI2" s="9">
        <v>6</v>
      </c>
      <c r="LJ2" s="9">
        <v>6</v>
      </c>
      <c r="LK2" s="9">
        <v>6</v>
      </c>
      <c r="LL2" s="9">
        <v>6</v>
      </c>
      <c r="LM2" s="9">
        <v>6</v>
      </c>
      <c r="LN2" s="9">
        <v>2</v>
      </c>
      <c r="LO2" s="9">
        <v>2</v>
      </c>
      <c r="LP2" s="9">
        <v>2</v>
      </c>
      <c r="LQ2" s="9">
        <v>2</v>
      </c>
      <c r="LR2" s="9">
        <v>2</v>
      </c>
      <c r="LS2" s="9">
        <v>2</v>
      </c>
      <c r="LT2" s="9">
        <v>2</v>
      </c>
      <c r="LU2" s="9">
        <v>2</v>
      </c>
      <c r="LV2" s="9">
        <v>2</v>
      </c>
      <c r="LW2" s="9">
        <v>2</v>
      </c>
      <c r="LX2" s="9">
        <v>2</v>
      </c>
      <c r="LY2" s="9">
        <v>2</v>
      </c>
      <c r="LZ2" s="9">
        <v>4</v>
      </c>
      <c r="MA2" s="9">
        <v>4</v>
      </c>
      <c r="MB2" s="9">
        <v>4</v>
      </c>
      <c r="MC2" s="9">
        <v>4</v>
      </c>
      <c r="MD2" s="9">
        <v>4</v>
      </c>
      <c r="ME2" s="9">
        <v>4</v>
      </c>
      <c r="MF2" s="9">
        <v>4</v>
      </c>
      <c r="MG2" s="9">
        <v>4</v>
      </c>
      <c r="MH2" s="9">
        <v>4</v>
      </c>
      <c r="MI2" s="9">
        <v>4</v>
      </c>
      <c r="MJ2" s="9">
        <v>4</v>
      </c>
      <c r="MK2" s="9">
        <v>4</v>
      </c>
      <c r="ML2" s="9">
        <v>6</v>
      </c>
      <c r="MM2" s="9">
        <v>6</v>
      </c>
      <c r="MN2" s="9">
        <v>6</v>
      </c>
      <c r="MO2" s="9">
        <v>6</v>
      </c>
      <c r="MP2" s="9">
        <v>6</v>
      </c>
      <c r="MQ2" s="9">
        <v>6</v>
      </c>
      <c r="MR2" s="9">
        <v>6</v>
      </c>
      <c r="MS2" s="9">
        <v>6</v>
      </c>
      <c r="MT2" s="9">
        <v>6</v>
      </c>
      <c r="MU2" s="9">
        <v>6</v>
      </c>
      <c r="MV2" s="9">
        <v>6</v>
      </c>
      <c r="MW2" s="9">
        <v>6</v>
      </c>
    </row>
    <row r="3" spans="1:363" s="1" customFormat="1" x14ac:dyDescent="0.3">
      <c r="A3" s="4"/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4</v>
      </c>
      <c r="U3" s="5" t="s">
        <v>4</v>
      </c>
      <c r="V3" s="5" t="s">
        <v>4</v>
      </c>
      <c r="W3" s="5" t="s">
        <v>4</v>
      </c>
      <c r="X3" s="5" t="s">
        <v>4</v>
      </c>
      <c r="Y3" s="5" t="s">
        <v>4</v>
      </c>
      <c r="Z3" s="5" t="s">
        <v>1</v>
      </c>
      <c r="AA3" s="5" t="s">
        <v>1</v>
      </c>
      <c r="AB3" s="5" t="s">
        <v>1</v>
      </c>
      <c r="AC3" s="5" t="s">
        <v>1</v>
      </c>
      <c r="AD3" s="5" t="s">
        <v>1</v>
      </c>
      <c r="AE3" s="5" t="s">
        <v>1</v>
      </c>
      <c r="AF3" s="5" t="s">
        <v>4</v>
      </c>
      <c r="AG3" s="5" t="s">
        <v>4</v>
      </c>
      <c r="AH3" s="5" t="s">
        <v>4</v>
      </c>
      <c r="AI3" s="5" t="s">
        <v>4</v>
      </c>
      <c r="AJ3" s="5" t="s">
        <v>4</v>
      </c>
      <c r="AK3" s="5" t="s">
        <v>4</v>
      </c>
      <c r="AL3" s="5" t="s">
        <v>1</v>
      </c>
      <c r="AM3" s="5" t="s">
        <v>1</v>
      </c>
      <c r="AN3" s="5" t="s">
        <v>1</v>
      </c>
      <c r="AO3" s="5" t="s">
        <v>1</v>
      </c>
      <c r="AP3" s="5" t="s">
        <v>1</v>
      </c>
      <c r="AQ3" s="5" t="s">
        <v>1</v>
      </c>
      <c r="AR3" s="5" t="s">
        <v>4</v>
      </c>
      <c r="AS3" s="5" t="s">
        <v>4</v>
      </c>
      <c r="AT3" s="5" t="s">
        <v>4</v>
      </c>
      <c r="AU3" s="5" t="s">
        <v>4</v>
      </c>
      <c r="AV3" s="5" t="s">
        <v>4</v>
      </c>
      <c r="AW3" s="5" t="s">
        <v>4</v>
      </c>
      <c r="AX3" s="5" t="s">
        <v>1</v>
      </c>
      <c r="AY3" s="5" t="s">
        <v>1</v>
      </c>
      <c r="AZ3" s="5" t="s">
        <v>1</v>
      </c>
      <c r="BA3" s="5" t="s">
        <v>1</v>
      </c>
      <c r="BB3" s="5" t="s">
        <v>1</v>
      </c>
      <c r="BC3" s="5" t="s">
        <v>1</v>
      </c>
      <c r="BD3" s="5" t="s">
        <v>4</v>
      </c>
      <c r="BE3" s="5" t="s">
        <v>4</v>
      </c>
      <c r="BF3" s="5" t="s">
        <v>4</v>
      </c>
      <c r="BG3" s="5" t="s">
        <v>4</v>
      </c>
      <c r="BH3" s="5" t="s">
        <v>4</v>
      </c>
      <c r="BI3" s="5" t="s">
        <v>4</v>
      </c>
      <c r="BJ3" s="5" t="s">
        <v>1</v>
      </c>
      <c r="BK3" s="5" t="s">
        <v>1</v>
      </c>
      <c r="BL3" s="5" t="s">
        <v>1</v>
      </c>
      <c r="BM3" s="5" t="s">
        <v>1</v>
      </c>
      <c r="BN3" s="5" t="s">
        <v>1</v>
      </c>
      <c r="BO3" s="5" t="s">
        <v>1</v>
      </c>
      <c r="BP3" s="5" t="s">
        <v>4</v>
      </c>
      <c r="BQ3" s="5" t="s">
        <v>4</v>
      </c>
      <c r="BR3" s="5" t="s">
        <v>4</v>
      </c>
      <c r="BS3" s="5" t="s">
        <v>4</v>
      </c>
      <c r="BT3" s="5" t="s">
        <v>4</v>
      </c>
      <c r="BU3" s="5" t="s">
        <v>4</v>
      </c>
      <c r="BV3" s="6" t="s">
        <v>1</v>
      </c>
      <c r="BW3" s="6" t="s">
        <v>1</v>
      </c>
      <c r="BX3" s="6" t="s">
        <v>1</v>
      </c>
      <c r="BY3" s="6" t="s">
        <v>1</v>
      </c>
      <c r="BZ3" s="6" t="s">
        <v>1</v>
      </c>
      <c r="CA3" s="6" t="s">
        <v>1</v>
      </c>
      <c r="CB3" s="6" t="s">
        <v>4</v>
      </c>
      <c r="CC3" s="6" t="s">
        <v>4</v>
      </c>
      <c r="CD3" s="6" t="s">
        <v>4</v>
      </c>
      <c r="CE3" s="6" t="s">
        <v>4</v>
      </c>
      <c r="CF3" s="6" t="s">
        <v>4</v>
      </c>
      <c r="CG3" s="6" t="s">
        <v>4</v>
      </c>
      <c r="CH3" s="6" t="s">
        <v>1</v>
      </c>
      <c r="CI3" s="6" t="s">
        <v>1</v>
      </c>
      <c r="CJ3" s="6" t="s">
        <v>1</v>
      </c>
      <c r="CK3" s="6" t="s">
        <v>1</v>
      </c>
      <c r="CL3" s="6" t="s">
        <v>1</v>
      </c>
      <c r="CM3" s="6" t="s">
        <v>1</v>
      </c>
      <c r="CN3" s="6" t="s">
        <v>4</v>
      </c>
      <c r="CO3" s="6" t="s">
        <v>4</v>
      </c>
      <c r="CP3" s="6" t="s">
        <v>4</v>
      </c>
      <c r="CQ3" s="6" t="s">
        <v>4</v>
      </c>
      <c r="CR3" s="6" t="s">
        <v>4</v>
      </c>
      <c r="CS3" s="6" t="s">
        <v>4</v>
      </c>
      <c r="CT3" s="6" t="s">
        <v>1</v>
      </c>
      <c r="CU3" s="6" t="s">
        <v>1</v>
      </c>
      <c r="CV3" s="6" t="s">
        <v>1</v>
      </c>
      <c r="CW3" s="6" t="s">
        <v>1</v>
      </c>
      <c r="CX3" s="6" t="s">
        <v>1</v>
      </c>
      <c r="CY3" s="6" t="s">
        <v>1</v>
      </c>
      <c r="CZ3" s="6" t="s">
        <v>4</v>
      </c>
      <c r="DA3" s="6" t="s">
        <v>4</v>
      </c>
      <c r="DB3" s="6" t="s">
        <v>4</v>
      </c>
      <c r="DC3" s="6" t="s">
        <v>4</v>
      </c>
      <c r="DD3" s="6" t="s">
        <v>4</v>
      </c>
      <c r="DE3" s="6" t="s">
        <v>4</v>
      </c>
      <c r="DF3" s="6" t="s">
        <v>1</v>
      </c>
      <c r="DG3" s="6" t="s">
        <v>1</v>
      </c>
      <c r="DH3" s="6" t="s">
        <v>1</v>
      </c>
      <c r="DI3" s="6" t="s">
        <v>1</v>
      </c>
      <c r="DJ3" s="6" t="s">
        <v>1</v>
      </c>
      <c r="DK3" s="6" t="s">
        <v>1</v>
      </c>
      <c r="DL3" s="6" t="s">
        <v>4</v>
      </c>
      <c r="DM3" s="6" t="s">
        <v>4</v>
      </c>
      <c r="DN3" s="6" t="s">
        <v>4</v>
      </c>
      <c r="DO3" s="6" t="s">
        <v>4</v>
      </c>
      <c r="DP3" s="6" t="s">
        <v>4</v>
      </c>
      <c r="DQ3" s="6" t="s">
        <v>4</v>
      </c>
      <c r="DR3" s="6" t="s">
        <v>1</v>
      </c>
      <c r="DS3" s="6" t="s">
        <v>1</v>
      </c>
      <c r="DT3" s="6" t="s">
        <v>1</v>
      </c>
      <c r="DU3" s="6" t="s">
        <v>1</v>
      </c>
      <c r="DV3" s="6" t="s">
        <v>1</v>
      </c>
      <c r="DW3" s="6" t="s">
        <v>1</v>
      </c>
      <c r="DX3" s="6" t="s">
        <v>4</v>
      </c>
      <c r="DY3" s="6" t="s">
        <v>4</v>
      </c>
      <c r="DZ3" s="6" t="s">
        <v>4</v>
      </c>
      <c r="EA3" s="6" t="s">
        <v>4</v>
      </c>
      <c r="EB3" s="6" t="s">
        <v>4</v>
      </c>
      <c r="EC3" s="6" t="s">
        <v>4</v>
      </c>
      <c r="ED3" s="6" t="s">
        <v>1</v>
      </c>
      <c r="EE3" s="6" t="s">
        <v>1</v>
      </c>
      <c r="EF3" s="6" t="s">
        <v>1</v>
      </c>
      <c r="EG3" s="6" t="s">
        <v>1</v>
      </c>
      <c r="EH3" s="6" t="s">
        <v>1</v>
      </c>
      <c r="EI3" s="6" t="s">
        <v>1</v>
      </c>
      <c r="EJ3" s="6" t="s">
        <v>4</v>
      </c>
      <c r="EK3" s="6" t="s">
        <v>4</v>
      </c>
      <c r="EL3" s="6" t="s">
        <v>4</v>
      </c>
      <c r="EM3" s="6" t="s">
        <v>4</v>
      </c>
      <c r="EN3" s="6" t="s">
        <v>4</v>
      </c>
      <c r="EO3" s="6" t="s">
        <v>4</v>
      </c>
      <c r="EP3" s="7" t="s">
        <v>1</v>
      </c>
      <c r="EQ3" s="7" t="s">
        <v>1</v>
      </c>
      <c r="ER3" s="7" t="s">
        <v>1</v>
      </c>
      <c r="ES3" s="7" t="s">
        <v>1</v>
      </c>
      <c r="ET3" s="7" t="s">
        <v>1</v>
      </c>
      <c r="EU3" s="7" t="s">
        <v>1</v>
      </c>
      <c r="EV3" s="7" t="s">
        <v>4</v>
      </c>
      <c r="EW3" s="7" t="s">
        <v>4</v>
      </c>
      <c r="EX3" s="7" t="s">
        <v>4</v>
      </c>
      <c r="EY3" s="7" t="s">
        <v>4</v>
      </c>
      <c r="EZ3" s="7" t="s">
        <v>4</v>
      </c>
      <c r="FA3" s="7" t="s">
        <v>4</v>
      </c>
      <c r="FB3" s="7" t="s">
        <v>1</v>
      </c>
      <c r="FC3" s="7" t="s">
        <v>1</v>
      </c>
      <c r="FD3" s="7" t="s">
        <v>1</v>
      </c>
      <c r="FE3" s="7" t="s">
        <v>1</v>
      </c>
      <c r="FF3" s="7" t="s">
        <v>1</v>
      </c>
      <c r="FG3" s="7" t="s">
        <v>1</v>
      </c>
      <c r="FH3" s="7" t="s">
        <v>4</v>
      </c>
      <c r="FI3" s="7" t="s">
        <v>4</v>
      </c>
      <c r="FJ3" s="7" t="s">
        <v>4</v>
      </c>
      <c r="FK3" s="7" t="s">
        <v>4</v>
      </c>
      <c r="FL3" s="7" t="s">
        <v>4</v>
      </c>
      <c r="FM3" s="7" t="s">
        <v>4</v>
      </c>
      <c r="FN3" s="7" t="s">
        <v>1</v>
      </c>
      <c r="FO3" s="7" t="s">
        <v>1</v>
      </c>
      <c r="FP3" s="7" t="s">
        <v>1</v>
      </c>
      <c r="FQ3" s="7" t="s">
        <v>1</v>
      </c>
      <c r="FR3" s="7" t="s">
        <v>1</v>
      </c>
      <c r="FS3" s="7" t="s">
        <v>1</v>
      </c>
      <c r="FT3" s="7" t="s">
        <v>4</v>
      </c>
      <c r="FU3" s="7" t="s">
        <v>4</v>
      </c>
      <c r="FV3" s="7" t="s">
        <v>4</v>
      </c>
      <c r="FW3" s="7" t="s">
        <v>4</v>
      </c>
      <c r="FX3" s="7" t="s">
        <v>4</v>
      </c>
      <c r="FY3" s="7" t="s">
        <v>4</v>
      </c>
      <c r="FZ3" s="7" t="s">
        <v>1</v>
      </c>
      <c r="GA3" s="7" t="s">
        <v>1</v>
      </c>
      <c r="GB3" s="7" t="s">
        <v>1</v>
      </c>
      <c r="GC3" s="7" t="s">
        <v>1</v>
      </c>
      <c r="GD3" s="7" t="s">
        <v>1</v>
      </c>
      <c r="GE3" s="7" t="s">
        <v>1</v>
      </c>
      <c r="GF3" s="7" t="s">
        <v>4</v>
      </c>
      <c r="GG3" s="7" t="s">
        <v>4</v>
      </c>
      <c r="GH3" s="7" t="s">
        <v>4</v>
      </c>
      <c r="GI3" s="7" t="s">
        <v>4</v>
      </c>
      <c r="GJ3" s="7" t="s">
        <v>4</v>
      </c>
      <c r="GK3" s="7" t="s">
        <v>4</v>
      </c>
      <c r="GL3" s="7" t="s">
        <v>1</v>
      </c>
      <c r="GM3" s="7" t="s">
        <v>1</v>
      </c>
      <c r="GN3" s="7" t="s">
        <v>1</v>
      </c>
      <c r="GO3" s="7" t="s">
        <v>1</v>
      </c>
      <c r="GP3" s="7" t="s">
        <v>1</v>
      </c>
      <c r="GQ3" s="7" t="s">
        <v>1</v>
      </c>
      <c r="GR3" s="7" t="s">
        <v>4</v>
      </c>
      <c r="GS3" s="7" t="s">
        <v>4</v>
      </c>
      <c r="GT3" s="7" t="s">
        <v>4</v>
      </c>
      <c r="GU3" s="7" t="s">
        <v>4</v>
      </c>
      <c r="GV3" s="7" t="s">
        <v>4</v>
      </c>
      <c r="GW3" s="7" t="s">
        <v>4</v>
      </c>
      <c r="GX3" s="7" t="s">
        <v>1</v>
      </c>
      <c r="GY3" s="7" t="s">
        <v>1</v>
      </c>
      <c r="GZ3" s="7" t="s">
        <v>1</v>
      </c>
      <c r="HA3" s="7" t="s">
        <v>1</v>
      </c>
      <c r="HB3" s="7" t="s">
        <v>1</v>
      </c>
      <c r="HC3" s="7" t="s">
        <v>1</v>
      </c>
      <c r="HD3" s="7" t="s">
        <v>4</v>
      </c>
      <c r="HE3" s="7" t="s">
        <v>4</v>
      </c>
      <c r="HF3" s="7" t="s">
        <v>4</v>
      </c>
      <c r="HG3" s="7" t="s">
        <v>4</v>
      </c>
      <c r="HH3" s="7" t="s">
        <v>4</v>
      </c>
      <c r="HI3" s="7" t="s">
        <v>4</v>
      </c>
      <c r="HJ3" s="8" t="s">
        <v>1</v>
      </c>
      <c r="HK3" s="8" t="s">
        <v>1</v>
      </c>
      <c r="HL3" s="8" t="s">
        <v>1</v>
      </c>
      <c r="HM3" s="8" t="s">
        <v>1</v>
      </c>
      <c r="HN3" s="8" t="s">
        <v>1</v>
      </c>
      <c r="HO3" s="8" t="s">
        <v>1</v>
      </c>
      <c r="HP3" s="8" t="s">
        <v>4</v>
      </c>
      <c r="HQ3" s="8" t="s">
        <v>4</v>
      </c>
      <c r="HR3" s="8" t="s">
        <v>4</v>
      </c>
      <c r="HS3" s="8" t="s">
        <v>4</v>
      </c>
      <c r="HT3" s="8" t="s">
        <v>4</v>
      </c>
      <c r="HU3" s="8" t="s">
        <v>4</v>
      </c>
      <c r="HV3" s="8" t="s">
        <v>1</v>
      </c>
      <c r="HW3" s="8" t="s">
        <v>1</v>
      </c>
      <c r="HX3" s="8" t="s">
        <v>1</v>
      </c>
      <c r="HY3" s="8" t="s">
        <v>1</v>
      </c>
      <c r="HZ3" s="8" t="s">
        <v>1</v>
      </c>
      <c r="IA3" s="8" t="s">
        <v>1</v>
      </c>
      <c r="IB3" s="8" t="s">
        <v>4</v>
      </c>
      <c r="IC3" s="8" t="s">
        <v>4</v>
      </c>
      <c r="ID3" s="8" t="s">
        <v>4</v>
      </c>
      <c r="IE3" s="8" t="s">
        <v>4</v>
      </c>
      <c r="IF3" s="8" t="s">
        <v>4</v>
      </c>
      <c r="IG3" s="8" t="s">
        <v>4</v>
      </c>
      <c r="IH3" s="8" t="s">
        <v>1</v>
      </c>
      <c r="II3" s="8" t="s">
        <v>1</v>
      </c>
      <c r="IJ3" s="8" t="s">
        <v>1</v>
      </c>
      <c r="IK3" s="8" t="s">
        <v>1</v>
      </c>
      <c r="IL3" s="8" t="s">
        <v>1</v>
      </c>
      <c r="IM3" s="8" t="s">
        <v>1</v>
      </c>
      <c r="IN3" s="8" t="s">
        <v>4</v>
      </c>
      <c r="IO3" s="8" t="s">
        <v>4</v>
      </c>
      <c r="IP3" s="8" t="s">
        <v>4</v>
      </c>
      <c r="IQ3" s="8" t="s">
        <v>4</v>
      </c>
      <c r="IR3" s="8" t="s">
        <v>4</v>
      </c>
      <c r="IS3" s="8" t="s">
        <v>4</v>
      </c>
      <c r="IT3" s="8" t="s">
        <v>1</v>
      </c>
      <c r="IU3" s="8" t="s">
        <v>1</v>
      </c>
      <c r="IV3" s="8" t="s">
        <v>1</v>
      </c>
      <c r="IW3" s="8" t="s">
        <v>1</v>
      </c>
      <c r="IX3" s="8" t="s">
        <v>1</v>
      </c>
      <c r="IY3" s="8" t="s">
        <v>1</v>
      </c>
      <c r="IZ3" s="8" t="s">
        <v>4</v>
      </c>
      <c r="JA3" s="8" t="s">
        <v>4</v>
      </c>
      <c r="JB3" s="8" t="s">
        <v>4</v>
      </c>
      <c r="JC3" s="8" t="s">
        <v>4</v>
      </c>
      <c r="JD3" s="8" t="s">
        <v>4</v>
      </c>
      <c r="JE3" s="8" t="s">
        <v>4</v>
      </c>
      <c r="JF3" s="8" t="s">
        <v>1</v>
      </c>
      <c r="JG3" s="8" t="s">
        <v>1</v>
      </c>
      <c r="JH3" s="8" t="s">
        <v>1</v>
      </c>
      <c r="JI3" s="8" t="s">
        <v>1</v>
      </c>
      <c r="JJ3" s="8" t="s">
        <v>1</v>
      </c>
      <c r="JK3" s="8" t="s">
        <v>1</v>
      </c>
      <c r="JL3" s="8" t="s">
        <v>4</v>
      </c>
      <c r="JM3" s="8" t="s">
        <v>4</v>
      </c>
      <c r="JN3" s="8" t="s">
        <v>4</v>
      </c>
      <c r="JO3" s="8" t="s">
        <v>4</v>
      </c>
      <c r="JP3" s="8" t="s">
        <v>4</v>
      </c>
      <c r="JQ3" s="8" t="s">
        <v>4</v>
      </c>
      <c r="JR3" s="8" t="s">
        <v>1</v>
      </c>
      <c r="JS3" s="8" t="s">
        <v>1</v>
      </c>
      <c r="JT3" s="8" t="s">
        <v>1</v>
      </c>
      <c r="JU3" s="8" t="s">
        <v>1</v>
      </c>
      <c r="JV3" s="8" t="s">
        <v>1</v>
      </c>
      <c r="JW3" s="8" t="s">
        <v>1</v>
      </c>
      <c r="JX3" s="8" t="s">
        <v>4</v>
      </c>
      <c r="JY3" s="8" t="s">
        <v>4</v>
      </c>
      <c r="JZ3" s="8" t="s">
        <v>4</v>
      </c>
      <c r="KA3" s="8" t="s">
        <v>4</v>
      </c>
      <c r="KB3" s="8" t="s">
        <v>4</v>
      </c>
      <c r="KC3" s="8" t="s">
        <v>4</v>
      </c>
      <c r="KD3" s="9" t="s">
        <v>1</v>
      </c>
      <c r="KE3" s="9" t="s">
        <v>1</v>
      </c>
      <c r="KF3" s="9" t="s">
        <v>1</v>
      </c>
      <c r="KG3" s="9" t="s">
        <v>1</v>
      </c>
      <c r="KH3" s="9" t="s">
        <v>1</v>
      </c>
      <c r="KI3" s="9" t="s">
        <v>1</v>
      </c>
      <c r="KJ3" s="9" t="s">
        <v>4</v>
      </c>
      <c r="KK3" s="9" t="s">
        <v>4</v>
      </c>
      <c r="KL3" s="9" t="s">
        <v>4</v>
      </c>
      <c r="KM3" s="9" t="s">
        <v>4</v>
      </c>
      <c r="KN3" s="9" t="s">
        <v>4</v>
      </c>
      <c r="KO3" s="9" t="s">
        <v>4</v>
      </c>
      <c r="KP3" s="9" t="s">
        <v>1</v>
      </c>
      <c r="KQ3" s="9" t="s">
        <v>1</v>
      </c>
      <c r="KR3" s="9" t="s">
        <v>1</v>
      </c>
      <c r="KS3" s="9" t="s">
        <v>1</v>
      </c>
      <c r="KT3" s="9" t="s">
        <v>1</v>
      </c>
      <c r="KU3" s="9" t="s">
        <v>1</v>
      </c>
      <c r="KV3" s="9" t="s">
        <v>4</v>
      </c>
      <c r="KW3" s="9" t="s">
        <v>4</v>
      </c>
      <c r="KX3" s="9" t="s">
        <v>4</v>
      </c>
      <c r="KY3" s="9" t="s">
        <v>4</v>
      </c>
      <c r="KZ3" s="9" t="s">
        <v>4</v>
      </c>
      <c r="LA3" s="9" t="s">
        <v>4</v>
      </c>
      <c r="LB3" s="9" t="s">
        <v>1</v>
      </c>
      <c r="LC3" s="9" t="s">
        <v>1</v>
      </c>
      <c r="LD3" s="9" t="s">
        <v>1</v>
      </c>
      <c r="LE3" s="9" t="s">
        <v>1</v>
      </c>
      <c r="LF3" s="9" t="s">
        <v>1</v>
      </c>
      <c r="LG3" s="9" t="s">
        <v>1</v>
      </c>
      <c r="LH3" s="9" t="s">
        <v>4</v>
      </c>
      <c r="LI3" s="9" t="s">
        <v>4</v>
      </c>
      <c r="LJ3" s="9" t="s">
        <v>4</v>
      </c>
      <c r="LK3" s="9" t="s">
        <v>4</v>
      </c>
      <c r="LL3" s="9" t="s">
        <v>4</v>
      </c>
      <c r="LM3" s="9" t="s">
        <v>4</v>
      </c>
      <c r="LN3" s="9" t="s">
        <v>1</v>
      </c>
      <c r="LO3" s="9" t="s">
        <v>1</v>
      </c>
      <c r="LP3" s="9" t="s">
        <v>1</v>
      </c>
      <c r="LQ3" s="9" t="s">
        <v>1</v>
      </c>
      <c r="LR3" s="9" t="s">
        <v>1</v>
      </c>
      <c r="LS3" s="9" t="s">
        <v>1</v>
      </c>
      <c r="LT3" s="9" t="s">
        <v>4</v>
      </c>
      <c r="LU3" s="9" t="s">
        <v>4</v>
      </c>
      <c r="LV3" s="9" t="s">
        <v>4</v>
      </c>
      <c r="LW3" s="9" t="s">
        <v>4</v>
      </c>
      <c r="LX3" s="9" t="s">
        <v>4</v>
      </c>
      <c r="LY3" s="9" t="s">
        <v>4</v>
      </c>
      <c r="LZ3" s="9" t="s">
        <v>1</v>
      </c>
      <c r="MA3" s="9" t="s">
        <v>1</v>
      </c>
      <c r="MB3" s="9" t="s">
        <v>1</v>
      </c>
      <c r="MC3" s="9" t="s">
        <v>1</v>
      </c>
      <c r="MD3" s="9" t="s">
        <v>1</v>
      </c>
      <c r="ME3" s="9" t="s">
        <v>1</v>
      </c>
      <c r="MF3" s="9" t="s">
        <v>4</v>
      </c>
      <c r="MG3" s="9" t="s">
        <v>4</v>
      </c>
      <c r="MH3" s="9" t="s">
        <v>4</v>
      </c>
      <c r="MI3" s="9" t="s">
        <v>4</v>
      </c>
      <c r="MJ3" s="9" t="s">
        <v>4</v>
      </c>
      <c r="MK3" s="9" t="s">
        <v>4</v>
      </c>
      <c r="ML3" s="9" t="s">
        <v>1</v>
      </c>
      <c r="MM3" s="9" t="s">
        <v>1</v>
      </c>
      <c r="MN3" s="9" t="s">
        <v>1</v>
      </c>
      <c r="MO3" s="9" t="s">
        <v>1</v>
      </c>
      <c r="MP3" s="9" t="s">
        <v>1</v>
      </c>
      <c r="MQ3" s="9" t="s">
        <v>1</v>
      </c>
      <c r="MR3" s="9" t="s">
        <v>4</v>
      </c>
      <c r="MS3" s="9" t="s">
        <v>4</v>
      </c>
      <c r="MT3" s="9" t="s">
        <v>4</v>
      </c>
      <c r="MU3" s="9" t="s">
        <v>4</v>
      </c>
      <c r="MV3" s="9" t="s">
        <v>4</v>
      </c>
      <c r="MW3" s="9" t="s">
        <v>4</v>
      </c>
    </row>
    <row r="4" spans="1:363" s="1" customFormat="1" x14ac:dyDescent="0.3">
      <c r="A4" s="4"/>
      <c r="B4" s="5">
        <v>0.4</v>
      </c>
      <c r="C4" s="5">
        <v>0.4</v>
      </c>
      <c r="D4" s="5">
        <v>0.7</v>
      </c>
      <c r="E4" s="5">
        <v>0.7</v>
      </c>
      <c r="F4" s="5">
        <v>0.9</v>
      </c>
      <c r="G4" s="5">
        <v>0.9</v>
      </c>
      <c r="H4" s="5">
        <v>0.4</v>
      </c>
      <c r="I4" s="5">
        <v>0.4</v>
      </c>
      <c r="J4" s="5">
        <v>0.7</v>
      </c>
      <c r="K4" s="5">
        <v>0.7</v>
      </c>
      <c r="L4" s="5">
        <v>0.9</v>
      </c>
      <c r="M4" s="5">
        <v>0.9</v>
      </c>
      <c r="N4" s="5">
        <v>0.4</v>
      </c>
      <c r="O4" s="5">
        <v>0.4</v>
      </c>
      <c r="P4" s="5">
        <v>0.7</v>
      </c>
      <c r="Q4" s="5">
        <v>0.7</v>
      </c>
      <c r="R4" s="5">
        <v>0.9</v>
      </c>
      <c r="S4" s="5">
        <v>0.9</v>
      </c>
      <c r="T4" s="5">
        <v>0.4</v>
      </c>
      <c r="U4" s="5">
        <v>0.4</v>
      </c>
      <c r="V4" s="5">
        <v>0.7</v>
      </c>
      <c r="W4" s="5">
        <v>0.7</v>
      </c>
      <c r="X4" s="5">
        <v>0.9</v>
      </c>
      <c r="Y4" s="5">
        <v>0.9</v>
      </c>
      <c r="Z4" s="5">
        <v>0.4</v>
      </c>
      <c r="AA4" s="5">
        <v>0.4</v>
      </c>
      <c r="AB4" s="5">
        <v>0.7</v>
      </c>
      <c r="AC4" s="5">
        <v>0.7</v>
      </c>
      <c r="AD4" s="5">
        <v>0.9</v>
      </c>
      <c r="AE4" s="5">
        <v>0.9</v>
      </c>
      <c r="AF4" s="5">
        <v>0.4</v>
      </c>
      <c r="AG4" s="5">
        <v>0.4</v>
      </c>
      <c r="AH4" s="5">
        <v>0.7</v>
      </c>
      <c r="AI4" s="5">
        <v>0.7</v>
      </c>
      <c r="AJ4" s="5">
        <v>0.9</v>
      </c>
      <c r="AK4" s="5">
        <v>0.9</v>
      </c>
      <c r="AL4" s="5">
        <v>0.4</v>
      </c>
      <c r="AM4" s="5">
        <v>0.4</v>
      </c>
      <c r="AN4" s="5">
        <v>0.7</v>
      </c>
      <c r="AO4" s="5">
        <v>0.7</v>
      </c>
      <c r="AP4" s="5">
        <v>0.9</v>
      </c>
      <c r="AQ4" s="5">
        <v>0.9</v>
      </c>
      <c r="AR4" s="5">
        <v>0.4</v>
      </c>
      <c r="AS4" s="5">
        <v>0.4</v>
      </c>
      <c r="AT4" s="5">
        <v>0.7</v>
      </c>
      <c r="AU4" s="5">
        <v>0.7</v>
      </c>
      <c r="AV4" s="5">
        <v>0.9</v>
      </c>
      <c r="AW4" s="5">
        <v>0.9</v>
      </c>
      <c r="AX4" s="5">
        <v>0.4</v>
      </c>
      <c r="AY4" s="5">
        <v>0.4</v>
      </c>
      <c r="AZ4" s="5">
        <v>0.7</v>
      </c>
      <c r="BA4" s="5">
        <v>0.7</v>
      </c>
      <c r="BB4" s="5">
        <v>0.9</v>
      </c>
      <c r="BC4" s="5">
        <v>0.9</v>
      </c>
      <c r="BD4" s="5">
        <v>0.4</v>
      </c>
      <c r="BE4" s="5">
        <v>0.4</v>
      </c>
      <c r="BF4" s="5">
        <v>0.7</v>
      </c>
      <c r="BG4" s="5">
        <v>0.7</v>
      </c>
      <c r="BH4" s="5">
        <v>0.9</v>
      </c>
      <c r="BI4" s="5">
        <v>0.9</v>
      </c>
      <c r="BJ4" s="5">
        <v>0.4</v>
      </c>
      <c r="BK4" s="5">
        <v>0.4</v>
      </c>
      <c r="BL4" s="5">
        <v>0.7</v>
      </c>
      <c r="BM4" s="5">
        <v>0.7</v>
      </c>
      <c r="BN4" s="5">
        <v>0.9</v>
      </c>
      <c r="BO4" s="5">
        <v>0.9</v>
      </c>
      <c r="BP4" s="5">
        <v>0.4</v>
      </c>
      <c r="BQ4" s="5">
        <v>0.4</v>
      </c>
      <c r="BR4" s="5">
        <v>0.7</v>
      </c>
      <c r="BS4" s="5">
        <v>0.7</v>
      </c>
      <c r="BT4" s="5">
        <v>0.9</v>
      </c>
      <c r="BU4" s="5">
        <v>0.9</v>
      </c>
      <c r="BV4" s="6">
        <v>0.4</v>
      </c>
      <c r="BW4" s="6">
        <v>0.4</v>
      </c>
      <c r="BX4" s="6">
        <v>0.7</v>
      </c>
      <c r="BY4" s="6">
        <v>0.7</v>
      </c>
      <c r="BZ4" s="6">
        <v>0.9</v>
      </c>
      <c r="CA4" s="6">
        <v>0.9</v>
      </c>
      <c r="CB4" s="6">
        <v>0.4</v>
      </c>
      <c r="CC4" s="6">
        <v>0.4</v>
      </c>
      <c r="CD4" s="6">
        <v>0.7</v>
      </c>
      <c r="CE4" s="6">
        <v>0.7</v>
      </c>
      <c r="CF4" s="6">
        <v>0.9</v>
      </c>
      <c r="CG4" s="6">
        <v>0.9</v>
      </c>
      <c r="CH4" s="6">
        <v>0.4</v>
      </c>
      <c r="CI4" s="6">
        <v>0.4</v>
      </c>
      <c r="CJ4" s="6">
        <v>0.7</v>
      </c>
      <c r="CK4" s="6">
        <v>0.7</v>
      </c>
      <c r="CL4" s="6">
        <v>0.9</v>
      </c>
      <c r="CM4" s="6">
        <v>0.9</v>
      </c>
      <c r="CN4" s="6">
        <v>0.4</v>
      </c>
      <c r="CO4" s="6">
        <v>0.4</v>
      </c>
      <c r="CP4" s="6">
        <v>0.7</v>
      </c>
      <c r="CQ4" s="6">
        <v>0.7</v>
      </c>
      <c r="CR4" s="6">
        <v>0.9</v>
      </c>
      <c r="CS4" s="6">
        <v>0.9</v>
      </c>
      <c r="CT4" s="6">
        <v>0.4</v>
      </c>
      <c r="CU4" s="6">
        <v>0.4</v>
      </c>
      <c r="CV4" s="6">
        <v>0.7</v>
      </c>
      <c r="CW4" s="6">
        <v>0.7</v>
      </c>
      <c r="CX4" s="6">
        <v>0.9</v>
      </c>
      <c r="CY4" s="6">
        <v>0.9</v>
      </c>
      <c r="CZ4" s="6">
        <v>0.4</v>
      </c>
      <c r="DA4" s="6">
        <v>0.4</v>
      </c>
      <c r="DB4" s="6">
        <v>0.7</v>
      </c>
      <c r="DC4" s="6">
        <v>0.7</v>
      </c>
      <c r="DD4" s="6">
        <v>0.9</v>
      </c>
      <c r="DE4" s="6">
        <v>0.9</v>
      </c>
      <c r="DF4" s="6">
        <v>0.4</v>
      </c>
      <c r="DG4" s="6">
        <v>0.4</v>
      </c>
      <c r="DH4" s="6">
        <v>0.7</v>
      </c>
      <c r="DI4" s="6">
        <v>0.7</v>
      </c>
      <c r="DJ4" s="6">
        <v>0.9</v>
      </c>
      <c r="DK4" s="6">
        <v>0.9</v>
      </c>
      <c r="DL4" s="6">
        <v>0.4</v>
      </c>
      <c r="DM4" s="6">
        <v>0.4</v>
      </c>
      <c r="DN4" s="6">
        <v>0.7</v>
      </c>
      <c r="DO4" s="6">
        <v>0.7</v>
      </c>
      <c r="DP4" s="6">
        <v>0.9</v>
      </c>
      <c r="DQ4" s="6">
        <v>0.9</v>
      </c>
      <c r="DR4" s="6">
        <v>0.4</v>
      </c>
      <c r="DS4" s="6">
        <v>0.4</v>
      </c>
      <c r="DT4" s="6">
        <v>0.7</v>
      </c>
      <c r="DU4" s="6">
        <v>0.7</v>
      </c>
      <c r="DV4" s="6">
        <v>0.9</v>
      </c>
      <c r="DW4" s="6">
        <v>0.9</v>
      </c>
      <c r="DX4" s="6">
        <v>0.4</v>
      </c>
      <c r="DY4" s="6">
        <v>0.4</v>
      </c>
      <c r="DZ4" s="6">
        <v>0.7</v>
      </c>
      <c r="EA4" s="6">
        <v>0.7</v>
      </c>
      <c r="EB4" s="6">
        <v>0.9</v>
      </c>
      <c r="EC4" s="6">
        <v>0.9</v>
      </c>
      <c r="ED4" s="6">
        <v>0.4</v>
      </c>
      <c r="EE4" s="6">
        <v>0.4</v>
      </c>
      <c r="EF4" s="6">
        <v>0.7</v>
      </c>
      <c r="EG4" s="6">
        <v>0.7</v>
      </c>
      <c r="EH4" s="6">
        <v>0.9</v>
      </c>
      <c r="EI4" s="6">
        <v>0.9</v>
      </c>
      <c r="EJ4" s="6">
        <v>0.4</v>
      </c>
      <c r="EK4" s="6">
        <v>0.4</v>
      </c>
      <c r="EL4" s="6">
        <v>0.7</v>
      </c>
      <c r="EM4" s="6">
        <v>0.7</v>
      </c>
      <c r="EN4" s="6">
        <v>0.9</v>
      </c>
      <c r="EO4" s="6">
        <v>0.9</v>
      </c>
      <c r="EP4" s="7">
        <v>0.4</v>
      </c>
      <c r="EQ4" s="7">
        <v>0.4</v>
      </c>
      <c r="ER4" s="7">
        <v>0.7</v>
      </c>
      <c r="ES4" s="7">
        <v>0.7</v>
      </c>
      <c r="ET4" s="7">
        <v>0.9</v>
      </c>
      <c r="EU4" s="7">
        <v>0.9</v>
      </c>
      <c r="EV4" s="7">
        <v>0.4</v>
      </c>
      <c r="EW4" s="7">
        <v>0.4</v>
      </c>
      <c r="EX4" s="7">
        <v>0.7</v>
      </c>
      <c r="EY4" s="7">
        <v>0.7</v>
      </c>
      <c r="EZ4" s="7">
        <v>0.9</v>
      </c>
      <c r="FA4" s="7">
        <v>0.9</v>
      </c>
      <c r="FB4" s="7">
        <v>0.4</v>
      </c>
      <c r="FC4" s="7">
        <v>0.4</v>
      </c>
      <c r="FD4" s="7">
        <v>0.7</v>
      </c>
      <c r="FE4" s="7">
        <v>0.7</v>
      </c>
      <c r="FF4" s="7">
        <v>0.9</v>
      </c>
      <c r="FG4" s="7">
        <v>0.9</v>
      </c>
      <c r="FH4" s="7">
        <v>0.4</v>
      </c>
      <c r="FI4" s="7">
        <v>0.4</v>
      </c>
      <c r="FJ4" s="7">
        <v>0.7</v>
      </c>
      <c r="FK4" s="7">
        <v>0.7</v>
      </c>
      <c r="FL4" s="7">
        <v>0.9</v>
      </c>
      <c r="FM4" s="7">
        <v>0.9</v>
      </c>
      <c r="FN4" s="7">
        <v>0.4</v>
      </c>
      <c r="FO4" s="7">
        <v>0.4</v>
      </c>
      <c r="FP4" s="7">
        <v>0.7</v>
      </c>
      <c r="FQ4" s="7">
        <v>0.7</v>
      </c>
      <c r="FR4" s="7">
        <v>0.9</v>
      </c>
      <c r="FS4" s="7">
        <v>0.9</v>
      </c>
      <c r="FT4" s="7">
        <v>0.4</v>
      </c>
      <c r="FU4" s="7">
        <v>0.4</v>
      </c>
      <c r="FV4" s="7">
        <v>0.7</v>
      </c>
      <c r="FW4" s="7">
        <v>0.7</v>
      </c>
      <c r="FX4" s="7">
        <v>0.9</v>
      </c>
      <c r="FY4" s="7">
        <v>0.9</v>
      </c>
      <c r="FZ4" s="7">
        <v>0.4</v>
      </c>
      <c r="GA4" s="7">
        <v>0.4</v>
      </c>
      <c r="GB4" s="7">
        <v>0.7</v>
      </c>
      <c r="GC4" s="7">
        <v>0.7</v>
      </c>
      <c r="GD4" s="7">
        <v>0.9</v>
      </c>
      <c r="GE4" s="7">
        <v>0.9</v>
      </c>
      <c r="GF4" s="7">
        <v>0.4</v>
      </c>
      <c r="GG4" s="7">
        <v>0.4</v>
      </c>
      <c r="GH4" s="7">
        <v>0.7</v>
      </c>
      <c r="GI4" s="7">
        <v>0.7</v>
      </c>
      <c r="GJ4" s="7">
        <v>0.9</v>
      </c>
      <c r="GK4" s="7">
        <v>0.9</v>
      </c>
      <c r="GL4" s="7">
        <v>0.4</v>
      </c>
      <c r="GM4" s="7">
        <v>0.4</v>
      </c>
      <c r="GN4" s="7">
        <v>0.7</v>
      </c>
      <c r="GO4" s="7">
        <v>0.7</v>
      </c>
      <c r="GP4" s="7">
        <v>0.9</v>
      </c>
      <c r="GQ4" s="7">
        <v>0.9</v>
      </c>
      <c r="GR4" s="7">
        <v>0.4</v>
      </c>
      <c r="GS4" s="7">
        <v>0.4</v>
      </c>
      <c r="GT4" s="7">
        <v>0.7</v>
      </c>
      <c r="GU4" s="7">
        <v>0.7</v>
      </c>
      <c r="GV4" s="7">
        <v>0.9</v>
      </c>
      <c r="GW4" s="7">
        <v>0.9</v>
      </c>
      <c r="GX4" s="7">
        <v>0.4</v>
      </c>
      <c r="GY4" s="7">
        <v>0.4</v>
      </c>
      <c r="GZ4" s="7">
        <v>0.7</v>
      </c>
      <c r="HA4" s="7">
        <v>0.7</v>
      </c>
      <c r="HB4" s="7">
        <v>0.9</v>
      </c>
      <c r="HC4" s="7">
        <v>0.9</v>
      </c>
      <c r="HD4" s="7">
        <v>0.4</v>
      </c>
      <c r="HE4" s="7">
        <v>0.4</v>
      </c>
      <c r="HF4" s="7">
        <v>0.7</v>
      </c>
      <c r="HG4" s="7">
        <v>0.7</v>
      </c>
      <c r="HH4" s="7">
        <v>0.9</v>
      </c>
      <c r="HI4" s="7">
        <v>0.9</v>
      </c>
      <c r="HJ4" s="8">
        <v>0.4</v>
      </c>
      <c r="HK4" s="8">
        <v>0.4</v>
      </c>
      <c r="HL4" s="8">
        <v>0.7</v>
      </c>
      <c r="HM4" s="8">
        <v>0.7</v>
      </c>
      <c r="HN4" s="8">
        <v>0.9</v>
      </c>
      <c r="HO4" s="8">
        <v>0.9</v>
      </c>
      <c r="HP4" s="8">
        <v>0.4</v>
      </c>
      <c r="HQ4" s="8">
        <v>0.4</v>
      </c>
      <c r="HR4" s="8">
        <v>0.7</v>
      </c>
      <c r="HS4" s="8">
        <v>0.7</v>
      </c>
      <c r="HT4" s="8">
        <v>0.9</v>
      </c>
      <c r="HU4" s="8">
        <v>0.9</v>
      </c>
      <c r="HV4" s="8">
        <v>0.4</v>
      </c>
      <c r="HW4" s="8">
        <v>0.4</v>
      </c>
      <c r="HX4" s="8">
        <v>0.7</v>
      </c>
      <c r="HY4" s="8">
        <v>0.7</v>
      </c>
      <c r="HZ4" s="8">
        <v>0.9</v>
      </c>
      <c r="IA4" s="8">
        <v>0.9</v>
      </c>
      <c r="IB4" s="8">
        <v>0.4</v>
      </c>
      <c r="IC4" s="8">
        <v>0.4</v>
      </c>
      <c r="ID4" s="8">
        <v>0.7</v>
      </c>
      <c r="IE4" s="8">
        <v>0.7</v>
      </c>
      <c r="IF4" s="8">
        <v>0.9</v>
      </c>
      <c r="IG4" s="8">
        <v>0.9</v>
      </c>
      <c r="IH4" s="8">
        <v>0.4</v>
      </c>
      <c r="II4" s="8">
        <v>0.4</v>
      </c>
      <c r="IJ4" s="8">
        <v>0.7</v>
      </c>
      <c r="IK4" s="8">
        <v>0.7</v>
      </c>
      <c r="IL4" s="8">
        <v>0.9</v>
      </c>
      <c r="IM4" s="8">
        <v>0.9</v>
      </c>
      <c r="IN4" s="8">
        <v>0.4</v>
      </c>
      <c r="IO4" s="8">
        <v>0.4</v>
      </c>
      <c r="IP4" s="8">
        <v>0.7</v>
      </c>
      <c r="IQ4" s="8">
        <v>0.7</v>
      </c>
      <c r="IR4" s="8">
        <v>0.9</v>
      </c>
      <c r="IS4" s="8">
        <v>0.9</v>
      </c>
      <c r="IT4" s="8">
        <v>0.4</v>
      </c>
      <c r="IU4" s="8">
        <v>0.4</v>
      </c>
      <c r="IV4" s="8">
        <v>0.7</v>
      </c>
      <c r="IW4" s="8">
        <v>0.7</v>
      </c>
      <c r="IX4" s="8">
        <v>0.9</v>
      </c>
      <c r="IY4" s="8">
        <v>0.9</v>
      </c>
      <c r="IZ4" s="8">
        <v>0.4</v>
      </c>
      <c r="JA4" s="8">
        <v>0.4</v>
      </c>
      <c r="JB4" s="8">
        <v>0.7</v>
      </c>
      <c r="JC4" s="8">
        <v>0.7</v>
      </c>
      <c r="JD4" s="8">
        <v>0.9</v>
      </c>
      <c r="JE4" s="8">
        <v>0.9</v>
      </c>
      <c r="JF4" s="8">
        <v>0.4</v>
      </c>
      <c r="JG4" s="8">
        <v>0.4</v>
      </c>
      <c r="JH4" s="8">
        <v>0.7</v>
      </c>
      <c r="JI4" s="8">
        <v>0.7</v>
      </c>
      <c r="JJ4" s="8">
        <v>0.9</v>
      </c>
      <c r="JK4" s="8">
        <v>0.9</v>
      </c>
      <c r="JL4" s="8">
        <v>0.4</v>
      </c>
      <c r="JM4" s="8">
        <v>0.4</v>
      </c>
      <c r="JN4" s="8">
        <v>0.7</v>
      </c>
      <c r="JO4" s="8">
        <v>0.7</v>
      </c>
      <c r="JP4" s="8">
        <v>0.9</v>
      </c>
      <c r="JQ4" s="8">
        <v>0.9</v>
      </c>
      <c r="JR4" s="8">
        <v>0.4</v>
      </c>
      <c r="JS4" s="8">
        <v>0.4</v>
      </c>
      <c r="JT4" s="8">
        <v>0.7</v>
      </c>
      <c r="JU4" s="8">
        <v>0.7</v>
      </c>
      <c r="JV4" s="8">
        <v>0.9</v>
      </c>
      <c r="JW4" s="8">
        <v>0.9</v>
      </c>
      <c r="JX4" s="8">
        <v>0.4</v>
      </c>
      <c r="JY4" s="8">
        <v>0.4</v>
      </c>
      <c r="JZ4" s="8">
        <v>0.7</v>
      </c>
      <c r="KA4" s="8">
        <v>0.7</v>
      </c>
      <c r="KB4" s="8">
        <v>0.9</v>
      </c>
      <c r="KC4" s="8">
        <v>0.9</v>
      </c>
      <c r="KD4" s="9">
        <v>0.4</v>
      </c>
      <c r="KE4" s="9">
        <v>0.4</v>
      </c>
      <c r="KF4" s="9">
        <v>0.7</v>
      </c>
      <c r="KG4" s="9">
        <v>0.7</v>
      </c>
      <c r="KH4" s="9">
        <v>0.9</v>
      </c>
      <c r="KI4" s="9">
        <v>0.9</v>
      </c>
      <c r="KJ4" s="9">
        <v>0.4</v>
      </c>
      <c r="KK4" s="9">
        <v>0.4</v>
      </c>
      <c r="KL4" s="9">
        <v>0.7</v>
      </c>
      <c r="KM4" s="9">
        <v>0.7</v>
      </c>
      <c r="KN4" s="9">
        <v>0.9</v>
      </c>
      <c r="KO4" s="9">
        <v>0.9</v>
      </c>
      <c r="KP4" s="9">
        <v>0.4</v>
      </c>
      <c r="KQ4" s="9">
        <v>0.4</v>
      </c>
      <c r="KR4" s="9">
        <v>0.7</v>
      </c>
      <c r="KS4" s="9">
        <v>0.7</v>
      </c>
      <c r="KT4" s="9">
        <v>0.9</v>
      </c>
      <c r="KU4" s="9">
        <v>0.9</v>
      </c>
      <c r="KV4" s="9">
        <v>0.4</v>
      </c>
      <c r="KW4" s="9">
        <v>0.4</v>
      </c>
      <c r="KX4" s="9">
        <v>0.7</v>
      </c>
      <c r="KY4" s="9">
        <v>0.7</v>
      </c>
      <c r="KZ4" s="9">
        <v>0.9</v>
      </c>
      <c r="LA4" s="9">
        <v>0.9</v>
      </c>
      <c r="LB4" s="9">
        <v>0.4</v>
      </c>
      <c r="LC4" s="9">
        <v>0.4</v>
      </c>
      <c r="LD4" s="9">
        <v>0.7</v>
      </c>
      <c r="LE4" s="9">
        <v>0.7</v>
      </c>
      <c r="LF4" s="9">
        <v>0.9</v>
      </c>
      <c r="LG4" s="9">
        <v>0.9</v>
      </c>
      <c r="LH4" s="9">
        <v>0.4</v>
      </c>
      <c r="LI4" s="9">
        <v>0.4</v>
      </c>
      <c r="LJ4" s="9">
        <v>0.7</v>
      </c>
      <c r="LK4" s="9">
        <v>0.7</v>
      </c>
      <c r="LL4" s="9">
        <v>0.9</v>
      </c>
      <c r="LM4" s="9">
        <v>0.9</v>
      </c>
      <c r="LN4" s="9">
        <v>0.4</v>
      </c>
      <c r="LO4" s="9">
        <v>0.4</v>
      </c>
      <c r="LP4" s="9">
        <v>0.7</v>
      </c>
      <c r="LQ4" s="9">
        <v>0.7</v>
      </c>
      <c r="LR4" s="9">
        <v>0.9</v>
      </c>
      <c r="LS4" s="9">
        <v>0.9</v>
      </c>
      <c r="LT4" s="9">
        <v>0.4</v>
      </c>
      <c r="LU4" s="9">
        <v>0.4</v>
      </c>
      <c r="LV4" s="9">
        <v>0.7</v>
      </c>
      <c r="LW4" s="9">
        <v>0.7</v>
      </c>
      <c r="LX4" s="9">
        <v>0.9</v>
      </c>
      <c r="LY4" s="9">
        <v>0.9</v>
      </c>
      <c r="LZ4" s="9">
        <v>0.4</v>
      </c>
      <c r="MA4" s="9">
        <v>0.4</v>
      </c>
      <c r="MB4" s="9">
        <v>0.7</v>
      </c>
      <c r="MC4" s="9">
        <v>0.7</v>
      </c>
      <c r="MD4" s="9">
        <v>0.9</v>
      </c>
      <c r="ME4" s="9">
        <v>0.9</v>
      </c>
      <c r="MF4" s="9">
        <v>0.4</v>
      </c>
      <c r="MG4" s="9">
        <v>0.4</v>
      </c>
      <c r="MH4" s="9">
        <v>0.7</v>
      </c>
      <c r="MI4" s="9">
        <v>0.7</v>
      </c>
      <c r="MJ4" s="9">
        <v>0.9</v>
      </c>
      <c r="MK4" s="9">
        <v>0.9</v>
      </c>
      <c r="ML4" s="9">
        <v>0.4</v>
      </c>
      <c r="MM4" s="9">
        <v>0.4</v>
      </c>
      <c r="MN4" s="9">
        <v>0.7</v>
      </c>
      <c r="MO4" s="9">
        <v>0.7</v>
      </c>
      <c r="MP4" s="9">
        <v>0.9</v>
      </c>
      <c r="MQ4" s="9">
        <v>0.9</v>
      </c>
      <c r="MR4" s="9">
        <v>0.4</v>
      </c>
      <c r="MS4" s="9">
        <v>0.4</v>
      </c>
      <c r="MT4" s="9">
        <v>0.7</v>
      </c>
      <c r="MU4" s="9">
        <v>0.7</v>
      </c>
      <c r="MV4" s="9">
        <v>0.9</v>
      </c>
      <c r="MW4" s="9">
        <v>0.9</v>
      </c>
    </row>
    <row r="5" spans="1:363" s="1" customFormat="1" x14ac:dyDescent="0.3">
      <c r="A5" s="4"/>
      <c r="B5" s="5" t="s">
        <v>2</v>
      </c>
      <c r="C5" s="5" t="s">
        <v>3</v>
      </c>
      <c r="D5" s="5" t="s">
        <v>2</v>
      </c>
      <c r="E5" s="5" t="s">
        <v>3</v>
      </c>
      <c r="F5" s="5" t="s">
        <v>2</v>
      </c>
      <c r="G5" s="5" t="s">
        <v>3</v>
      </c>
      <c r="H5" s="5" t="s">
        <v>2</v>
      </c>
      <c r="I5" s="5" t="s">
        <v>3</v>
      </c>
      <c r="J5" s="5" t="s">
        <v>2</v>
      </c>
      <c r="K5" s="5" t="s">
        <v>3</v>
      </c>
      <c r="L5" s="5" t="s">
        <v>2</v>
      </c>
      <c r="M5" s="5" t="s">
        <v>3</v>
      </c>
      <c r="N5" s="5" t="s">
        <v>2</v>
      </c>
      <c r="O5" s="5" t="s">
        <v>3</v>
      </c>
      <c r="P5" s="5" t="s">
        <v>2</v>
      </c>
      <c r="Q5" s="5" t="s">
        <v>3</v>
      </c>
      <c r="R5" s="5" t="s">
        <v>2</v>
      </c>
      <c r="S5" s="5" t="s">
        <v>3</v>
      </c>
      <c r="T5" s="5" t="s">
        <v>2</v>
      </c>
      <c r="U5" s="5" t="s">
        <v>3</v>
      </c>
      <c r="V5" s="5" t="s">
        <v>2</v>
      </c>
      <c r="W5" s="5" t="s">
        <v>3</v>
      </c>
      <c r="X5" s="5" t="s">
        <v>2</v>
      </c>
      <c r="Y5" s="5" t="s">
        <v>3</v>
      </c>
      <c r="Z5" s="5" t="s">
        <v>2</v>
      </c>
      <c r="AA5" s="5" t="s">
        <v>3</v>
      </c>
      <c r="AB5" s="5" t="s">
        <v>2</v>
      </c>
      <c r="AC5" s="5" t="s">
        <v>3</v>
      </c>
      <c r="AD5" s="5" t="s">
        <v>2</v>
      </c>
      <c r="AE5" s="5" t="s">
        <v>3</v>
      </c>
      <c r="AF5" s="5" t="s">
        <v>2</v>
      </c>
      <c r="AG5" s="5" t="s">
        <v>3</v>
      </c>
      <c r="AH5" s="5" t="s">
        <v>2</v>
      </c>
      <c r="AI5" s="5" t="s">
        <v>3</v>
      </c>
      <c r="AJ5" s="5" t="s">
        <v>2</v>
      </c>
      <c r="AK5" s="5" t="s">
        <v>3</v>
      </c>
      <c r="AL5" s="5" t="s">
        <v>2</v>
      </c>
      <c r="AM5" s="5" t="s">
        <v>3</v>
      </c>
      <c r="AN5" s="5" t="s">
        <v>2</v>
      </c>
      <c r="AO5" s="5" t="s">
        <v>3</v>
      </c>
      <c r="AP5" s="5" t="s">
        <v>2</v>
      </c>
      <c r="AQ5" s="5" t="s">
        <v>3</v>
      </c>
      <c r="AR5" s="5" t="s">
        <v>2</v>
      </c>
      <c r="AS5" s="5" t="s">
        <v>3</v>
      </c>
      <c r="AT5" s="5" t="s">
        <v>2</v>
      </c>
      <c r="AU5" s="5" t="s">
        <v>3</v>
      </c>
      <c r="AV5" s="5" t="s">
        <v>2</v>
      </c>
      <c r="AW5" s="5" t="s">
        <v>3</v>
      </c>
      <c r="AX5" s="5" t="s">
        <v>2</v>
      </c>
      <c r="AY5" s="5" t="s">
        <v>3</v>
      </c>
      <c r="AZ5" s="5" t="s">
        <v>2</v>
      </c>
      <c r="BA5" s="5" t="s">
        <v>3</v>
      </c>
      <c r="BB5" s="5" t="s">
        <v>2</v>
      </c>
      <c r="BC5" s="5" t="s">
        <v>3</v>
      </c>
      <c r="BD5" s="5" t="s">
        <v>2</v>
      </c>
      <c r="BE5" s="5" t="s">
        <v>3</v>
      </c>
      <c r="BF5" s="5" t="s">
        <v>2</v>
      </c>
      <c r="BG5" s="5" t="s">
        <v>3</v>
      </c>
      <c r="BH5" s="5" t="s">
        <v>2</v>
      </c>
      <c r="BI5" s="5" t="s">
        <v>3</v>
      </c>
      <c r="BJ5" s="5" t="s">
        <v>2</v>
      </c>
      <c r="BK5" s="5" t="s">
        <v>3</v>
      </c>
      <c r="BL5" s="5" t="s">
        <v>2</v>
      </c>
      <c r="BM5" s="5" t="s">
        <v>3</v>
      </c>
      <c r="BN5" s="5" t="s">
        <v>2</v>
      </c>
      <c r="BO5" s="5" t="s">
        <v>3</v>
      </c>
      <c r="BP5" s="5" t="s">
        <v>2</v>
      </c>
      <c r="BQ5" s="5" t="s">
        <v>3</v>
      </c>
      <c r="BR5" s="5" t="s">
        <v>2</v>
      </c>
      <c r="BS5" s="5" t="s">
        <v>3</v>
      </c>
      <c r="BT5" s="5" t="s">
        <v>2</v>
      </c>
      <c r="BU5" s="5" t="s">
        <v>3</v>
      </c>
      <c r="BV5" s="6" t="s">
        <v>2</v>
      </c>
      <c r="BW5" s="6" t="s">
        <v>3</v>
      </c>
      <c r="BX5" s="6" t="s">
        <v>2</v>
      </c>
      <c r="BY5" s="6" t="s">
        <v>3</v>
      </c>
      <c r="BZ5" s="6" t="s">
        <v>2</v>
      </c>
      <c r="CA5" s="6" t="s">
        <v>3</v>
      </c>
      <c r="CB5" s="6" t="s">
        <v>2</v>
      </c>
      <c r="CC5" s="6" t="s">
        <v>3</v>
      </c>
      <c r="CD5" s="6" t="s">
        <v>2</v>
      </c>
      <c r="CE5" s="6" t="s">
        <v>3</v>
      </c>
      <c r="CF5" s="6" t="s">
        <v>2</v>
      </c>
      <c r="CG5" s="6" t="s">
        <v>3</v>
      </c>
      <c r="CH5" s="6" t="s">
        <v>2</v>
      </c>
      <c r="CI5" s="6" t="s">
        <v>3</v>
      </c>
      <c r="CJ5" s="6" t="s">
        <v>2</v>
      </c>
      <c r="CK5" s="6" t="s">
        <v>3</v>
      </c>
      <c r="CL5" s="6" t="s">
        <v>2</v>
      </c>
      <c r="CM5" s="6" t="s">
        <v>3</v>
      </c>
      <c r="CN5" s="6" t="s">
        <v>2</v>
      </c>
      <c r="CO5" s="6" t="s">
        <v>3</v>
      </c>
      <c r="CP5" s="6" t="s">
        <v>2</v>
      </c>
      <c r="CQ5" s="6" t="s">
        <v>3</v>
      </c>
      <c r="CR5" s="6" t="s">
        <v>2</v>
      </c>
      <c r="CS5" s="6" t="s">
        <v>3</v>
      </c>
      <c r="CT5" s="6" t="s">
        <v>2</v>
      </c>
      <c r="CU5" s="6" t="s">
        <v>3</v>
      </c>
      <c r="CV5" s="6" t="s">
        <v>2</v>
      </c>
      <c r="CW5" s="6" t="s">
        <v>3</v>
      </c>
      <c r="CX5" s="6" t="s">
        <v>2</v>
      </c>
      <c r="CY5" s="6" t="s">
        <v>3</v>
      </c>
      <c r="CZ5" s="6" t="s">
        <v>2</v>
      </c>
      <c r="DA5" s="6" t="s">
        <v>3</v>
      </c>
      <c r="DB5" s="6" t="s">
        <v>2</v>
      </c>
      <c r="DC5" s="6" t="s">
        <v>3</v>
      </c>
      <c r="DD5" s="6" t="s">
        <v>2</v>
      </c>
      <c r="DE5" s="6" t="s">
        <v>3</v>
      </c>
      <c r="DF5" s="6" t="s">
        <v>2</v>
      </c>
      <c r="DG5" s="6" t="s">
        <v>3</v>
      </c>
      <c r="DH5" s="6" t="s">
        <v>2</v>
      </c>
      <c r="DI5" s="6" t="s">
        <v>3</v>
      </c>
      <c r="DJ5" s="6" t="s">
        <v>2</v>
      </c>
      <c r="DK5" s="6" t="s">
        <v>3</v>
      </c>
      <c r="DL5" s="6" t="s">
        <v>2</v>
      </c>
      <c r="DM5" s="6" t="s">
        <v>3</v>
      </c>
      <c r="DN5" s="6" t="s">
        <v>2</v>
      </c>
      <c r="DO5" s="6" t="s">
        <v>3</v>
      </c>
      <c r="DP5" s="6" t="s">
        <v>2</v>
      </c>
      <c r="DQ5" s="6" t="s">
        <v>3</v>
      </c>
      <c r="DR5" s="6" t="s">
        <v>2</v>
      </c>
      <c r="DS5" s="6" t="s">
        <v>3</v>
      </c>
      <c r="DT5" s="6" t="s">
        <v>2</v>
      </c>
      <c r="DU5" s="6" t="s">
        <v>3</v>
      </c>
      <c r="DV5" s="6" t="s">
        <v>2</v>
      </c>
      <c r="DW5" s="6" t="s">
        <v>3</v>
      </c>
      <c r="DX5" s="6" t="s">
        <v>2</v>
      </c>
      <c r="DY5" s="6" t="s">
        <v>3</v>
      </c>
      <c r="DZ5" s="6" t="s">
        <v>2</v>
      </c>
      <c r="EA5" s="6" t="s">
        <v>3</v>
      </c>
      <c r="EB5" s="6" t="s">
        <v>2</v>
      </c>
      <c r="EC5" s="6" t="s">
        <v>3</v>
      </c>
      <c r="ED5" s="6" t="s">
        <v>2</v>
      </c>
      <c r="EE5" s="6" t="s">
        <v>3</v>
      </c>
      <c r="EF5" s="6" t="s">
        <v>2</v>
      </c>
      <c r="EG5" s="6" t="s">
        <v>3</v>
      </c>
      <c r="EH5" s="6" t="s">
        <v>2</v>
      </c>
      <c r="EI5" s="6" t="s">
        <v>3</v>
      </c>
      <c r="EJ5" s="6" t="s">
        <v>2</v>
      </c>
      <c r="EK5" s="6" t="s">
        <v>3</v>
      </c>
      <c r="EL5" s="6" t="s">
        <v>2</v>
      </c>
      <c r="EM5" s="6" t="s">
        <v>3</v>
      </c>
      <c r="EN5" s="6" t="s">
        <v>2</v>
      </c>
      <c r="EO5" s="6" t="s">
        <v>3</v>
      </c>
      <c r="EP5" s="7" t="s">
        <v>2</v>
      </c>
      <c r="EQ5" s="7" t="s">
        <v>3</v>
      </c>
      <c r="ER5" s="7" t="s">
        <v>2</v>
      </c>
      <c r="ES5" s="7" t="s">
        <v>3</v>
      </c>
      <c r="ET5" s="7" t="s">
        <v>2</v>
      </c>
      <c r="EU5" s="7" t="s">
        <v>3</v>
      </c>
      <c r="EV5" s="7" t="s">
        <v>2</v>
      </c>
      <c r="EW5" s="7" t="s">
        <v>3</v>
      </c>
      <c r="EX5" s="7" t="s">
        <v>2</v>
      </c>
      <c r="EY5" s="7" t="s">
        <v>3</v>
      </c>
      <c r="EZ5" s="7" t="s">
        <v>2</v>
      </c>
      <c r="FA5" s="7" t="s">
        <v>3</v>
      </c>
      <c r="FB5" s="7" t="s">
        <v>2</v>
      </c>
      <c r="FC5" s="7" t="s">
        <v>3</v>
      </c>
      <c r="FD5" s="7" t="s">
        <v>2</v>
      </c>
      <c r="FE5" s="7" t="s">
        <v>3</v>
      </c>
      <c r="FF5" s="7" t="s">
        <v>2</v>
      </c>
      <c r="FG5" s="7" t="s">
        <v>3</v>
      </c>
      <c r="FH5" s="7" t="s">
        <v>2</v>
      </c>
      <c r="FI5" s="7" t="s">
        <v>3</v>
      </c>
      <c r="FJ5" s="7" t="s">
        <v>2</v>
      </c>
      <c r="FK5" s="7" t="s">
        <v>3</v>
      </c>
      <c r="FL5" s="7" t="s">
        <v>2</v>
      </c>
      <c r="FM5" s="7" t="s">
        <v>3</v>
      </c>
      <c r="FN5" s="7" t="s">
        <v>2</v>
      </c>
      <c r="FO5" s="7" t="s">
        <v>3</v>
      </c>
      <c r="FP5" s="7" t="s">
        <v>2</v>
      </c>
      <c r="FQ5" s="7" t="s">
        <v>3</v>
      </c>
      <c r="FR5" s="7" t="s">
        <v>2</v>
      </c>
      <c r="FS5" s="7" t="s">
        <v>3</v>
      </c>
      <c r="FT5" s="7" t="s">
        <v>2</v>
      </c>
      <c r="FU5" s="7" t="s">
        <v>3</v>
      </c>
      <c r="FV5" s="7" t="s">
        <v>2</v>
      </c>
      <c r="FW5" s="7" t="s">
        <v>3</v>
      </c>
      <c r="FX5" s="7" t="s">
        <v>2</v>
      </c>
      <c r="FY5" s="7" t="s">
        <v>3</v>
      </c>
      <c r="FZ5" s="7" t="s">
        <v>2</v>
      </c>
      <c r="GA5" s="7" t="s">
        <v>3</v>
      </c>
      <c r="GB5" s="7" t="s">
        <v>2</v>
      </c>
      <c r="GC5" s="7" t="s">
        <v>3</v>
      </c>
      <c r="GD5" s="7" t="s">
        <v>2</v>
      </c>
      <c r="GE5" s="7" t="s">
        <v>3</v>
      </c>
      <c r="GF5" s="7" t="s">
        <v>2</v>
      </c>
      <c r="GG5" s="7" t="s">
        <v>3</v>
      </c>
      <c r="GH5" s="7" t="s">
        <v>2</v>
      </c>
      <c r="GI5" s="7" t="s">
        <v>3</v>
      </c>
      <c r="GJ5" s="7" t="s">
        <v>2</v>
      </c>
      <c r="GK5" s="7" t="s">
        <v>3</v>
      </c>
      <c r="GL5" s="7" t="s">
        <v>2</v>
      </c>
      <c r="GM5" s="7" t="s">
        <v>3</v>
      </c>
      <c r="GN5" s="7" t="s">
        <v>2</v>
      </c>
      <c r="GO5" s="7" t="s">
        <v>3</v>
      </c>
      <c r="GP5" s="7" t="s">
        <v>2</v>
      </c>
      <c r="GQ5" s="7" t="s">
        <v>3</v>
      </c>
      <c r="GR5" s="7" t="s">
        <v>2</v>
      </c>
      <c r="GS5" s="7" t="s">
        <v>3</v>
      </c>
      <c r="GT5" s="7" t="s">
        <v>2</v>
      </c>
      <c r="GU5" s="7" t="s">
        <v>3</v>
      </c>
      <c r="GV5" s="7" t="s">
        <v>2</v>
      </c>
      <c r="GW5" s="7" t="s">
        <v>3</v>
      </c>
      <c r="GX5" s="7" t="s">
        <v>2</v>
      </c>
      <c r="GY5" s="7" t="s">
        <v>3</v>
      </c>
      <c r="GZ5" s="7" t="s">
        <v>2</v>
      </c>
      <c r="HA5" s="7" t="s">
        <v>3</v>
      </c>
      <c r="HB5" s="7" t="s">
        <v>2</v>
      </c>
      <c r="HC5" s="7" t="s">
        <v>3</v>
      </c>
      <c r="HD5" s="7" t="s">
        <v>2</v>
      </c>
      <c r="HE5" s="7" t="s">
        <v>3</v>
      </c>
      <c r="HF5" s="7" t="s">
        <v>2</v>
      </c>
      <c r="HG5" s="7" t="s">
        <v>3</v>
      </c>
      <c r="HH5" s="7" t="s">
        <v>2</v>
      </c>
      <c r="HI5" s="7" t="s">
        <v>3</v>
      </c>
      <c r="HJ5" s="8" t="s">
        <v>2</v>
      </c>
      <c r="HK5" s="8" t="s">
        <v>3</v>
      </c>
      <c r="HL5" s="8" t="s">
        <v>2</v>
      </c>
      <c r="HM5" s="8" t="s">
        <v>3</v>
      </c>
      <c r="HN5" s="8" t="s">
        <v>2</v>
      </c>
      <c r="HO5" s="8" t="s">
        <v>3</v>
      </c>
      <c r="HP5" s="8" t="s">
        <v>2</v>
      </c>
      <c r="HQ5" s="8" t="s">
        <v>3</v>
      </c>
      <c r="HR5" s="8" t="s">
        <v>2</v>
      </c>
      <c r="HS5" s="8" t="s">
        <v>3</v>
      </c>
      <c r="HT5" s="8" t="s">
        <v>2</v>
      </c>
      <c r="HU5" s="8" t="s">
        <v>3</v>
      </c>
      <c r="HV5" s="8" t="s">
        <v>2</v>
      </c>
      <c r="HW5" s="8" t="s">
        <v>3</v>
      </c>
      <c r="HX5" s="8" t="s">
        <v>2</v>
      </c>
      <c r="HY5" s="8" t="s">
        <v>3</v>
      </c>
      <c r="HZ5" s="8" t="s">
        <v>2</v>
      </c>
      <c r="IA5" s="8" t="s">
        <v>3</v>
      </c>
      <c r="IB5" s="8" t="s">
        <v>2</v>
      </c>
      <c r="IC5" s="8" t="s">
        <v>3</v>
      </c>
      <c r="ID5" s="8" t="s">
        <v>2</v>
      </c>
      <c r="IE5" s="8" t="s">
        <v>3</v>
      </c>
      <c r="IF5" s="8" t="s">
        <v>2</v>
      </c>
      <c r="IG5" s="8" t="s">
        <v>3</v>
      </c>
      <c r="IH5" s="8" t="s">
        <v>2</v>
      </c>
      <c r="II5" s="8" t="s">
        <v>3</v>
      </c>
      <c r="IJ5" s="8" t="s">
        <v>2</v>
      </c>
      <c r="IK5" s="8" t="s">
        <v>3</v>
      </c>
      <c r="IL5" s="8" t="s">
        <v>2</v>
      </c>
      <c r="IM5" s="8" t="s">
        <v>3</v>
      </c>
      <c r="IN5" s="8" t="s">
        <v>2</v>
      </c>
      <c r="IO5" s="8" t="s">
        <v>3</v>
      </c>
      <c r="IP5" s="8" t="s">
        <v>2</v>
      </c>
      <c r="IQ5" s="8" t="s">
        <v>3</v>
      </c>
      <c r="IR5" s="8" t="s">
        <v>2</v>
      </c>
      <c r="IS5" s="8" t="s">
        <v>3</v>
      </c>
      <c r="IT5" s="8" t="s">
        <v>2</v>
      </c>
      <c r="IU5" s="8" t="s">
        <v>3</v>
      </c>
      <c r="IV5" s="8" t="s">
        <v>2</v>
      </c>
      <c r="IW5" s="8" t="s">
        <v>3</v>
      </c>
      <c r="IX5" s="8" t="s">
        <v>2</v>
      </c>
      <c r="IY5" s="8" t="s">
        <v>3</v>
      </c>
      <c r="IZ5" s="8" t="s">
        <v>2</v>
      </c>
      <c r="JA5" s="8" t="s">
        <v>3</v>
      </c>
      <c r="JB5" s="8" t="s">
        <v>2</v>
      </c>
      <c r="JC5" s="8" t="s">
        <v>3</v>
      </c>
      <c r="JD5" s="8" t="s">
        <v>2</v>
      </c>
      <c r="JE5" s="8" t="s">
        <v>3</v>
      </c>
      <c r="JF5" s="8" t="s">
        <v>2</v>
      </c>
      <c r="JG5" s="8" t="s">
        <v>3</v>
      </c>
      <c r="JH5" s="8" t="s">
        <v>2</v>
      </c>
      <c r="JI5" s="8" t="s">
        <v>3</v>
      </c>
      <c r="JJ5" s="8" t="s">
        <v>2</v>
      </c>
      <c r="JK5" s="8" t="s">
        <v>3</v>
      </c>
      <c r="JL5" s="8" t="s">
        <v>2</v>
      </c>
      <c r="JM5" s="8" t="s">
        <v>3</v>
      </c>
      <c r="JN5" s="8" t="s">
        <v>2</v>
      </c>
      <c r="JO5" s="8" t="s">
        <v>3</v>
      </c>
      <c r="JP5" s="8" t="s">
        <v>2</v>
      </c>
      <c r="JQ5" s="8" t="s">
        <v>3</v>
      </c>
      <c r="JR5" s="8" t="s">
        <v>2</v>
      </c>
      <c r="JS5" s="8" t="s">
        <v>3</v>
      </c>
      <c r="JT5" s="8" t="s">
        <v>2</v>
      </c>
      <c r="JU5" s="8" t="s">
        <v>3</v>
      </c>
      <c r="JV5" s="8" t="s">
        <v>2</v>
      </c>
      <c r="JW5" s="8" t="s">
        <v>3</v>
      </c>
      <c r="JX5" s="8" t="s">
        <v>2</v>
      </c>
      <c r="JY5" s="8" t="s">
        <v>3</v>
      </c>
      <c r="JZ5" s="8" t="s">
        <v>2</v>
      </c>
      <c r="KA5" s="8" t="s">
        <v>3</v>
      </c>
      <c r="KB5" s="8" t="s">
        <v>2</v>
      </c>
      <c r="KC5" s="8" t="s">
        <v>3</v>
      </c>
      <c r="KD5" s="9" t="s">
        <v>2</v>
      </c>
      <c r="KE5" s="9" t="s">
        <v>3</v>
      </c>
      <c r="KF5" s="9" t="s">
        <v>2</v>
      </c>
      <c r="KG5" s="9" t="s">
        <v>3</v>
      </c>
      <c r="KH5" s="9" t="s">
        <v>2</v>
      </c>
      <c r="KI5" s="9" t="s">
        <v>3</v>
      </c>
      <c r="KJ5" s="9" t="s">
        <v>2</v>
      </c>
      <c r="KK5" s="9" t="s">
        <v>3</v>
      </c>
      <c r="KL5" s="9" t="s">
        <v>2</v>
      </c>
      <c r="KM5" s="9" t="s">
        <v>3</v>
      </c>
      <c r="KN5" s="9" t="s">
        <v>2</v>
      </c>
      <c r="KO5" s="9" t="s">
        <v>3</v>
      </c>
      <c r="KP5" s="9" t="s">
        <v>2</v>
      </c>
      <c r="KQ5" s="9" t="s">
        <v>3</v>
      </c>
      <c r="KR5" s="9" t="s">
        <v>2</v>
      </c>
      <c r="KS5" s="9" t="s">
        <v>3</v>
      </c>
      <c r="KT5" s="9" t="s">
        <v>2</v>
      </c>
      <c r="KU5" s="9" t="s">
        <v>3</v>
      </c>
      <c r="KV5" s="9" t="s">
        <v>2</v>
      </c>
      <c r="KW5" s="9" t="s">
        <v>3</v>
      </c>
      <c r="KX5" s="9" t="s">
        <v>2</v>
      </c>
      <c r="KY5" s="9" t="s">
        <v>3</v>
      </c>
      <c r="KZ5" s="9" t="s">
        <v>2</v>
      </c>
      <c r="LA5" s="9" t="s">
        <v>3</v>
      </c>
      <c r="LB5" s="9" t="s">
        <v>2</v>
      </c>
      <c r="LC5" s="9" t="s">
        <v>3</v>
      </c>
      <c r="LD5" s="9" t="s">
        <v>2</v>
      </c>
      <c r="LE5" s="9" t="s">
        <v>3</v>
      </c>
      <c r="LF5" s="9" t="s">
        <v>2</v>
      </c>
      <c r="LG5" s="9" t="s">
        <v>3</v>
      </c>
      <c r="LH5" s="9" t="s">
        <v>2</v>
      </c>
      <c r="LI5" s="9" t="s">
        <v>3</v>
      </c>
      <c r="LJ5" s="9" t="s">
        <v>2</v>
      </c>
      <c r="LK5" s="9" t="s">
        <v>3</v>
      </c>
      <c r="LL5" s="9" t="s">
        <v>2</v>
      </c>
      <c r="LM5" s="9" t="s">
        <v>3</v>
      </c>
      <c r="LN5" s="9" t="s">
        <v>2</v>
      </c>
      <c r="LO5" s="9" t="s">
        <v>3</v>
      </c>
      <c r="LP5" s="9" t="s">
        <v>2</v>
      </c>
      <c r="LQ5" s="9" t="s">
        <v>3</v>
      </c>
      <c r="LR5" s="9" t="s">
        <v>2</v>
      </c>
      <c r="LS5" s="9" t="s">
        <v>3</v>
      </c>
      <c r="LT5" s="9" t="s">
        <v>2</v>
      </c>
      <c r="LU5" s="9" t="s">
        <v>3</v>
      </c>
      <c r="LV5" s="9" t="s">
        <v>2</v>
      </c>
      <c r="LW5" s="9" t="s">
        <v>3</v>
      </c>
      <c r="LX5" s="9" t="s">
        <v>2</v>
      </c>
      <c r="LY5" s="9" t="s">
        <v>3</v>
      </c>
      <c r="LZ5" s="9" t="s">
        <v>2</v>
      </c>
      <c r="MA5" s="9" t="s">
        <v>3</v>
      </c>
      <c r="MB5" s="9" t="s">
        <v>2</v>
      </c>
      <c r="MC5" s="9" t="s">
        <v>3</v>
      </c>
      <c r="MD5" s="9" t="s">
        <v>2</v>
      </c>
      <c r="ME5" s="9" t="s">
        <v>3</v>
      </c>
      <c r="MF5" s="9" t="s">
        <v>2</v>
      </c>
      <c r="MG5" s="9" t="s">
        <v>3</v>
      </c>
      <c r="MH5" s="9" t="s">
        <v>2</v>
      </c>
      <c r="MI5" s="9" t="s">
        <v>3</v>
      </c>
      <c r="MJ5" s="9" t="s">
        <v>2</v>
      </c>
      <c r="MK5" s="9" t="s">
        <v>3</v>
      </c>
      <c r="ML5" s="9" t="s">
        <v>2</v>
      </c>
      <c r="MM5" s="9" t="s">
        <v>3</v>
      </c>
      <c r="MN5" s="9" t="s">
        <v>2</v>
      </c>
      <c r="MO5" s="9" t="s">
        <v>3</v>
      </c>
      <c r="MP5" s="9" t="s">
        <v>2</v>
      </c>
      <c r="MQ5" s="9" t="s">
        <v>3</v>
      </c>
      <c r="MR5" s="9" t="s">
        <v>2</v>
      </c>
      <c r="MS5" s="9" t="s">
        <v>3</v>
      </c>
      <c r="MT5" s="9" t="s">
        <v>2</v>
      </c>
      <c r="MU5" s="9" t="s">
        <v>3</v>
      </c>
      <c r="MV5" s="9" t="s">
        <v>2</v>
      </c>
      <c r="MW5" s="9" t="s">
        <v>3</v>
      </c>
    </row>
    <row r="6" spans="1:363" x14ac:dyDescent="0.3">
      <c r="A6" s="2" t="s">
        <v>7</v>
      </c>
      <c r="B6" s="2">
        <f>MIN(B75:B104)</f>
        <v>1.1494252873563218</v>
      </c>
      <c r="C6" s="2">
        <f t="shared" ref="C6:BN6" si="0">MIN(C75:C104)</f>
        <v>0</v>
      </c>
      <c r="D6" s="2">
        <f t="shared" si="0"/>
        <v>0.21186440677966101</v>
      </c>
      <c r="E6" s="2">
        <f t="shared" si="0"/>
        <v>6.192660550458716</v>
      </c>
      <c r="F6" s="2">
        <f t="shared" si="0"/>
        <v>0</v>
      </c>
      <c r="G6" s="2">
        <f t="shared" si="0"/>
        <v>2.1032504780114722</v>
      </c>
      <c r="H6" s="2">
        <f t="shared" si="0"/>
        <v>0</v>
      </c>
      <c r="I6" s="2">
        <f t="shared" si="0"/>
        <v>0</v>
      </c>
      <c r="J6" s="2">
        <f t="shared" si="0"/>
        <v>0</v>
      </c>
      <c r="K6" s="2">
        <f t="shared" si="0"/>
        <v>0</v>
      </c>
      <c r="L6" s="2">
        <f t="shared" si="0"/>
        <v>0</v>
      </c>
      <c r="M6" s="2">
        <f t="shared" si="0"/>
        <v>0</v>
      </c>
      <c r="N6" s="2">
        <f t="shared" si="0"/>
        <v>1.4678899082568808</v>
      </c>
      <c r="O6" s="2">
        <f t="shared" si="0"/>
        <v>1.0373443983402488</v>
      </c>
      <c r="P6" s="2">
        <f t="shared" si="0"/>
        <v>1.364522417153996</v>
      </c>
      <c r="Q6" s="2">
        <f t="shared" si="0"/>
        <v>0</v>
      </c>
      <c r="R6" s="2">
        <f t="shared" si="0"/>
        <v>0.38684719535783368</v>
      </c>
      <c r="S6" s="2">
        <f t="shared" si="0"/>
        <v>1.4705882352941175</v>
      </c>
      <c r="T6" s="2">
        <f t="shared" si="0"/>
        <v>0</v>
      </c>
      <c r="U6" s="2">
        <f t="shared" si="0"/>
        <v>0</v>
      </c>
      <c r="V6" s="2">
        <f t="shared" si="0"/>
        <v>0</v>
      </c>
      <c r="W6" s="2">
        <f t="shared" si="0"/>
        <v>2.7777777777777777</v>
      </c>
      <c r="X6" s="2">
        <f t="shared" si="0"/>
        <v>0.15503875968992248</v>
      </c>
      <c r="Y6" s="2">
        <f t="shared" si="0"/>
        <v>7.5</v>
      </c>
      <c r="Z6" s="2">
        <f t="shared" si="0"/>
        <v>0.28490028490028491</v>
      </c>
      <c r="AA6" s="2">
        <f t="shared" si="0"/>
        <v>0.66152149944873206</v>
      </c>
      <c r="AB6" s="2">
        <f t="shared" si="0"/>
        <v>1.4655172413793103</v>
      </c>
      <c r="AC6" s="2">
        <f t="shared" si="0"/>
        <v>0.37537537537537535</v>
      </c>
      <c r="AD6" s="2">
        <f t="shared" si="0"/>
        <v>0.27262813522355506</v>
      </c>
      <c r="AE6" s="2">
        <f t="shared" si="0"/>
        <v>0</v>
      </c>
      <c r="AF6" s="2">
        <f t="shared" si="0"/>
        <v>0.46511627906976744</v>
      </c>
      <c r="AG6" s="2">
        <f t="shared" si="0"/>
        <v>3.9814814814814818</v>
      </c>
      <c r="AH6" s="2">
        <f t="shared" si="0"/>
        <v>0.9289617486338797</v>
      </c>
      <c r="AI6" s="2">
        <f t="shared" si="0"/>
        <v>2.859778597785978</v>
      </c>
      <c r="AJ6" s="2">
        <f t="shared" si="0"/>
        <v>0.54890219560878251</v>
      </c>
      <c r="AK6" s="2">
        <f t="shared" si="0"/>
        <v>5.4471544715447155</v>
      </c>
      <c r="AL6" s="2">
        <f t="shared" si="0"/>
        <v>0</v>
      </c>
      <c r="AM6" s="2">
        <f t="shared" si="0"/>
        <v>0</v>
      </c>
      <c r="AN6" s="2">
        <f t="shared" si="0"/>
        <v>2.2263450834879404</v>
      </c>
      <c r="AO6" s="2">
        <f t="shared" si="0"/>
        <v>0</v>
      </c>
      <c r="AP6" s="2">
        <f t="shared" si="0"/>
        <v>7.2992700729927001E-2</v>
      </c>
      <c r="AQ6" s="2">
        <f t="shared" si="0"/>
        <v>0</v>
      </c>
      <c r="AR6" s="2">
        <f t="shared" si="0"/>
        <v>0</v>
      </c>
      <c r="AS6" s="2">
        <f t="shared" si="0"/>
        <v>0</v>
      </c>
      <c r="AT6" s="2">
        <f t="shared" si="0"/>
        <v>0</v>
      </c>
      <c r="AU6" s="2">
        <f t="shared" si="0"/>
        <v>0</v>
      </c>
      <c r="AV6" s="2">
        <f t="shared" si="0"/>
        <v>0</v>
      </c>
      <c r="AW6" s="2">
        <f t="shared" si="0"/>
        <v>0</v>
      </c>
      <c r="AX6" s="2">
        <f t="shared" si="0"/>
        <v>0</v>
      </c>
      <c r="AY6" s="2">
        <f t="shared" si="0"/>
        <v>0.1371742112482853</v>
      </c>
      <c r="AZ6" s="2">
        <f t="shared" si="0"/>
        <v>2.2860492379835873</v>
      </c>
      <c r="BA6" s="2">
        <f t="shared" si="0"/>
        <v>0</v>
      </c>
      <c r="BB6" s="2">
        <f t="shared" si="0"/>
        <v>1.5060240963855422</v>
      </c>
      <c r="BC6" s="2">
        <f t="shared" si="0"/>
        <v>1.979742173112339</v>
      </c>
      <c r="BD6" s="2">
        <f t="shared" si="0"/>
        <v>0</v>
      </c>
      <c r="BE6" s="2">
        <f t="shared" si="0"/>
        <v>0</v>
      </c>
      <c r="BF6" s="2">
        <f t="shared" si="0"/>
        <v>0</v>
      </c>
      <c r="BG6" s="2">
        <f t="shared" si="0"/>
        <v>0</v>
      </c>
      <c r="BH6" s="2">
        <f t="shared" si="0"/>
        <v>2.8594442207007651</v>
      </c>
      <c r="BI6" s="2">
        <f t="shared" si="0"/>
        <v>5.6054771074026535</v>
      </c>
      <c r="BJ6" s="2">
        <f t="shared" si="0"/>
        <v>0.25526483726866628</v>
      </c>
      <c r="BK6" s="2">
        <f t="shared" si="0"/>
        <v>3.0334728033472804</v>
      </c>
      <c r="BL6" s="2">
        <f t="shared" si="0"/>
        <v>0</v>
      </c>
      <c r="BM6" s="2">
        <f t="shared" si="0"/>
        <v>3.4545454545454546</v>
      </c>
      <c r="BN6" s="2">
        <f t="shared" si="0"/>
        <v>1.7409654444737535</v>
      </c>
      <c r="BO6" s="2">
        <f t="shared" ref="BO6:DZ6" si="1">MIN(BO75:BO104)</f>
        <v>1.0891963497203414</v>
      </c>
      <c r="BP6" s="2">
        <f t="shared" si="1"/>
        <v>1.4384920634920635</v>
      </c>
      <c r="BQ6" s="2">
        <f t="shared" si="1"/>
        <v>0</v>
      </c>
      <c r="BR6" s="2">
        <f t="shared" si="1"/>
        <v>2.0739064856711913</v>
      </c>
      <c r="BS6" s="2">
        <f t="shared" si="1"/>
        <v>4.2393026941362919</v>
      </c>
      <c r="BT6" s="2">
        <f t="shared" si="1"/>
        <v>2.3311416616855944</v>
      </c>
      <c r="BU6" s="2">
        <f t="shared" si="1"/>
        <v>4.8247136410968414</v>
      </c>
      <c r="BV6" s="2">
        <f t="shared" si="1"/>
        <v>1.3297872340425532</v>
      </c>
      <c r="BW6" s="2">
        <f t="shared" si="1"/>
        <v>0</v>
      </c>
      <c r="BX6" s="2">
        <f t="shared" si="1"/>
        <v>1.2254901960784315</v>
      </c>
      <c r="BY6" s="2">
        <f t="shared" si="1"/>
        <v>2.1226415094339623</v>
      </c>
      <c r="BZ6" s="2">
        <f t="shared" si="1"/>
        <v>0</v>
      </c>
      <c r="CA6" s="2">
        <f t="shared" si="1"/>
        <v>4.562043795620438</v>
      </c>
      <c r="CB6" s="2">
        <f t="shared" si="1"/>
        <v>0</v>
      </c>
      <c r="CC6" s="2">
        <f t="shared" si="1"/>
        <v>0</v>
      </c>
      <c r="CD6" s="2">
        <f t="shared" si="1"/>
        <v>0</v>
      </c>
      <c r="CE6" s="2">
        <f t="shared" si="1"/>
        <v>0</v>
      </c>
      <c r="CF6" s="2">
        <f t="shared" si="1"/>
        <v>0</v>
      </c>
      <c r="CG6" s="2">
        <f t="shared" si="1"/>
        <v>0</v>
      </c>
      <c r="CH6" s="2">
        <f t="shared" si="1"/>
        <v>0.76804915514592931</v>
      </c>
      <c r="CI6" s="2">
        <f t="shared" si="1"/>
        <v>0</v>
      </c>
      <c r="CJ6" s="2">
        <f t="shared" si="1"/>
        <v>2.3423423423423424</v>
      </c>
      <c r="CK6" s="2">
        <f t="shared" si="1"/>
        <v>3.8502673796791447</v>
      </c>
      <c r="CL6" s="2">
        <f t="shared" si="1"/>
        <v>0</v>
      </c>
      <c r="CM6" s="2">
        <f t="shared" si="1"/>
        <v>0</v>
      </c>
      <c r="CN6" s="2">
        <f t="shared" si="1"/>
        <v>0</v>
      </c>
      <c r="CO6" s="2">
        <f t="shared" si="1"/>
        <v>0</v>
      </c>
      <c r="CP6" s="2">
        <f t="shared" si="1"/>
        <v>0</v>
      </c>
      <c r="CQ6" s="2">
        <f t="shared" si="1"/>
        <v>0</v>
      </c>
      <c r="CR6" s="2">
        <f t="shared" si="1"/>
        <v>1.8637992831541221</v>
      </c>
      <c r="CS6" s="2">
        <f t="shared" si="1"/>
        <v>4.655493482309125</v>
      </c>
      <c r="CT6" s="2">
        <f t="shared" si="1"/>
        <v>0</v>
      </c>
      <c r="CU6" s="2">
        <f t="shared" si="1"/>
        <v>0</v>
      </c>
      <c r="CV6" s="2">
        <f t="shared" si="1"/>
        <v>0</v>
      </c>
      <c r="CW6" s="2">
        <f t="shared" si="1"/>
        <v>0</v>
      </c>
      <c r="CX6" s="2">
        <f t="shared" si="1"/>
        <v>0</v>
      </c>
      <c r="CY6" s="2">
        <f t="shared" si="1"/>
        <v>0</v>
      </c>
      <c r="CZ6" s="2">
        <f t="shared" si="1"/>
        <v>0</v>
      </c>
      <c r="DA6" s="2">
        <f t="shared" si="1"/>
        <v>0</v>
      </c>
      <c r="DB6" s="2">
        <f t="shared" si="1"/>
        <v>0.92592592592592582</v>
      </c>
      <c r="DC6" s="2">
        <f t="shared" si="1"/>
        <v>3.0134813639968279</v>
      </c>
      <c r="DD6" s="2">
        <f t="shared" si="1"/>
        <v>0.63218390804597702</v>
      </c>
      <c r="DE6" s="2">
        <f t="shared" si="1"/>
        <v>5.7532172596517794</v>
      </c>
      <c r="DF6" s="2">
        <f t="shared" si="1"/>
        <v>0</v>
      </c>
      <c r="DG6" s="2">
        <f t="shared" si="1"/>
        <v>0.46875</v>
      </c>
      <c r="DH6" s="2">
        <f t="shared" si="1"/>
        <v>0</v>
      </c>
      <c r="DI6" s="2">
        <f t="shared" si="1"/>
        <v>0</v>
      </c>
      <c r="DJ6" s="2">
        <f t="shared" si="1"/>
        <v>0</v>
      </c>
      <c r="DK6" s="2">
        <f t="shared" si="1"/>
        <v>1.1128775834658187</v>
      </c>
      <c r="DL6" s="2">
        <f t="shared" si="1"/>
        <v>0</v>
      </c>
      <c r="DM6" s="2">
        <f t="shared" si="1"/>
        <v>0</v>
      </c>
      <c r="DN6" s="2">
        <f t="shared" si="1"/>
        <v>0</v>
      </c>
      <c r="DO6" s="2">
        <f t="shared" si="1"/>
        <v>0</v>
      </c>
      <c r="DP6" s="2">
        <f t="shared" si="1"/>
        <v>0</v>
      </c>
      <c r="DQ6" s="2">
        <f t="shared" si="1"/>
        <v>0</v>
      </c>
      <c r="DR6" s="2">
        <f t="shared" si="1"/>
        <v>0</v>
      </c>
      <c r="DS6" s="2">
        <f t="shared" si="1"/>
        <v>0</v>
      </c>
      <c r="DT6" s="2">
        <f t="shared" si="1"/>
        <v>1.3858093126385811</v>
      </c>
      <c r="DU6" s="2">
        <f t="shared" si="1"/>
        <v>0.73855243722304276</v>
      </c>
      <c r="DV6" s="2">
        <f t="shared" si="1"/>
        <v>0</v>
      </c>
      <c r="DW6" s="2">
        <f t="shared" si="1"/>
        <v>0</v>
      </c>
      <c r="DX6" s="2">
        <f t="shared" si="1"/>
        <v>0</v>
      </c>
      <c r="DY6" s="2">
        <f t="shared" si="1"/>
        <v>0</v>
      </c>
      <c r="DZ6" s="2">
        <f t="shared" si="1"/>
        <v>0</v>
      </c>
      <c r="EA6" s="2">
        <f t="shared" ref="EA6:GL6" si="2">MIN(EA75:EA104)</f>
        <v>1.7299107142857144</v>
      </c>
      <c r="EB6" s="2">
        <f t="shared" si="2"/>
        <v>2.5185185185185186</v>
      </c>
      <c r="EC6" s="2">
        <f t="shared" si="2"/>
        <v>4.6232876712328768</v>
      </c>
      <c r="ED6" s="2">
        <f t="shared" si="2"/>
        <v>1.8556701030927836</v>
      </c>
      <c r="EE6" s="2">
        <f t="shared" si="2"/>
        <v>0</v>
      </c>
      <c r="EF6" s="2">
        <f t="shared" si="2"/>
        <v>2.2976680384087791</v>
      </c>
      <c r="EG6" s="2">
        <f t="shared" si="2"/>
        <v>1.4401772525849335</v>
      </c>
      <c r="EH6" s="2">
        <f t="shared" si="2"/>
        <v>1.5335801163405607</v>
      </c>
      <c r="EI6" s="2">
        <f t="shared" si="2"/>
        <v>0</v>
      </c>
      <c r="EJ6" s="2">
        <f t="shared" si="2"/>
        <v>0.54347826086956519</v>
      </c>
      <c r="EK6" s="2">
        <f t="shared" si="2"/>
        <v>1.757944557133198</v>
      </c>
      <c r="EL6" s="2">
        <f t="shared" si="2"/>
        <v>1.2574850299401197</v>
      </c>
      <c r="EM6" s="2">
        <f t="shared" si="2"/>
        <v>6.4757160647571599</v>
      </c>
      <c r="EN6" s="2">
        <f t="shared" si="2"/>
        <v>1.2433862433862435</v>
      </c>
      <c r="EO6" s="2">
        <f t="shared" si="2"/>
        <v>6.5883887801696019</v>
      </c>
      <c r="EP6" s="2">
        <f t="shared" si="2"/>
        <v>2.083333333333333</v>
      </c>
      <c r="EQ6" s="2">
        <f t="shared" si="2"/>
        <v>0</v>
      </c>
      <c r="ER6" s="2">
        <f t="shared" si="2"/>
        <v>1.7391304347826086</v>
      </c>
      <c r="ES6" s="2">
        <f t="shared" si="2"/>
        <v>0</v>
      </c>
      <c r="ET6" s="2">
        <f t="shared" si="2"/>
        <v>1.2658227848101267</v>
      </c>
      <c r="EU6" s="2">
        <f t="shared" si="2"/>
        <v>1.0189228529839884</v>
      </c>
      <c r="EV6" s="2">
        <f t="shared" si="2"/>
        <v>0</v>
      </c>
      <c r="EW6" s="2">
        <f t="shared" si="2"/>
        <v>0</v>
      </c>
      <c r="EX6" s="2">
        <f t="shared" si="2"/>
        <v>0</v>
      </c>
      <c r="EY6" s="2">
        <f t="shared" si="2"/>
        <v>0</v>
      </c>
      <c r="EZ6" s="2">
        <f t="shared" si="2"/>
        <v>0</v>
      </c>
      <c r="FA6" s="2">
        <f t="shared" si="2"/>
        <v>0</v>
      </c>
      <c r="FB6" s="2">
        <f t="shared" si="2"/>
        <v>0</v>
      </c>
      <c r="FC6" s="2">
        <f t="shared" si="2"/>
        <v>3.070175438596491</v>
      </c>
      <c r="FD6" s="2">
        <f t="shared" si="2"/>
        <v>1.984126984126984</v>
      </c>
      <c r="FE6" s="2">
        <f t="shared" si="2"/>
        <v>0</v>
      </c>
      <c r="FF6" s="2">
        <f t="shared" si="2"/>
        <v>1.3793103448275863</v>
      </c>
      <c r="FG6" s="2">
        <f t="shared" si="2"/>
        <v>1.8621973929236499</v>
      </c>
      <c r="FH6" s="2">
        <f t="shared" si="2"/>
        <v>0</v>
      </c>
      <c r="FI6" s="2">
        <f t="shared" si="2"/>
        <v>0</v>
      </c>
      <c r="FJ6" s="2">
        <f t="shared" si="2"/>
        <v>0</v>
      </c>
      <c r="FK6" s="2">
        <f t="shared" si="2"/>
        <v>0</v>
      </c>
      <c r="FL6" s="2">
        <f t="shared" si="2"/>
        <v>1.25</v>
      </c>
      <c r="FM6" s="2">
        <f t="shared" si="2"/>
        <v>1.8077239112571899</v>
      </c>
      <c r="FN6" s="2">
        <f t="shared" si="2"/>
        <v>0</v>
      </c>
      <c r="FO6" s="2">
        <f t="shared" si="2"/>
        <v>5.0373134328358207</v>
      </c>
      <c r="FP6" s="2">
        <f t="shared" si="2"/>
        <v>0</v>
      </c>
      <c r="FQ6" s="2">
        <f t="shared" si="2"/>
        <v>0.30257186081694404</v>
      </c>
      <c r="FR6" s="2">
        <f t="shared" si="2"/>
        <v>2.5568181818181821</v>
      </c>
      <c r="FS6" s="2">
        <f t="shared" si="2"/>
        <v>0</v>
      </c>
      <c r="FT6" s="2">
        <f t="shared" si="2"/>
        <v>1.3052208835341366</v>
      </c>
      <c r="FU6" s="2">
        <f t="shared" si="2"/>
        <v>4.6814044213263983</v>
      </c>
      <c r="FV6" s="2">
        <f t="shared" si="2"/>
        <v>1.2213740458015268</v>
      </c>
      <c r="FW6" s="2">
        <f t="shared" si="2"/>
        <v>4.8132780082987559</v>
      </c>
      <c r="FX6" s="2">
        <f t="shared" si="2"/>
        <v>1.6352201257861636</v>
      </c>
      <c r="FY6" s="2">
        <f t="shared" si="2"/>
        <v>7.2115384615384608</v>
      </c>
      <c r="FZ6" s="2">
        <f t="shared" si="2"/>
        <v>1.6304347826086956</v>
      </c>
      <c r="GA6" s="2">
        <f t="shared" si="2"/>
        <v>0</v>
      </c>
      <c r="GB6" s="2">
        <f t="shared" si="2"/>
        <v>1.4899211218229622</v>
      </c>
      <c r="GC6" s="2">
        <f t="shared" si="2"/>
        <v>3.0878859857482186</v>
      </c>
      <c r="GD6" s="2">
        <f t="shared" si="2"/>
        <v>0</v>
      </c>
      <c r="GE6" s="2">
        <f t="shared" si="2"/>
        <v>0</v>
      </c>
      <c r="GF6" s="2">
        <f t="shared" si="2"/>
        <v>0</v>
      </c>
      <c r="GG6" s="2">
        <f t="shared" si="2"/>
        <v>0</v>
      </c>
      <c r="GH6" s="2">
        <f t="shared" si="2"/>
        <v>0</v>
      </c>
      <c r="GI6" s="2">
        <f t="shared" si="2"/>
        <v>0</v>
      </c>
      <c r="GJ6" s="2">
        <f t="shared" si="2"/>
        <v>0</v>
      </c>
      <c r="GK6" s="2">
        <f t="shared" si="2"/>
        <v>0</v>
      </c>
      <c r="GL6" s="2">
        <f t="shared" si="2"/>
        <v>0.16722408026755853</v>
      </c>
      <c r="GM6" s="2">
        <f t="shared" ref="GM6:IX6" si="3">MIN(GM75:GM104)</f>
        <v>2.6872964169381111</v>
      </c>
      <c r="GN6" s="2">
        <f t="shared" si="3"/>
        <v>1.8563751831949193</v>
      </c>
      <c r="GO6" s="2">
        <f t="shared" si="3"/>
        <v>1.7071908949818935</v>
      </c>
      <c r="GP6" s="2">
        <f t="shared" si="3"/>
        <v>0</v>
      </c>
      <c r="GQ6" s="2">
        <f t="shared" si="3"/>
        <v>0</v>
      </c>
      <c r="GR6" s="2">
        <f t="shared" si="3"/>
        <v>0</v>
      </c>
      <c r="GS6" s="2">
        <f t="shared" si="3"/>
        <v>0</v>
      </c>
      <c r="GT6" s="2">
        <f t="shared" si="3"/>
        <v>0.53691275167785235</v>
      </c>
      <c r="GU6" s="2">
        <f t="shared" si="3"/>
        <v>0</v>
      </c>
      <c r="GV6" s="2">
        <f t="shared" si="3"/>
        <v>4.4662309368191728</v>
      </c>
      <c r="GW6" s="2">
        <f t="shared" si="3"/>
        <v>3.9722863741339496</v>
      </c>
      <c r="GX6" s="2">
        <f t="shared" si="3"/>
        <v>0</v>
      </c>
      <c r="GY6" s="2">
        <f t="shared" si="3"/>
        <v>0</v>
      </c>
      <c r="GZ6" s="2">
        <f t="shared" si="3"/>
        <v>0</v>
      </c>
      <c r="HA6" s="2">
        <f t="shared" si="3"/>
        <v>0.73787772312016864</v>
      </c>
      <c r="HB6" s="2">
        <f t="shared" si="3"/>
        <v>0.97309673726388091</v>
      </c>
      <c r="HC6" s="2">
        <f t="shared" si="3"/>
        <v>0</v>
      </c>
      <c r="HD6" s="2">
        <f t="shared" si="3"/>
        <v>0.49751243781094528</v>
      </c>
      <c r="HE6" s="2">
        <f t="shared" si="3"/>
        <v>4.7016274864376131</v>
      </c>
      <c r="HF6" s="2">
        <f t="shared" si="3"/>
        <v>1.2605042016806722</v>
      </c>
      <c r="HG6" s="2">
        <f t="shared" si="3"/>
        <v>4.5084996304508493</v>
      </c>
      <c r="HH6" s="2">
        <f t="shared" si="3"/>
        <v>0.83884087442806299</v>
      </c>
      <c r="HI6" s="2">
        <f t="shared" si="3"/>
        <v>4.0342298288508553</v>
      </c>
      <c r="HJ6" s="2">
        <f t="shared" si="3"/>
        <v>1.3953488372093024</v>
      </c>
      <c r="HK6" s="2">
        <f t="shared" si="3"/>
        <v>0.8875739644970414</v>
      </c>
      <c r="HL6" s="2">
        <f t="shared" si="3"/>
        <v>1.7543859649122806</v>
      </c>
      <c r="HM6" s="2">
        <f t="shared" si="3"/>
        <v>0</v>
      </c>
      <c r="HN6" s="2">
        <f t="shared" si="3"/>
        <v>2.2865853658536586</v>
      </c>
      <c r="HO6" s="2">
        <f t="shared" si="3"/>
        <v>0</v>
      </c>
      <c r="HP6" s="2">
        <f t="shared" si="3"/>
        <v>0</v>
      </c>
      <c r="HQ6" s="2">
        <f t="shared" si="3"/>
        <v>0</v>
      </c>
      <c r="HR6" s="2">
        <f t="shared" si="3"/>
        <v>0</v>
      </c>
      <c r="HS6" s="2">
        <f t="shared" si="3"/>
        <v>0</v>
      </c>
      <c r="HT6" s="2">
        <f t="shared" si="3"/>
        <v>0</v>
      </c>
      <c r="HU6" s="2">
        <f t="shared" si="3"/>
        <v>0</v>
      </c>
      <c r="HV6" s="2">
        <f t="shared" si="3"/>
        <v>0</v>
      </c>
      <c r="HW6" s="2">
        <f t="shared" si="3"/>
        <v>2</v>
      </c>
      <c r="HX6" s="2">
        <f t="shared" si="3"/>
        <v>2.147239263803681</v>
      </c>
      <c r="HY6" s="2">
        <f t="shared" si="3"/>
        <v>0</v>
      </c>
      <c r="HZ6" s="2">
        <f t="shared" si="3"/>
        <v>0.28985507246376813</v>
      </c>
      <c r="IA6" s="2">
        <f t="shared" si="3"/>
        <v>0</v>
      </c>
      <c r="IB6" s="2">
        <f t="shared" si="3"/>
        <v>0</v>
      </c>
      <c r="IC6" s="2">
        <f t="shared" si="3"/>
        <v>0</v>
      </c>
      <c r="ID6" s="2">
        <f t="shared" si="3"/>
        <v>0</v>
      </c>
      <c r="IE6" s="2">
        <f t="shared" si="3"/>
        <v>0.71856287425149701</v>
      </c>
      <c r="IF6" s="2">
        <f t="shared" si="3"/>
        <v>1.5395894428152492</v>
      </c>
      <c r="IG6" s="2">
        <f t="shared" si="3"/>
        <v>1.73992673992674</v>
      </c>
      <c r="IH6" s="2">
        <f t="shared" si="3"/>
        <v>0</v>
      </c>
      <c r="II6" s="2">
        <f t="shared" si="3"/>
        <v>3.5087719298245612</v>
      </c>
      <c r="IJ6" s="2">
        <f t="shared" si="3"/>
        <v>0.23603461841070023</v>
      </c>
      <c r="IK6" s="2">
        <f t="shared" si="3"/>
        <v>1.8465909090909092</v>
      </c>
      <c r="IL6" s="2">
        <f t="shared" si="3"/>
        <v>0</v>
      </c>
      <c r="IM6" s="2">
        <f t="shared" si="3"/>
        <v>0</v>
      </c>
      <c r="IN6" s="2">
        <f t="shared" si="3"/>
        <v>0</v>
      </c>
      <c r="IO6" s="2">
        <f t="shared" si="3"/>
        <v>0</v>
      </c>
      <c r="IP6" s="2">
        <f t="shared" si="3"/>
        <v>1.887905604719764</v>
      </c>
      <c r="IQ6" s="2">
        <f t="shared" si="3"/>
        <v>4.732690622261174</v>
      </c>
      <c r="IR6" s="2">
        <f t="shared" si="3"/>
        <v>0.52083333333333326</v>
      </c>
      <c r="IS6" s="2">
        <f t="shared" si="3"/>
        <v>8.4470435347628321</v>
      </c>
      <c r="IT6" s="2">
        <f t="shared" si="3"/>
        <v>0</v>
      </c>
      <c r="IU6" s="2">
        <f t="shared" si="3"/>
        <v>1.7825311942959003</v>
      </c>
      <c r="IV6" s="2">
        <f t="shared" si="3"/>
        <v>2.2988505747126435</v>
      </c>
      <c r="IW6" s="2">
        <f t="shared" si="3"/>
        <v>0</v>
      </c>
      <c r="IX6" s="2">
        <f t="shared" si="3"/>
        <v>7.9872204472843447E-2</v>
      </c>
      <c r="IY6" s="2">
        <f t="shared" ref="IY6:LJ6" si="4">MIN(IY75:IY104)</f>
        <v>0</v>
      </c>
      <c r="IZ6" s="2">
        <f t="shared" si="4"/>
        <v>0</v>
      </c>
      <c r="JA6" s="2">
        <f t="shared" si="4"/>
        <v>0</v>
      </c>
      <c r="JB6" s="2">
        <f t="shared" si="4"/>
        <v>0</v>
      </c>
      <c r="JC6" s="2">
        <f t="shared" si="4"/>
        <v>0</v>
      </c>
      <c r="JD6" s="2">
        <f t="shared" si="4"/>
        <v>0</v>
      </c>
      <c r="JE6" s="2">
        <f t="shared" si="4"/>
        <v>0</v>
      </c>
      <c r="JF6" s="2">
        <f t="shared" si="4"/>
        <v>1.0416666666666665</v>
      </c>
      <c r="JG6" s="2">
        <f t="shared" si="4"/>
        <v>0</v>
      </c>
      <c r="JH6" s="2">
        <f t="shared" si="4"/>
        <v>0</v>
      </c>
      <c r="JI6" s="2">
        <f t="shared" si="4"/>
        <v>0</v>
      </c>
      <c r="JJ6" s="2">
        <f t="shared" si="4"/>
        <v>0</v>
      </c>
      <c r="JK6" s="2">
        <f t="shared" si="4"/>
        <v>0.13106159895150721</v>
      </c>
      <c r="JL6" s="2">
        <f t="shared" si="4"/>
        <v>0</v>
      </c>
      <c r="JM6" s="2">
        <f t="shared" si="4"/>
        <v>0</v>
      </c>
      <c r="JN6" s="2">
        <f t="shared" si="4"/>
        <v>0</v>
      </c>
      <c r="JO6" s="2">
        <f t="shared" si="4"/>
        <v>0.55951169888097652</v>
      </c>
      <c r="JP6" s="2">
        <f t="shared" si="4"/>
        <v>3.6294896030245742</v>
      </c>
      <c r="JQ6" s="2">
        <f t="shared" si="4"/>
        <v>9.3001409112259275</v>
      </c>
      <c r="JR6" s="2">
        <f t="shared" si="4"/>
        <v>0</v>
      </c>
      <c r="JS6" s="2">
        <f t="shared" si="4"/>
        <v>2.9258777633289985</v>
      </c>
      <c r="JT6" s="2">
        <f t="shared" si="4"/>
        <v>0.40913740197749743</v>
      </c>
      <c r="JU6" s="2">
        <f t="shared" si="4"/>
        <v>0</v>
      </c>
      <c r="JV6" s="2">
        <f t="shared" si="4"/>
        <v>1.8956115294728644</v>
      </c>
      <c r="JW6" s="2">
        <f t="shared" si="4"/>
        <v>0</v>
      </c>
      <c r="JX6" s="2">
        <f t="shared" si="4"/>
        <v>0.74200913242009126</v>
      </c>
      <c r="JY6" s="2">
        <f t="shared" si="4"/>
        <v>1.1834319526627219</v>
      </c>
      <c r="JZ6" s="2">
        <f t="shared" si="4"/>
        <v>1.2024048096192386</v>
      </c>
      <c r="KA6" s="2">
        <f t="shared" si="4"/>
        <v>3.5553892215568865</v>
      </c>
      <c r="KB6" s="2">
        <f t="shared" si="4"/>
        <v>2.3029966703662597</v>
      </c>
      <c r="KC6" s="2">
        <f t="shared" si="4"/>
        <v>5.2495139338950096</v>
      </c>
      <c r="KD6" s="2">
        <f t="shared" si="4"/>
        <v>0</v>
      </c>
      <c r="KE6" s="2">
        <f t="shared" si="4"/>
        <v>5.1428571428571423</v>
      </c>
      <c r="KF6" s="2">
        <f t="shared" si="4"/>
        <v>0</v>
      </c>
      <c r="KG6" s="2">
        <f t="shared" si="4"/>
        <v>3.1963470319634704</v>
      </c>
      <c r="KH6" s="2">
        <f t="shared" si="4"/>
        <v>0</v>
      </c>
      <c r="KI6" s="2">
        <f t="shared" si="4"/>
        <v>2.1812080536912752</v>
      </c>
      <c r="KJ6" s="2">
        <f t="shared" si="4"/>
        <v>0</v>
      </c>
      <c r="KK6" s="2">
        <f t="shared" si="4"/>
        <v>0</v>
      </c>
      <c r="KL6" s="2">
        <f t="shared" si="4"/>
        <v>0</v>
      </c>
      <c r="KM6" s="2">
        <f t="shared" si="4"/>
        <v>0</v>
      </c>
      <c r="KN6" s="2">
        <f t="shared" si="4"/>
        <v>0</v>
      </c>
      <c r="KO6" s="2">
        <f t="shared" si="4"/>
        <v>0</v>
      </c>
      <c r="KP6" s="2">
        <f t="shared" si="4"/>
        <v>0</v>
      </c>
      <c r="KQ6" s="2">
        <f t="shared" si="4"/>
        <v>5.4545454545454541</v>
      </c>
      <c r="KR6" s="2">
        <f t="shared" si="4"/>
        <v>0.25510204081632654</v>
      </c>
      <c r="KS6" s="2">
        <f t="shared" si="4"/>
        <v>1.6797312430011198</v>
      </c>
      <c r="KT6" s="2">
        <f t="shared" si="4"/>
        <v>0</v>
      </c>
      <c r="KU6" s="2">
        <f t="shared" si="4"/>
        <v>0</v>
      </c>
      <c r="KV6" s="2">
        <f t="shared" si="4"/>
        <v>0</v>
      </c>
      <c r="KW6" s="2">
        <f t="shared" si="4"/>
        <v>0</v>
      </c>
      <c r="KX6" s="2">
        <f t="shared" si="4"/>
        <v>0</v>
      </c>
      <c r="KY6" s="2">
        <f t="shared" si="4"/>
        <v>0</v>
      </c>
      <c r="KZ6" s="2">
        <f t="shared" si="4"/>
        <v>1.9047619047619049</v>
      </c>
      <c r="LA6" s="2">
        <f t="shared" si="4"/>
        <v>6.3034188034188032</v>
      </c>
      <c r="LB6" s="2">
        <f t="shared" si="4"/>
        <v>2.4096385542168677</v>
      </c>
      <c r="LC6" s="2">
        <f t="shared" si="4"/>
        <v>0</v>
      </c>
      <c r="LD6" s="2">
        <f t="shared" si="4"/>
        <v>0.19607843137254902</v>
      </c>
      <c r="LE6" s="2">
        <f t="shared" si="4"/>
        <v>0.25231286795626579</v>
      </c>
      <c r="LF6" s="2">
        <f t="shared" si="4"/>
        <v>0</v>
      </c>
      <c r="LG6" s="2">
        <f t="shared" si="4"/>
        <v>0</v>
      </c>
      <c r="LH6" s="2">
        <f t="shared" si="4"/>
        <v>0</v>
      </c>
      <c r="LI6" s="2">
        <f t="shared" si="4"/>
        <v>2.7878787878787876</v>
      </c>
      <c r="LJ6" s="2">
        <f t="shared" si="4"/>
        <v>1.5957446808510638</v>
      </c>
      <c r="LK6" s="2">
        <f t="shared" ref="LK6:MW6" si="5">MIN(LK75:LK104)</f>
        <v>3.306451612903226</v>
      </c>
      <c r="LL6" s="2">
        <f t="shared" si="5"/>
        <v>1.6064257028112447</v>
      </c>
      <c r="LM6" s="2">
        <f t="shared" si="5"/>
        <v>5.0030138637733579</v>
      </c>
      <c r="LN6" s="2">
        <f t="shared" si="5"/>
        <v>0</v>
      </c>
      <c r="LO6" s="2">
        <f t="shared" si="5"/>
        <v>0</v>
      </c>
      <c r="LP6" s="2">
        <f t="shared" si="5"/>
        <v>2.57201646090535</v>
      </c>
      <c r="LQ6" s="2">
        <f t="shared" si="5"/>
        <v>0</v>
      </c>
      <c r="LR6" s="2">
        <f t="shared" si="5"/>
        <v>0.92905405405405406</v>
      </c>
      <c r="LS6" s="2">
        <f t="shared" si="5"/>
        <v>1.8691588785046727</v>
      </c>
      <c r="LT6" s="2">
        <f t="shared" si="5"/>
        <v>0</v>
      </c>
      <c r="LU6" s="2">
        <f t="shared" si="5"/>
        <v>0</v>
      </c>
      <c r="LV6" s="2">
        <f t="shared" si="5"/>
        <v>0</v>
      </c>
      <c r="LW6" s="2">
        <f t="shared" si="5"/>
        <v>0</v>
      </c>
      <c r="LX6" s="2">
        <f t="shared" si="5"/>
        <v>0</v>
      </c>
      <c r="LY6" s="2">
        <f t="shared" si="5"/>
        <v>0</v>
      </c>
      <c r="LZ6" s="2">
        <f t="shared" si="5"/>
        <v>1.6858917480035491</v>
      </c>
      <c r="MA6" s="2">
        <f t="shared" si="5"/>
        <v>0</v>
      </c>
      <c r="MB6" s="2">
        <f t="shared" si="5"/>
        <v>1.7501215362177931</v>
      </c>
      <c r="MC6" s="2">
        <f t="shared" si="5"/>
        <v>0</v>
      </c>
      <c r="MD6" s="2">
        <f t="shared" si="5"/>
        <v>0.46511627906976744</v>
      </c>
      <c r="ME6" s="2">
        <f t="shared" si="5"/>
        <v>0</v>
      </c>
      <c r="MF6" s="2">
        <f t="shared" si="5"/>
        <v>0</v>
      </c>
      <c r="MG6" s="2">
        <f t="shared" si="5"/>
        <v>0</v>
      </c>
      <c r="MH6" s="2">
        <f t="shared" si="5"/>
        <v>1.4912280701754386</v>
      </c>
      <c r="MI6" s="2">
        <f t="shared" si="5"/>
        <v>0</v>
      </c>
      <c r="MJ6" s="2">
        <f t="shared" si="5"/>
        <v>3.6946812829882254</v>
      </c>
      <c r="MK6" s="2">
        <f t="shared" si="5"/>
        <v>2.7407987470634301</v>
      </c>
      <c r="ML6" s="2">
        <f t="shared" si="5"/>
        <v>1.3303769401330376</v>
      </c>
      <c r="MM6" s="2">
        <f t="shared" si="5"/>
        <v>0</v>
      </c>
      <c r="MN6" s="2">
        <f t="shared" si="5"/>
        <v>0.4327563249001331</v>
      </c>
      <c r="MO6" s="2">
        <f t="shared" si="5"/>
        <v>3.0780780780780779</v>
      </c>
      <c r="MP6" s="2">
        <f t="shared" si="5"/>
        <v>0</v>
      </c>
      <c r="MQ6" s="2">
        <f t="shared" si="5"/>
        <v>0</v>
      </c>
      <c r="MR6" s="2">
        <f t="shared" si="5"/>
        <v>1.0279001468428781</v>
      </c>
      <c r="MS6" s="2">
        <f t="shared" si="5"/>
        <v>0</v>
      </c>
      <c r="MT6" s="2">
        <f t="shared" si="5"/>
        <v>1.7216642754662841</v>
      </c>
      <c r="MU6" s="2">
        <f t="shared" si="5"/>
        <v>3.6080516521078616</v>
      </c>
      <c r="MV6" s="2">
        <f t="shared" si="5"/>
        <v>1.5096304008328996</v>
      </c>
      <c r="MW6" s="2">
        <f t="shared" si="5"/>
        <v>5.6242274412855373</v>
      </c>
    </row>
    <row r="7" spans="1:363" x14ac:dyDescent="0.3">
      <c r="A7" s="2" t="s">
        <v>33</v>
      </c>
      <c r="B7" s="2">
        <f>MAX(B75:B104)</f>
        <v>1.1494252873563218</v>
      </c>
      <c r="C7" s="2">
        <f t="shared" ref="C7:BN7" si="6">MAX(C75:C104)</f>
        <v>0</v>
      </c>
      <c r="D7" s="2">
        <f t="shared" si="6"/>
        <v>0.21186440677966101</v>
      </c>
      <c r="E7" s="2">
        <f t="shared" si="6"/>
        <v>8.2568807339449553</v>
      </c>
      <c r="F7" s="2">
        <f t="shared" si="6"/>
        <v>0</v>
      </c>
      <c r="G7" s="2">
        <f t="shared" si="6"/>
        <v>2.1032504780114722</v>
      </c>
      <c r="H7" s="2">
        <f t="shared" si="6"/>
        <v>0</v>
      </c>
      <c r="I7" s="2">
        <f t="shared" si="6"/>
        <v>0</v>
      </c>
      <c r="J7" s="2">
        <f t="shared" si="6"/>
        <v>0</v>
      </c>
      <c r="K7" s="2">
        <f t="shared" si="6"/>
        <v>0</v>
      </c>
      <c r="L7" s="2">
        <f t="shared" si="6"/>
        <v>0</v>
      </c>
      <c r="M7" s="2">
        <f t="shared" si="6"/>
        <v>0</v>
      </c>
      <c r="N7" s="2">
        <f t="shared" si="6"/>
        <v>1.4678899082568808</v>
      </c>
      <c r="O7" s="2">
        <f t="shared" si="6"/>
        <v>1.0373443983402488</v>
      </c>
      <c r="P7" s="2">
        <f t="shared" si="6"/>
        <v>1.6569200779727096</v>
      </c>
      <c r="Q7" s="2">
        <f t="shared" si="6"/>
        <v>0</v>
      </c>
      <c r="R7" s="2">
        <f t="shared" si="6"/>
        <v>0.77369439071566737</v>
      </c>
      <c r="S7" s="2">
        <f t="shared" si="6"/>
        <v>3.2805429864253397</v>
      </c>
      <c r="T7" s="2">
        <f t="shared" si="6"/>
        <v>0</v>
      </c>
      <c r="U7" s="2">
        <f t="shared" si="6"/>
        <v>0</v>
      </c>
      <c r="V7" s="2">
        <f t="shared" si="6"/>
        <v>9.6618357487922704E-2</v>
      </c>
      <c r="W7" s="2">
        <f t="shared" si="6"/>
        <v>3.7962962962962963</v>
      </c>
      <c r="X7" s="2">
        <f t="shared" si="6"/>
        <v>1.0077519379844961</v>
      </c>
      <c r="Y7" s="2">
        <f t="shared" si="6"/>
        <v>10.434782608695652</v>
      </c>
      <c r="Z7" s="2">
        <f t="shared" si="6"/>
        <v>0.47483380816714149</v>
      </c>
      <c r="AA7" s="2">
        <f t="shared" si="6"/>
        <v>0.66152149944873206</v>
      </c>
      <c r="AB7" s="2">
        <f t="shared" si="6"/>
        <v>1.8103448275862071</v>
      </c>
      <c r="AC7" s="2">
        <f t="shared" si="6"/>
        <v>1.2762762762762763</v>
      </c>
      <c r="AD7" s="2">
        <f t="shared" si="6"/>
        <v>0.70883315158124316</v>
      </c>
      <c r="AE7" s="2">
        <f t="shared" si="6"/>
        <v>0</v>
      </c>
      <c r="AF7" s="2">
        <f t="shared" si="6"/>
        <v>0.46511627906976744</v>
      </c>
      <c r="AG7" s="2">
        <f t="shared" si="6"/>
        <v>4.0740740740740744</v>
      </c>
      <c r="AH7" s="2">
        <f t="shared" si="6"/>
        <v>1.3114754098360655</v>
      </c>
      <c r="AI7" s="2">
        <f t="shared" si="6"/>
        <v>5.9963099630996313</v>
      </c>
      <c r="AJ7" s="2">
        <f t="shared" si="6"/>
        <v>0.79840319361277434</v>
      </c>
      <c r="AK7" s="2">
        <f t="shared" si="6"/>
        <v>7.7235772357723578</v>
      </c>
      <c r="AL7" s="2">
        <f t="shared" si="6"/>
        <v>0</v>
      </c>
      <c r="AM7" s="2">
        <f t="shared" si="6"/>
        <v>0</v>
      </c>
      <c r="AN7" s="2">
        <f t="shared" si="6"/>
        <v>3.339517625231911</v>
      </c>
      <c r="AO7" s="2">
        <f t="shared" si="6"/>
        <v>0</v>
      </c>
      <c r="AP7" s="2">
        <f t="shared" si="6"/>
        <v>0.43795620437956206</v>
      </c>
      <c r="AQ7" s="2">
        <f t="shared" si="6"/>
        <v>0</v>
      </c>
      <c r="AR7" s="2">
        <f t="shared" si="6"/>
        <v>0</v>
      </c>
      <c r="AS7" s="2">
        <f t="shared" si="6"/>
        <v>0</v>
      </c>
      <c r="AT7" s="2">
        <f t="shared" si="6"/>
        <v>0</v>
      </c>
      <c r="AU7" s="2">
        <f t="shared" si="6"/>
        <v>0</v>
      </c>
      <c r="AV7" s="2">
        <f t="shared" si="6"/>
        <v>0</v>
      </c>
      <c r="AW7" s="2">
        <f t="shared" si="6"/>
        <v>0</v>
      </c>
      <c r="AX7" s="2">
        <f t="shared" si="6"/>
        <v>0</v>
      </c>
      <c r="AY7" s="2">
        <f t="shared" si="6"/>
        <v>1.440329218106996</v>
      </c>
      <c r="AZ7" s="2">
        <f t="shared" si="6"/>
        <v>2.8722157092614302</v>
      </c>
      <c r="BA7" s="2">
        <f t="shared" si="6"/>
        <v>0</v>
      </c>
      <c r="BB7" s="2">
        <f t="shared" si="6"/>
        <v>2.1460843373493974</v>
      </c>
      <c r="BC7" s="2">
        <f t="shared" si="6"/>
        <v>3.3149171270718232</v>
      </c>
      <c r="BD7" s="2">
        <f t="shared" si="6"/>
        <v>0</v>
      </c>
      <c r="BE7" s="2">
        <f t="shared" si="6"/>
        <v>0</v>
      </c>
      <c r="BF7" s="2">
        <f t="shared" si="6"/>
        <v>3.9745627980922099E-2</v>
      </c>
      <c r="BG7" s="2">
        <f t="shared" si="6"/>
        <v>0.14720314033366044</v>
      </c>
      <c r="BH7" s="2">
        <f t="shared" si="6"/>
        <v>4.5106725734997983</v>
      </c>
      <c r="BI7" s="2">
        <f t="shared" si="6"/>
        <v>8.9002995293110825</v>
      </c>
      <c r="BJ7" s="2">
        <f t="shared" si="6"/>
        <v>0.63816209317166561</v>
      </c>
      <c r="BK7" s="2">
        <f t="shared" si="6"/>
        <v>5.1255230125523017</v>
      </c>
      <c r="BL7" s="2">
        <f t="shared" si="6"/>
        <v>0</v>
      </c>
      <c r="BM7" s="2">
        <f t="shared" si="6"/>
        <v>4.454545454545455</v>
      </c>
      <c r="BN7" s="2">
        <f t="shared" si="6"/>
        <v>2.110261144816671</v>
      </c>
      <c r="BO7" s="2">
        <f t="shared" ref="BO7:DZ7" si="7">MAX(BO75:BO104)</f>
        <v>2.1783926994406828</v>
      </c>
      <c r="BP7" s="2">
        <f t="shared" si="7"/>
        <v>2.2321428571428572</v>
      </c>
      <c r="BQ7" s="2">
        <f t="shared" si="7"/>
        <v>0</v>
      </c>
      <c r="BR7" s="2">
        <f t="shared" si="7"/>
        <v>2.5263951734539969</v>
      </c>
      <c r="BS7" s="2">
        <f t="shared" si="7"/>
        <v>6.7353407290015852</v>
      </c>
      <c r="BT7" s="2">
        <f t="shared" si="7"/>
        <v>2.7794381350866706</v>
      </c>
      <c r="BU7" s="2">
        <f t="shared" si="7"/>
        <v>6.7337729954876773</v>
      </c>
      <c r="BV7" s="2">
        <f t="shared" si="7"/>
        <v>1.3297872340425532</v>
      </c>
      <c r="BW7" s="2">
        <f t="shared" si="7"/>
        <v>0</v>
      </c>
      <c r="BX7" s="2">
        <f t="shared" si="7"/>
        <v>1.2254901960784315</v>
      </c>
      <c r="BY7" s="2">
        <f t="shared" si="7"/>
        <v>2.358490566037736</v>
      </c>
      <c r="BZ7" s="2">
        <f t="shared" si="7"/>
        <v>0.50420168067226889</v>
      </c>
      <c r="CA7" s="2">
        <f t="shared" si="7"/>
        <v>4.562043795620438</v>
      </c>
      <c r="CB7" s="2">
        <f t="shared" si="7"/>
        <v>0</v>
      </c>
      <c r="CC7" s="2">
        <f t="shared" si="7"/>
        <v>0</v>
      </c>
      <c r="CD7" s="2">
        <f t="shared" si="7"/>
        <v>0</v>
      </c>
      <c r="CE7" s="2">
        <f t="shared" si="7"/>
        <v>0</v>
      </c>
      <c r="CF7" s="2">
        <f t="shared" si="7"/>
        <v>0</v>
      </c>
      <c r="CG7" s="2">
        <f t="shared" si="7"/>
        <v>0</v>
      </c>
      <c r="CH7" s="2">
        <f t="shared" si="7"/>
        <v>0.92165898617511521</v>
      </c>
      <c r="CI7" s="2">
        <f t="shared" si="7"/>
        <v>0</v>
      </c>
      <c r="CJ7" s="2">
        <f t="shared" si="7"/>
        <v>2.5225225225225225</v>
      </c>
      <c r="CK7" s="2">
        <f t="shared" si="7"/>
        <v>4.9197860962566846</v>
      </c>
      <c r="CL7" s="2">
        <f t="shared" si="7"/>
        <v>0</v>
      </c>
      <c r="CM7" s="2">
        <f t="shared" si="7"/>
        <v>0</v>
      </c>
      <c r="CN7" s="2">
        <f t="shared" si="7"/>
        <v>0</v>
      </c>
      <c r="CO7" s="2">
        <f t="shared" si="7"/>
        <v>0</v>
      </c>
      <c r="CP7" s="2">
        <f t="shared" si="7"/>
        <v>0.27100271002710025</v>
      </c>
      <c r="CQ7" s="2">
        <f t="shared" si="7"/>
        <v>0</v>
      </c>
      <c r="CR7" s="2">
        <f t="shared" si="7"/>
        <v>2.5089605734767026</v>
      </c>
      <c r="CS7" s="2">
        <f t="shared" si="7"/>
        <v>7.4487895716945998</v>
      </c>
      <c r="CT7" s="2">
        <f t="shared" si="7"/>
        <v>0</v>
      </c>
      <c r="CU7" s="2">
        <f t="shared" si="7"/>
        <v>0</v>
      </c>
      <c r="CV7" s="2">
        <f t="shared" si="7"/>
        <v>0</v>
      </c>
      <c r="CW7" s="2">
        <f t="shared" si="7"/>
        <v>0</v>
      </c>
      <c r="CX7" s="2">
        <f t="shared" si="7"/>
        <v>0</v>
      </c>
      <c r="CY7" s="2">
        <f t="shared" si="7"/>
        <v>0</v>
      </c>
      <c r="CZ7" s="2">
        <f t="shared" si="7"/>
        <v>0</v>
      </c>
      <c r="DA7" s="2">
        <f t="shared" si="7"/>
        <v>0</v>
      </c>
      <c r="DB7" s="2">
        <f t="shared" si="7"/>
        <v>1.4814814814814816</v>
      </c>
      <c r="DC7" s="2">
        <f t="shared" si="7"/>
        <v>5.8683584456780329</v>
      </c>
      <c r="DD7" s="2">
        <f t="shared" si="7"/>
        <v>1.0344827586206897</v>
      </c>
      <c r="DE7" s="2">
        <f t="shared" si="7"/>
        <v>8.6298258894776687</v>
      </c>
      <c r="DF7" s="2">
        <f t="shared" si="7"/>
        <v>0</v>
      </c>
      <c r="DG7" s="2">
        <f t="shared" si="7"/>
        <v>0.9375</v>
      </c>
      <c r="DH7" s="2">
        <f t="shared" si="7"/>
        <v>0</v>
      </c>
      <c r="DI7" s="2">
        <f t="shared" si="7"/>
        <v>1.2879484820607177</v>
      </c>
      <c r="DJ7" s="2">
        <f t="shared" si="7"/>
        <v>0</v>
      </c>
      <c r="DK7" s="2">
        <f t="shared" si="7"/>
        <v>3.2591414944356121</v>
      </c>
      <c r="DL7" s="2">
        <f t="shared" si="7"/>
        <v>0</v>
      </c>
      <c r="DM7" s="2">
        <f t="shared" si="7"/>
        <v>0</v>
      </c>
      <c r="DN7" s="2">
        <f t="shared" si="7"/>
        <v>0</v>
      </c>
      <c r="DO7" s="2">
        <f t="shared" si="7"/>
        <v>0</v>
      </c>
      <c r="DP7" s="2">
        <f t="shared" si="7"/>
        <v>0</v>
      </c>
      <c r="DQ7" s="2">
        <f t="shared" si="7"/>
        <v>0</v>
      </c>
      <c r="DR7" s="2">
        <f t="shared" si="7"/>
        <v>0</v>
      </c>
      <c r="DS7" s="2">
        <f t="shared" si="7"/>
        <v>0</v>
      </c>
      <c r="DT7" s="2">
        <f t="shared" si="7"/>
        <v>1.662971175166297</v>
      </c>
      <c r="DU7" s="2">
        <f t="shared" si="7"/>
        <v>2.6095519448547511</v>
      </c>
      <c r="DV7" s="2">
        <f t="shared" si="7"/>
        <v>0</v>
      </c>
      <c r="DW7" s="2">
        <f t="shared" si="7"/>
        <v>0</v>
      </c>
      <c r="DX7" s="2">
        <f t="shared" si="7"/>
        <v>0</v>
      </c>
      <c r="DY7" s="2">
        <f t="shared" si="7"/>
        <v>0</v>
      </c>
      <c r="DZ7" s="2">
        <f t="shared" si="7"/>
        <v>0.30715225976305399</v>
      </c>
      <c r="EA7" s="2">
        <f t="shared" ref="EA7:GL7" si="8">MAX(EA75:EA104)</f>
        <v>4.4084821428571432</v>
      </c>
      <c r="EB7" s="2">
        <f t="shared" si="8"/>
        <v>4.1481481481481479</v>
      </c>
      <c r="EC7" s="2">
        <f t="shared" si="8"/>
        <v>7.7054794520547949</v>
      </c>
      <c r="ED7" s="2">
        <f t="shared" si="8"/>
        <v>2.336769759450172</v>
      </c>
      <c r="EE7" s="2">
        <f t="shared" si="8"/>
        <v>0</v>
      </c>
      <c r="EF7" s="2">
        <f t="shared" si="8"/>
        <v>3.2235939643347047</v>
      </c>
      <c r="EG7" s="2">
        <f t="shared" si="8"/>
        <v>2.6957163958641064</v>
      </c>
      <c r="EH7" s="2">
        <f t="shared" si="8"/>
        <v>1.9301956636700159</v>
      </c>
      <c r="EI7" s="2">
        <f t="shared" si="8"/>
        <v>0.85882984433709075</v>
      </c>
      <c r="EJ7" s="2">
        <f t="shared" si="8"/>
        <v>1.2228260869565217</v>
      </c>
      <c r="EK7" s="2">
        <f t="shared" si="8"/>
        <v>4.800540906017579</v>
      </c>
      <c r="EL7" s="2">
        <f t="shared" si="8"/>
        <v>1.6766467065868262</v>
      </c>
      <c r="EM7" s="2">
        <f t="shared" si="8"/>
        <v>9.2984640929846414</v>
      </c>
      <c r="EN7" s="2">
        <f t="shared" si="8"/>
        <v>1.7989417989417988</v>
      </c>
      <c r="EO7" s="2">
        <f t="shared" si="8"/>
        <v>7.5342465753424657</v>
      </c>
      <c r="EP7" s="2">
        <f t="shared" si="8"/>
        <v>2.083333333333333</v>
      </c>
      <c r="EQ7" s="2">
        <f t="shared" si="8"/>
        <v>0</v>
      </c>
      <c r="ER7" s="2">
        <f t="shared" si="8"/>
        <v>1.7391304347826086</v>
      </c>
      <c r="ES7" s="2">
        <f t="shared" si="8"/>
        <v>0</v>
      </c>
      <c r="ET7" s="2">
        <f t="shared" si="8"/>
        <v>1.2658227848101267</v>
      </c>
      <c r="EU7" s="2">
        <f t="shared" si="8"/>
        <v>1.8922852983988356</v>
      </c>
      <c r="EV7" s="2">
        <f t="shared" si="8"/>
        <v>0</v>
      </c>
      <c r="EW7" s="2">
        <f t="shared" si="8"/>
        <v>0</v>
      </c>
      <c r="EX7" s="2">
        <f t="shared" si="8"/>
        <v>0</v>
      </c>
      <c r="EY7" s="2">
        <f t="shared" si="8"/>
        <v>0</v>
      </c>
      <c r="EZ7" s="2">
        <f t="shared" si="8"/>
        <v>0</v>
      </c>
      <c r="FA7" s="2">
        <f t="shared" si="8"/>
        <v>0</v>
      </c>
      <c r="FB7" s="2">
        <f t="shared" si="8"/>
        <v>0</v>
      </c>
      <c r="FC7" s="2">
        <f t="shared" si="8"/>
        <v>3.070175438596491</v>
      </c>
      <c r="FD7" s="2">
        <f t="shared" si="8"/>
        <v>2.2486772486772484</v>
      </c>
      <c r="FE7" s="2">
        <f t="shared" si="8"/>
        <v>0</v>
      </c>
      <c r="FF7" s="2">
        <f t="shared" si="8"/>
        <v>1.8103448275862071</v>
      </c>
      <c r="FG7" s="2">
        <f t="shared" si="8"/>
        <v>2.5139664804469275</v>
      </c>
      <c r="FH7" s="2">
        <f t="shared" si="8"/>
        <v>0</v>
      </c>
      <c r="FI7" s="2">
        <f t="shared" si="8"/>
        <v>0</v>
      </c>
      <c r="FJ7" s="2">
        <f t="shared" si="8"/>
        <v>0</v>
      </c>
      <c r="FK7" s="2">
        <f t="shared" si="8"/>
        <v>0</v>
      </c>
      <c r="FL7" s="2">
        <f t="shared" si="8"/>
        <v>2.083333333333333</v>
      </c>
      <c r="FM7" s="2">
        <f t="shared" si="8"/>
        <v>3.6976170912078881</v>
      </c>
      <c r="FN7" s="2">
        <f t="shared" si="8"/>
        <v>0</v>
      </c>
      <c r="FO7" s="2">
        <f t="shared" si="8"/>
        <v>5.0373134328358207</v>
      </c>
      <c r="FP7" s="2">
        <f t="shared" si="8"/>
        <v>0</v>
      </c>
      <c r="FQ7" s="2">
        <f t="shared" si="8"/>
        <v>1.3615733736762481</v>
      </c>
      <c r="FR7" s="2">
        <f t="shared" si="8"/>
        <v>3.1818181818181817</v>
      </c>
      <c r="FS7" s="2">
        <f t="shared" si="8"/>
        <v>0</v>
      </c>
      <c r="FT7" s="2">
        <f t="shared" si="8"/>
        <v>1.8072289156626504</v>
      </c>
      <c r="FU7" s="2">
        <f t="shared" si="8"/>
        <v>4.6814044213263983</v>
      </c>
      <c r="FV7" s="2">
        <f t="shared" si="8"/>
        <v>1.8320610687022902</v>
      </c>
      <c r="FW7" s="2">
        <f t="shared" si="8"/>
        <v>5.8921161825726136</v>
      </c>
      <c r="FX7" s="2">
        <f t="shared" si="8"/>
        <v>2.0754716981132075</v>
      </c>
      <c r="FY7" s="2">
        <f t="shared" si="8"/>
        <v>9.0659340659340657</v>
      </c>
      <c r="FZ7" s="2">
        <f t="shared" si="8"/>
        <v>1.6304347826086956</v>
      </c>
      <c r="GA7" s="2">
        <f t="shared" si="8"/>
        <v>0</v>
      </c>
      <c r="GB7" s="2">
        <f t="shared" si="8"/>
        <v>2.2787028921998247</v>
      </c>
      <c r="GC7" s="2">
        <f t="shared" si="8"/>
        <v>4.6318289786223277</v>
      </c>
      <c r="GD7" s="2">
        <f t="shared" si="8"/>
        <v>0</v>
      </c>
      <c r="GE7" s="2">
        <f t="shared" si="8"/>
        <v>0</v>
      </c>
      <c r="GF7" s="2">
        <f t="shared" si="8"/>
        <v>0</v>
      </c>
      <c r="GG7" s="2">
        <f t="shared" si="8"/>
        <v>0</v>
      </c>
      <c r="GH7" s="2">
        <f t="shared" si="8"/>
        <v>0</v>
      </c>
      <c r="GI7" s="2">
        <f t="shared" si="8"/>
        <v>0</v>
      </c>
      <c r="GJ7" s="2">
        <f t="shared" si="8"/>
        <v>0</v>
      </c>
      <c r="GK7" s="2">
        <f t="shared" si="8"/>
        <v>0</v>
      </c>
      <c r="GL7" s="2">
        <f t="shared" si="8"/>
        <v>0.50167224080267558</v>
      </c>
      <c r="GM7" s="2">
        <f t="shared" ref="GM7:IX7" si="9">MAX(GM75:GM104)</f>
        <v>4.315960912052117</v>
      </c>
      <c r="GN7" s="2">
        <f t="shared" si="9"/>
        <v>2.5891548607718611</v>
      </c>
      <c r="GO7" s="2">
        <f t="shared" si="9"/>
        <v>2.6901189860320742</v>
      </c>
      <c r="GP7" s="2">
        <f t="shared" si="9"/>
        <v>0</v>
      </c>
      <c r="GQ7" s="2">
        <f t="shared" si="9"/>
        <v>0</v>
      </c>
      <c r="GR7" s="2">
        <f t="shared" si="9"/>
        <v>0</v>
      </c>
      <c r="GS7" s="2">
        <f t="shared" si="9"/>
        <v>0</v>
      </c>
      <c r="GT7" s="2">
        <f t="shared" si="9"/>
        <v>1.4317673378076063</v>
      </c>
      <c r="GU7" s="2">
        <f t="shared" si="9"/>
        <v>4.967709885742673E-2</v>
      </c>
      <c r="GV7" s="2">
        <f t="shared" si="9"/>
        <v>6.572258533042846</v>
      </c>
      <c r="GW7" s="2">
        <f t="shared" si="9"/>
        <v>6.5588914549653587</v>
      </c>
      <c r="GX7" s="2">
        <f t="shared" si="9"/>
        <v>0.34246575342465752</v>
      </c>
      <c r="GY7" s="2">
        <f t="shared" si="9"/>
        <v>0</v>
      </c>
      <c r="GZ7" s="2">
        <f t="shared" si="9"/>
        <v>0</v>
      </c>
      <c r="HA7" s="2">
        <f t="shared" si="9"/>
        <v>2.4244553759662684</v>
      </c>
      <c r="HB7" s="2">
        <f t="shared" si="9"/>
        <v>1.6886090440755581</v>
      </c>
      <c r="HC7" s="2">
        <f t="shared" si="9"/>
        <v>0</v>
      </c>
      <c r="HD7" s="2">
        <f t="shared" si="9"/>
        <v>0.79601990049751237</v>
      </c>
      <c r="HE7" s="2">
        <f t="shared" si="9"/>
        <v>6.570223025919228</v>
      </c>
      <c r="HF7" s="2">
        <f t="shared" si="9"/>
        <v>1.9392372333548804</v>
      </c>
      <c r="HG7" s="2">
        <f t="shared" si="9"/>
        <v>6.6149297856614924</v>
      </c>
      <c r="HH7" s="2">
        <f t="shared" si="9"/>
        <v>1.4743263853584139</v>
      </c>
      <c r="HI7" s="2">
        <f t="shared" si="9"/>
        <v>5.2261613691931537</v>
      </c>
      <c r="HJ7" s="2">
        <f t="shared" si="9"/>
        <v>1.3953488372093024</v>
      </c>
      <c r="HK7" s="2">
        <f t="shared" si="9"/>
        <v>0.8875739644970414</v>
      </c>
      <c r="HL7" s="2">
        <f t="shared" si="9"/>
        <v>1.7543859649122806</v>
      </c>
      <c r="HM7" s="2">
        <f t="shared" si="9"/>
        <v>1.4732965009208103</v>
      </c>
      <c r="HN7" s="2">
        <f t="shared" si="9"/>
        <v>2.2865853658536586</v>
      </c>
      <c r="HO7" s="2">
        <f t="shared" si="9"/>
        <v>0</v>
      </c>
      <c r="HP7" s="2">
        <f t="shared" si="9"/>
        <v>0</v>
      </c>
      <c r="HQ7" s="2">
        <f t="shared" si="9"/>
        <v>0</v>
      </c>
      <c r="HR7" s="2">
        <f t="shared" si="9"/>
        <v>0</v>
      </c>
      <c r="HS7" s="2">
        <f t="shared" si="9"/>
        <v>0</v>
      </c>
      <c r="HT7" s="2">
        <f t="shared" si="9"/>
        <v>0</v>
      </c>
      <c r="HU7" s="2">
        <f t="shared" si="9"/>
        <v>0</v>
      </c>
      <c r="HV7" s="2">
        <f t="shared" si="9"/>
        <v>0</v>
      </c>
      <c r="HW7" s="2">
        <f t="shared" si="9"/>
        <v>2</v>
      </c>
      <c r="HX7" s="2">
        <f t="shared" si="9"/>
        <v>2.147239263803681</v>
      </c>
      <c r="HY7" s="2">
        <f t="shared" si="9"/>
        <v>0</v>
      </c>
      <c r="HZ7" s="2">
        <f t="shared" si="9"/>
        <v>0.86956521739130432</v>
      </c>
      <c r="IA7" s="2">
        <f t="shared" si="9"/>
        <v>0</v>
      </c>
      <c r="IB7" s="2">
        <f t="shared" si="9"/>
        <v>0</v>
      </c>
      <c r="IC7" s="2">
        <f t="shared" si="9"/>
        <v>0</v>
      </c>
      <c r="ID7" s="2">
        <f t="shared" si="9"/>
        <v>0</v>
      </c>
      <c r="IE7" s="2">
        <f t="shared" si="9"/>
        <v>2.6347305389221556</v>
      </c>
      <c r="IF7" s="2">
        <f t="shared" si="9"/>
        <v>2.7126099706744866</v>
      </c>
      <c r="IG7" s="2">
        <f t="shared" si="9"/>
        <v>4.2124542124542126</v>
      </c>
      <c r="IH7" s="2">
        <f t="shared" si="9"/>
        <v>0</v>
      </c>
      <c r="II7" s="2">
        <f t="shared" si="9"/>
        <v>3.8596491228070176</v>
      </c>
      <c r="IJ7" s="2">
        <f t="shared" si="9"/>
        <v>0.9441384736428009</v>
      </c>
      <c r="IK7" s="2">
        <f t="shared" si="9"/>
        <v>3.7642045454545454</v>
      </c>
      <c r="IL7" s="2">
        <f t="shared" si="9"/>
        <v>0</v>
      </c>
      <c r="IM7" s="2">
        <f t="shared" si="9"/>
        <v>0</v>
      </c>
      <c r="IN7" s="2">
        <f t="shared" si="9"/>
        <v>0</v>
      </c>
      <c r="IO7" s="2">
        <f t="shared" si="9"/>
        <v>0</v>
      </c>
      <c r="IP7" s="2">
        <f t="shared" si="9"/>
        <v>2.3008849557522124</v>
      </c>
      <c r="IQ7" s="2">
        <f t="shared" si="9"/>
        <v>9.7283085013146362</v>
      </c>
      <c r="IR7" s="2">
        <f t="shared" si="9"/>
        <v>1.1574074074074074</v>
      </c>
      <c r="IS7" s="2">
        <f t="shared" si="9"/>
        <v>10.78622482131254</v>
      </c>
      <c r="IT7" s="2">
        <f t="shared" si="9"/>
        <v>0</v>
      </c>
      <c r="IU7" s="2">
        <f t="shared" si="9"/>
        <v>1.7825311942959003</v>
      </c>
      <c r="IV7" s="2">
        <f t="shared" si="9"/>
        <v>2.8735632183908044</v>
      </c>
      <c r="IW7" s="2">
        <f t="shared" si="9"/>
        <v>0.23255813953488372</v>
      </c>
      <c r="IX7" s="2">
        <f t="shared" si="9"/>
        <v>0.55910543130990409</v>
      </c>
      <c r="IY7" s="2">
        <f t="shared" ref="IY7:LJ7" si="10">MAX(IY75:IY104)</f>
        <v>0</v>
      </c>
      <c r="IZ7" s="2">
        <f t="shared" si="10"/>
        <v>0</v>
      </c>
      <c r="JA7" s="2">
        <f t="shared" si="10"/>
        <v>0</v>
      </c>
      <c r="JB7" s="2">
        <f t="shared" si="10"/>
        <v>0</v>
      </c>
      <c r="JC7" s="2">
        <f t="shared" si="10"/>
        <v>0</v>
      </c>
      <c r="JD7" s="2">
        <f t="shared" si="10"/>
        <v>0.24764735017335313</v>
      </c>
      <c r="JE7" s="2">
        <f t="shared" si="10"/>
        <v>0</v>
      </c>
      <c r="JF7" s="2">
        <f t="shared" si="10"/>
        <v>1.2152777777777779</v>
      </c>
      <c r="JG7" s="2">
        <f t="shared" si="10"/>
        <v>0</v>
      </c>
      <c r="JH7" s="2">
        <f t="shared" si="10"/>
        <v>0</v>
      </c>
      <c r="JI7" s="2">
        <f t="shared" si="10"/>
        <v>0</v>
      </c>
      <c r="JJ7" s="2">
        <f t="shared" si="10"/>
        <v>0</v>
      </c>
      <c r="JK7" s="2">
        <f t="shared" si="10"/>
        <v>1.2232415902140672</v>
      </c>
      <c r="JL7" s="2">
        <f t="shared" si="10"/>
        <v>0</v>
      </c>
      <c r="JM7" s="2">
        <f t="shared" si="10"/>
        <v>0</v>
      </c>
      <c r="JN7" s="2">
        <f t="shared" si="10"/>
        <v>0.19872813990461047</v>
      </c>
      <c r="JO7" s="2">
        <f t="shared" si="10"/>
        <v>2.5432349949135302</v>
      </c>
      <c r="JP7" s="2">
        <f t="shared" si="10"/>
        <v>5.2930056710775046</v>
      </c>
      <c r="JQ7" s="2">
        <f t="shared" si="10"/>
        <v>11.13198684828558</v>
      </c>
      <c r="JR7" s="2">
        <f t="shared" si="10"/>
        <v>0</v>
      </c>
      <c r="JS7" s="2">
        <f t="shared" si="10"/>
        <v>4.2912873862158651</v>
      </c>
      <c r="JT7" s="2">
        <f t="shared" si="10"/>
        <v>0.71599045346062051</v>
      </c>
      <c r="JU7" s="2">
        <f t="shared" si="10"/>
        <v>0</v>
      </c>
      <c r="JV7" s="2">
        <f t="shared" si="10"/>
        <v>2.4928589976629447</v>
      </c>
      <c r="JW7" s="2">
        <f t="shared" si="10"/>
        <v>5.8479532163742694E-2</v>
      </c>
      <c r="JX7" s="2">
        <f t="shared" si="10"/>
        <v>1.2557077625570776</v>
      </c>
      <c r="JY7" s="2">
        <f t="shared" si="10"/>
        <v>3.8132807363576595</v>
      </c>
      <c r="JZ7" s="2">
        <f t="shared" si="10"/>
        <v>1.6700066800267204</v>
      </c>
      <c r="KA7" s="2">
        <f t="shared" si="10"/>
        <v>5.6886227544910177</v>
      </c>
      <c r="KB7" s="2">
        <f t="shared" si="10"/>
        <v>2.9966703662597114</v>
      </c>
      <c r="KC7" s="2">
        <f t="shared" si="10"/>
        <v>6.9669475048606611</v>
      </c>
      <c r="KD7" s="2">
        <f t="shared" si="10"/>
        <v>0</v>
      </c>
      <c r="KE7" s="2">
        <f t="shared" si="10"/>
        <v>5.1428571428571423</v>
      </c>
      <c r="KF7" s="2">
        <f t="shared" si="10"/>
        <v>0</v>
      </c>
      <c r="KG7" s="2">
        <f t="shared" si="10"/>
        <v>5.93607305936073</v>
      </c>
      <c r="KH7" s="2">
        <f t="shared" si="10"/>
        <v>0.14792899408284024</v>
      </c>
      <c r="KI7" s="2">
        <f t="shared" si="10"/>
        <v>5.5369127516778525</v>
      </c>
      <c r="KJ7" s="2">
        <f t="shared" si="10"/>
        <v>0</v>
      </c>
      <c r="KK7" s="2">
        <f t="shared" si="10"/>
        <v>0</v>
      </c>
      <c r="KL7" s="2">
        <f t="shared" si="10"/>
        <v>0</v>
      </c>
      <c r="KM7" s="2">
        <f t="shared" si="10"/>
        <v>0</v>
      </c>
      <c r="KN7" s="2">
        <f t="shared" si="10"/>
        <v>0</v>
      </c>
      <c r="KO7" s="2">
        <f t="shared" si="10"/>
        <v>0</v>
      </c>
      <c r="KP7" s="2">
        <f t="shared" si="10"/>
        <v>0</v>
      </c>
      <c r="KQ7" s="2">
        <f t="shared" si="10"/>
        <v>5.4545454545454541</v>
      </c>
      <c r="KR7" s="2">
        <f t="shared" si="10"/>
        <v>0.25510204081632654</v>
      </c>
      <c r="KS7" s="2">
        <f t="shared" si="10"/>
        <v>2.1276595744680851</v>
      </c>
      <c r="KT7" s="2">
        <f t="shared" si="10"/>
        <v>0</v>
      </c>
      <c r="KU7" s="2">
        <f t="shared" si="10"/>
        <v>0</v>
      </c>
      <c r="KV7" s="2">
        <f t="shared" si="10"/>
        <v>0</v>
      </c>
      <c r="KW7" s="2">
        <f t="shared" si="10"/>
        <v>0</v>
      </c>
      <c r="KX7" s="2">
        <f t="shared" si="10"/>
        <v>0</v>
      </c>
      <c r="KY7" s="2">
        <f t="shared" si="10"/>
        <v>0</v>
      </c>
      <c r="KZ7" s="2">
        <f t="shared" si="10"/>
        <v>2.4175824175824179</v>
      </c>
      <c r="LA7" s="2">
        <f t="shared" si="10"/>
        <v>8.5470085470085468</v>
      </c>
      <c r="LB7" s="2">
        <f t="shared" si="10"/>
        <v>2.4096385542168677</v>
      </c>
      <c r="LC7" s="2">
        <f t="shared" si="10"/>
        <v>0</v>
      </c>
      <c r="LD7" s="2">
        <f t="shared" si="10"/>
        <v>0.52287581699346397</v>
      </c>
      <c r="LE7" s="2">
        <f t="shared" si="10"/>
        <v>1.0933557611438183</v>
      </c>
      <c r="LF7" s="2">
        <f t="shared" si="10"/>
        <v>0</v>
      </c>
      <c r="LG7" s="2">
        <f t="shared" si="10"/>
        <v>0</v>
      </c>
      <c r="LH7" s="2">
        <f t="shared" si="10"/>
        <v>0</v>
      </c>
      <c r="LI7" s="2">
        <f t="shared" si="10"/>
        <v>2.7878787878787876</v>
      </c>
      <c r="LJ7" s="2">
        <f t="shared" si="10"/>
        <v>2.2796352583586628</v>
      </c>
      <c r="LK7" s="2">
        <f t="shared" ref="LK7:MW7" si="11">MAX(LK75:LK104)</f>
        <v>4.838709677419355</v>
      </c>
      <c r="LL7" s="2">
        <f t="shared" si="11"/>
        <v>1.8932874354561102</v>
      </c>
      <c r="LM7" s="2">
        <f t="shared" si="11"/>
        <v>7.0524412296564201</v>
      </c>
      <c r="LN7" s="2">
        <f t="shared" si="11"/>
        <v>0</v>
      </c>
      <c r="LO7" s="2">
        <f t="shared" si="11"/>
        <v>0</v>
      </c>
      <c r="LP7" s="2">
        <f t="shared" si="11"/>
        <v>3.3950617283950617</v>
      </c>
      <c r="LQ7" s="2">
        <f t="shared" si="11"/>
        <v>0.51177072671443202</v>
      </c>
      <c r="LR7" s="2">
        <f t="shared" si="11"/>
        <v>1.5202702702702704</v>
      </c>
      <c r="LS7" s="2">
        <f t="shared" si="11"/>
        <v>4.9532710280373831</v>
      </c>
      <c r="LT7" s="2">
        <f t="shared" si="11"/>
        <v>0</v>
      </c>
      <c r="LU7" s="2">
        <f t="shared" si="11"/>
        <v>0</v>
      </c>
      <c r="LV7" s="2">
        <f t="shared" si="11"/>
        <v>0</v>
      </c>
      <c r="LW7" s="2">
        <f t="shared" si="11"/>
        <v>0</v>
      </c>
      <c r="LX7" s="2">
        <f t="shared" si="11"/>
        <v>0</v>
      </c>
      <c r="LY7" s="2">
        <f t="shared" si="11"/>
        <v>0</v>
      </c>
      <c r="LZ7" s="2">
        <f t="shared" si="11"/>
        <v>1.7746228926353149</v>
      </c>
      <c r="MA7" s="2">
        <f t="shared" si="11"/>
        <v>0</v>
      </c>
      <c r="MB7" s="2">
        <f t="shared" si="11"/>
        <v>2.4307243558580454</v>
      </c>
      <c r="MC7" s="2">
        <f t="shared" si="11"/>
        <v>0</v>
      </c>
      <c r="MD7" s="2">
        <f t="shared" si="11"/>
        <v>1.2093023255813953</v>
      </c>
      <c r="ME7" s="2">
        <f t="shared" si="11"/>
        <v>0</v>
      </c>
      <c r="MF7" s="2">
        <f t="shared" si="11"/>
        <v>0</v>
      </c>
      <c r="MG7" s="2">
        <f t="shared" si="11"/>
        <v>0</v>
      </c>
      <c r="MH7" s="2">
        <f t="shared" si="11"/>
        <v>2.0175438596491229</v>
      </c>
      <c r="MI7" s="2">
        <f t="shared" si="11"/>
        <v>0</v>
      </c>
      <c r="MJ7" s="2">
        <f t="shared" si="11"/>
        <v>5.6029232643118148</v>
      </c>
      <c r="MK7" s="2">
        <f t="shared" si="11"/>
        <v>4.032889584964761</v>
      </c>
      <c r="ML7" s="2">
        <f t="shared" si="11"/>
        <v>1.8292682926829267</v>
      </c>
      <c r="MM7" s="2">
        <f t="shared" si="11"/>
        <v>0</v>
      </c>
      <c r="MN7" s="2">
        <f t="shared" si="11"/>
        <v>0.73235685752330226</v>
      </c>
      <c r="MO7" s="2">
        <f t="shared" si="11"/>
        <v>4.3543543543543537</v>
      </c>
      <c r="MP7" s="2">
        <f t="shared" si="11"/>
        <v>0</v>
      </c>
      <c r="MQ7" s="2">
        <f t="shared" si="11"/>
        <v>0</v>
      </c>
      <c r="MR7" s="2">
        <f t="shared" si="11"/>
        <v>1.4684287812041115</v>
      </c>
      <c r="MS7" s="2">
        <f t="shared" si="11"/>
        <v>0</v>
      </c>
      <c r="MT7" s="2">
        <f t="shared" si="11"/>
        <v>2.3314203730272598</v>
      </c>
      <c r="MU7" s="2">
        <f t="shared" si="11"/>
        <v>5.5829851879984806</v>
      </c>
      <c r="MV7" s="2">
        <f t="shared" si="11"/>
        <v>1.9521082769390943</v>
      </c>
      <c r="MW7" s="2">
        <f t="shared" si="11"/>
        <v>7.354758961681088</v>
      </c>
    </row>
    <row r="8" spans="1:363" x14ac:dyDescent="0.3">
      <c r="A8" s="2" t="s">
        <v>8</v>
      </c>
      <c r="B8" s="2">
        <f>AVERAGE(B75:B104)</f>
        <v>1.1494252873563224</v>
      </c>
      <c r="C8" s="2">
        <f t="shared" ref="C8:BN8" si="12">AVERAGE(C75:C104)</f>
        <v>0</v>
      </c>
      <c r="D8" s="2">
        <f t="shared" si="12"/>
        <v>0.21186440677966092</v>
      </c>
      <c r="E8" s="2">
        <f t="shared" si="12"/>
        <v>7.064220183486241</v>
      </c>
      <c r="F8" s="2">
        <f t="shared" si="12"/>
        <v>0</v>
      </c>
      <c r="G8" s="2">
        <f t="shared" si="12"/>
        <v>2.1032504780114731</v>
      </c>
      <c r="H8" s="2">
        <f t="shared" si="12"/>
        <v>0</v>
      </c>
      <c r="I8" s="2">
        <f t="shared" si="12"/>
        <v>0</v>
      </c>
      <c r="J8" s="2">
        <f t="shared" si="12"/>
        <v>0</v>
      </c>
      <c r="K8" s="2">
        <f t="shared" si="12"/>
        <v>0</v>
      </c>
      <c r="L8" s="2">
        <f t="shared" si="12"/>
        <v>0</v>
      </c>
      <c r="M8" s="2">
        <f t="shared" si="12"/>
        <v>0</v>
      </c>
      <c r="N8" s="2">
        <f t="shared" si="12"/>
        <v>1.4678899082568797</v>
      </c>
      <c r="O8" s="2">
        <f t="shared" si="12"/>
        <v>1.0373443983402488</v>
      </c>
      <c r="P8" s="2">
        <f t="shared" si="12"/>
        <v>1.5886939571150096</v>
      </c>
      <c r="Q8" s="2">
        <f t="shared" si="12"/>
        <v>0</v>
      </c>
      <c r="R8" s="2">
        <f t="shared" si="12"/>
        <v>0.5577047066408769</v>
      </c>
      <c r="S8" s="2">
        <f t="shared" si="12"/>
        <v>2.6168929110105572</v>
      </c>
      <c r="T8" s="2">
        <f t="shared" si="12"/>
        <v>0</v>
      </c>
      <c r="U8" s="2">
        <f t="shared" si="12"/>
        <v>0</v>
      </c>
      <c r="V8" s="2">
        <f t="shared" si="12"/>
        <v>3.2206119162640902E-3</v>
      </c>
      <c r="W8" s="2">
        <f t="shared" si="12"/>
        <v>3.2654320987654306</v>
      </c>
      <c r="X8" s="2">
        <f t="shared" si="12"/>
        <v>0.47028423772609834</v>
      </c>
      <c r="Y8" s="2">
        <f t="shared" si="12"/>
        <v>9.0471014492753632</v>
      </c>
      <c r="Z8" s="2">
        <f t="shared" si="12"/>
        <v>0.3038936372269706</v>
      </c>
      <c r="AA8" s="2">
        <f t="shared" si="12"/>
        <v>0.66152149944873184</v>
      </c>
      <c r="AB8" s="2">
        <f t="shared" si="12"/>
        <v>1.6925287356321845</v>
      </c>
      <c r="AC8" s="2">
        <f t="shared" si="12"/>
        <v>0.92592592592592604</v>
      </c>
      <c r="AD8" s="2">
        <f t="shared" si="12"/>
        <v>0.51254089422028359</v>
      </c>
      <c r="AE8" s="2">
        <f t="shared" si="12"/>
        <v>0</v>
      </c>
      <c r="AF8" s="2">
        <f t="shared" si="12"/>
        <v>0.46511627906976777</v>
      </c>
      <c r="AG8" s="2">
        <f t="shared" si="12"/>
        <v>3.9845679012345676</v>
      </c>
      <c r="AH8" s="2">
        <f t="shared" si="12"/>
        <v>1.1384335154826957</v>
      </c>
      <c r="AI8" s="2">
        <f t="shared" si="12"/>
        <v>4.6309963099630984</v>
      </c>
      <c r="AJ8" s="2">
        <f t="shared" si="12"/>
        <v>0.62375249500997987</v>
      </c>
      <c r="AK8" s="2">
        <f t="shared" si="12"/>
        <v>6.7967479674796758</v>
      </c>
      <c r="AL8" s="2">
        <f t="shared" si="12"/>
        <v>0</v>
      </c>
      <c r="AM8" s="2">
        <f t="shared" si="12"/>
        <v>0</v>
      </c>
      <c r="AN8" s="2">
        <f t="shared" si="12"/>
        <v>2.9529993815708098</v>
      </c>
      <c r="AO8" s="2">
        <f t="shared" si="12"/>
        <v>0</v>
      </c>
      <c r="AP8" s="2">
        <f t="shared" si="12"/>
        <v>0.30413625304136255</v>
      </c>
      <c r="AQ8" s="2">
        <f t="shared" si="12"/>
        <v>0</v>
      </c>
      <c r="AR8" s="2">
        <f t="shared" si="12"/>
        <v>0</v>
      </c>
      <c r="AS8" s="2">
        <f t="shared" si="12"/>
        <v>0</v>
      </c>
      <c r="AT8" s="2">
        <f t="shared" si="12"/>
        <v>0</v>
      </c>
      <c r="AU8" s="2">
        <f t="shared" si="12"/>
        <v>0</v>
      </c>
      <c r="AV8" s="2">
        <f t="shared" si="12"/>
        <v>0</v>
      </c>
      <c r="AW8" s="2">
        <f t="shared" si="12"/>
        <v>0</v>
      </c>
      <c r="AX8" s="2">
        <f t="shared" si="12"/>
        <v>0</v>
      </c>
      <c r="AY8" s="2">
        <f t="shared" si="12"/>
        <v>0.84819387288523085</v>
      </c>
      <c r="AZ8" s="2">
        <f t="shared" si="12"/>
        <v>2.6006252442360296</v>
      </c>
      <c r="BA8" s="2">
        <f t="shared" si="12"/>
        <v>0</v>
      </c>
      <c r="BB8" s="2">
        <f t="shared" si="12"/>
        <v>1.9101405622489962</v>
      </c>
      <c r="BC8" s="2">
        <f t="shared" si="12"/>
        <v>2.7056476365868645</v>
      </c>
      <c r="BD8" s="2">
        <f t="shared" si="12"/>
        <v>0</v>
      </c>
      <c r="BE8" s="2">
        <f t="shared" si="12"/>
        <v>0</v>
      </c>
      <c r="BF8" s="2">
        <f t="shared" si="12"/>
        <v>1.3248542660307366E-3</v>
      </c>
      <c r="BG8" s="2">
        <f t="shared" si="12"/>
        <v>1.4720314033366044E-2</v>
      </c>
      <c r="BH8" s="2">
        <f t="shared" si="12"/>
        <v>4.020673915961873</v>
      </c>
      <c r="BI8" s="2">
        <f t="shared" si="12"/>
        <v>7.3855370132648686</v>
      </c>
      <c r="BJ8" s="2">
        <f t="shared" si="12"/>
        <v>0.39140608381195491</v>
      </c>
      <c r="BK8" s="2">
        <f t="shared" si="12"/>
        <v>3.8894700139470002</v>
      </c>
      <c r="BL8" s="2">
        <f t="shared" si="12"/>
        <v>0</v>
      </c>
      <c r="BM8" s="2">
        <f t="shared" si="12"/>
        <v>3.9696969696969688</v>
      </c>
      <c r="BN8" s="2">
        <f t="shared" si="12"/>
        <v>1.9625428646795038</v>
      </c>
      <c r="BO8" s="2">
        <f t="shared" ref="BO8:DZ8" si="13">AVERAGE(BO75:BO104)</f>
        <v>1.7701893827887354</v>
      </c>
      <c r="BP8" s="2">
        <f t="shared" si="13"/>
        <v>1.9923941798941798</v>
      </c>
      <c r="BQ8" s="2">
        <f t="shared" si="13"/>
        <v>0</v>
      </c>
      <c r="BR8" s="2">
        <f t="shared" si="13"/>
        <v>2.3793363499245852</v>
      </c>
      <c r="BS8" s="2">
        <f t="shared" si="13"/>
        <v>5.4160063391442153</v>
      </c>
      <c r="BT8" s="2">
        <f t="shared" si="13"/>
        <v>2.5702331141661685</v>
      </c>
      <c r="BU8" s="2">
        <f t="shared" si="13"/>
        <v>5.9111419645956271</v>
      </c>
      <c r="BV8" s="2">
        <f t="shared" si="13"/>
        <v>1.3297872340425532</v>
      </c>
      <c r="BW8" s="2">
        <f t="shared" si="13"/>
        <v>0</v>
      </c>
      <c r="BX8" s="2">
        <f t="shared" si="13"/>
        <v>1.2254901960784321</v>
      </c>
      <c r="BY8" s="2">
        <f t="shared" si="13"/>
        <v>2.3427672955974845</v>
      </c>
      <c r="BZ8" s="2">
        <f t="shared" si="13"/>
        <v>0.25770308123249303</v>
      </c>
      <c r="CA8" s="2">
        <f t="shared" si="13"/>
        <v>4.5620437956204389</v>
      </c>
      <c r="CB8" s="2">
        <f t="shared" si="13"/>
        <v>0</v>
      </c>
      <c r="CC8" s="2">
        <f t="shared" si="13"/>
        <v>0</v>
      </c>
      <c r="CD8" s="2">
        <f t="shared" si="13"/>
        <v>0</v>
      </c>
      <c r="CE8" s="2">
        <f t="shared" si="13"/>
        <v>0</v>
      </c>
      <c r="CF8" s="2">
        <f t="shared" si="13"/>
        <v>0</v>
      </c>
      <c r="CG8" s="2">
        <f t="shared" si="13"/>
        <v>0</v>
      </c>
      <c r="CH8" s="2">
        <f t="shared" si="13"/>
        <v>0.79365079365079305</v>
      </c>
      <c r="CI8" s="2">
        <f t="shared" si="13"/>
        <v>0</v>
      </c>
      <c r="CJ8" s="2">
        <f t="shared" si="13"/>
        <v>2.4264264264264273</v>
      </c>
      <c r="CK8" s="2">
        <f t="shared" si="13"/>
        <v>4.2352941176470571</v>
      </c>
      <c r="CL8" s="2">
        <f t="shared" si="13"/>
        <v>0</v>
      </c>
      <c r="CM8" s="2">
        <f t="shared" si="13"/>
        <v>0</v>
      </c>
      <c r="CN8" s="2">
        <f t="shared" si="13"/>
        <v>0</v>
      </c>
      <c r="CO8" s="2">
        <f t="shared" si="13"/>
        <v>0</v>
      </c>
      <c r="CP8" s="2">
        <f t="shared" si="13"/>
        <v>5.4200542005420044E-2</v>
      </c>
      <c r="CQ8" s="2">
        <f t="shared" si="13"/>
        <v>0</v>
      </c>
      <c r="CR8" s="2">
        <f t="shared" si="13"/>
        <v>2.172043010752688</v>
      </c>
      <c r="CS8" s="2">
        <f t="shared" si="13"/>
        <v>5.8597144630664193</v>
      </c>
      <c r="CT8" s="2">
        <f t="shared" si="13"/>
        <v>0</v>
      </c>
      <c r="CU8" s="2">
        <f t="shared" si="13"/>
        <v>0</v>
      </c>
      <c r="CV8" s="2">
        <f t="shared" si="13"/>
        <v>0</v>
      </c>
      <c r="CW8" s="2">
        <f t="shared" si="13"/>
        <v>0</v>
      </c>
      <c r="CX8" s="2">
        <f t="shared" si="13"/>
        <v>0</v>
      </c>
      <c r="CY8" s="2">
        <f t="shared" si="13"/>
        <v>0</v>
      </c>
      <c r="CZ8" s="2">
        <f t="shared" si="13"/>
        <v>0</v>
      </c>
      <c r="DA8" s="2">
        <f t="shared" si="13"/>
        <v>0</v>
      </c>
      <c r="DB8" s="2">
        <f t="shared" si="13"/>
        <v>1.2078189300411526</v>
      </c>
      <c r="DC8" s="2">
        <f t="shared" si="13"/>
        <v>4.9061591329632552</v>
      </c>
      <c r="DD8" s="2">
        <f t="shared" si="13"/>
        <v>0.81992337164750995</v>
      </c>
      <c r="DE8" s="2">
        <f t="shared" si="13"/>
        <v>7.7542265960131234</v>
      </c>
      <c r="DF8" s="2">
        <f t="shared" si="13"/>
        <v>0</v>
      </c>
      <c r="DG8" s="2">
        <f t="shared" si="13"/>
        <v>0.60416666666666663</v>
      </c>
      <c r="DH8" s="2">
        <f t="shared" si="13"/>
        <v>0</v>
      </c>
      <c r="DI8" s="2">
        <f t="shared" si="13"/>
        <v>0.57344372891750994</v>
      </c>
      <c r="DJ8" s="2">
        <f t="shared" si="13"/>
        <v>0</v>
      </c>
      <c r="DK8" s="2">
        <f t="shared" si="13"/>
        <v>2.5331213566507684</v>
      </c>
      <c r="DL8" s="2">
        <f t="shared" si="13"/>
        <v>0</v>
      </c>
      <c r="DM8" s="2">
        <f t="shared" si="13"/>
        <v>0</v>
      </c>
      <c r="DN8" s="2">
        <f t="shared" si="13"/>
        <v>0</v>
      </c>
      <c r="DO8" s="2">
        <f t="shared" si="13"/>
        <v>0</v>
      </c>
      <c r="DP8" s="2">
        <f t="shared" si="13"/>
        <v>0</v>
      </c>
      <c r="DQ8" s="2">
        <f t="shared" si="13"/>
        <v>0</v>
      </c>
      <c r="DR8" s="2">
        <f t="shared" si="13"/>
        <v>0</v>
      </c>
      <c r="DS8" s="2">
        <f t="shared" si="13"/>
        <v>0</v>
      </c>
      <c r="DT8" s="2">
        <f t="shared" si="13"/>
        <v>1.5354767184035478</v>
      </c>
      <c r="DU8" s="2">
        <f t="shared" si="13"/>
        <v>1.831610044313146</v>
      </c>
      <c r="DV8" s="2">
        <f t="shared" si="13"/>
        <v>0</v>
      </c>
      <c r="DW8" s="2">
        <f t="shared" si="13"/>
        <v>0</v>
      </c>
      <c r="DX8" s="2">
        <f t="shared" si="13"/>
        <v>0</v>
      </c>
      <c r="DY8" s="2">
        <f t="shared" si="13"/>
        <v>0</v>
      </c>
      <c r="DZ8" s="2">
        <f t="shared" si="13"/>
        <v>0.1213982740968261</v>
      </c>
      <c r="EA8" s="2">
        <f t="shared" ref="EA8:GL8" si="14">AVERAGE(EA75:EA104)</f>
        <v>3.3296130952380949</v>
      </c>
      <c r="EB8" s="2">
        <f t="shared" si="14"/>
        <v>3.3777777777777778</v>
      </c>
      <c r="EC8" s="2">
        <f t="shared" si="14"/>
        <v>5.9560502283105023</v>
      </c>
      <c r="ED8" s="2">
        <f t="shared" si="14"/>
        <v>2.0824742268041234</v>
      </c>
      <c r="EE8" s="2">
        <f t="shared" si="14"/>
        <v>0</v>
      </c>
      <c r="EF8" s="2">
        <f t="shared" si="14"/>
        <v>2.9469593049839959</v>
      </c>
      <c r="EG8" s="2">
        <f t="shared" si="14"/>
        <v>2.1491875923190547</v>
      </c>
      <c r="EH8" s="2">
        <f t="shared" si="14"/>
        <v>1.7371760973030139</v>
      </c>
      <c r="EI8" s="2">
        <f t="shared" si="14"/>
        <v>0.37752728573984601</v>
      </c>
      <c r="EJ8" s="2">
        <f t="shared" si="14"/>
        <v>0.86201690821256072</v>
      </c>
      <c r="EK8" s="2">
        <f t="shared" si="14"/>
        <v>3.5496957403651117</v>
      </c>
      <c r="EL8" s="2">
        <f t="shared" si="14"/>
        <v>1.4730538922155687</v>
      </c>
      <c r="EM8" s="2">
        <f t="shared" si="14"/>
        <v>8.0711221807112228</v>
      </c>
      <c r="EN8" s="2">
        <f t="shared" si="14"/>
        <v>1.5811287477954143</v>
      </c>
      <c r="EO8" s="2">
        <f t="shared" si="14"/>
        <v>7.0504457490758847</v>
      </c>
      <c r="EP8" s="2">
        <f t="shared" si="14"/>
        <v>2.0833333333333339</v>
      </c>
      <c r="EQ8" s="2">
        <f t="shared" si="14"/>
        <v>0</v>
      </c>
      <c r="ER8" s="2">
        <f t="shared" si="14"/>
        <v>1.7391304347826091</v>
      </c>
      <c r="ES8" s="2">
        <f t="shared" si="14"/>
        <v>0</v>
      </c>
      <c r="ET8" s="2">
        <f t="shared" si="14"/>
        <v>1.2658227848101264</v>
      </c>
      <c r="EU8" s="2">
        <f t="shared" si="14"/>
        <v>1.3100436681222714</v>
      </c>
      <c r="EV8" s="2">
        <f t="shared" si="14"/>
        <v>0</v>
      </c>
      <c r="EW8" s="2">
        <f t="shared" si="14"/>
        <v>0</v>
      </c>
      <c r="EX8" s="2">
        <f t="shared" si="14"/>
        <v>0</v>
      </c>
      <c r="EY8" s="2">
        <f t="shared" si="14"/>
        <v>0</v>
      </c>
      <c r="EZ8" s="2">
        <f t="shared" si="14"/>
        <v>0</v>
      </c>
      <c r="FA8" s="2">
        <f t="shared" si="14"/>
        <v>0</v>
      </c>
      <c r="FB8" s="2">
        <f t="shared" si="14"/>
        <v>0</v>
      </c>
      <c r="FC8" s="2">
        <f t="shared" si="14"/>
        <v>3.0701754385964923</v>
      </c>
      <c r="FD8" s="2">
        <f t="shared" si="14"/>
        <v>2.0811287477954128</v>
      </c>
      <c r="FE8" s="2">
        <f t="shared" si="14"/>
        <v>0</v>
      </c>
      <c r="FF8" s="2">
        <f t="shared" si="14"/>
        <v>1.6609195402298853</v>
      </c>
      <c r="FG8" s="2">
        <f t="shared" si="14"/>
        <v>2.0949720670391052</v>
      </c>
      <c r="FH8" s="2">
        <f t="shared" si="14"/>
        <v>0</v>
      </c>
      <c r="FI8" s="2">
        <f t="shared" si="14"/>
        <v>0</v>
      </c>
      <c r="FJ8" s="2">
        <f t="shared" si="14"/>
        <v>0</v>
      </c>
      <c r="FK8" s="2">
        <f t="shared" si="14"/>
        <v>0</v>
      </c>
      <c r="FL8" s="2">
        <f t="shared" si="14"/>
        <v>1.7611111111111108</v>
      </c>
      <c r="FM8" s="2">
        <f t="shared" si="14"/>
        <v>2.7280197206244869</v>
      </c>
      <c r="FN8" s="2">
        <f t="shared" si="14"/>
        <v>0</v>
      </c>
      <c r="FO8" s="2">
        <f t="shared" si="14"/>
        <v>5.0373134328358189</v>
      </c>
      <c r="FP8" s="2">
        <f t="shared" si="14"/>
        <v>0</v>
      </c>
      <c r="FQ8" s="2">
        <f t="shared" si="14"/>
        <v>0.82450832072617253</v>
      </c>
      <c r="FR8" s="2">
        <f t="shared" si="14"/>
        <v>2.8560606060606064</v>
      </c>
      <c r="FS8" s="2">
        <f t="shared" si="14"/>
        <v>0</v>
      </c>
      <c r="FT8" s="2">
        <f t="shared" si="14"/>
        <v>1.6298527443105759</v>
      </c>
      <c r="FU8" s="2">
        <f t="shared" si="14"/>
        <v>4.6814044213263948</v>
      </c>
      <c r="FV8" s="2">
        <f t="shared" si="14"/>
        <v>1.6437659033078882</v>
      </c>
      <c r="FW8" s="2">
        <f t="shared" si="14"/>
        <v>5.3969571230982014</v>
      </c>
      <c r="FX8" s="2">
        <f t="shared" si="14"/>
        <v>1.8574423480083859</v>
      </c>
      <c r="FY8" s="2">
        <f t="shared" si="14"/>
        <v>8.1089743589743595</v>
      </c>
      <c r="FZ8" s="2">
        <f t="shared" si="14"/>
        <v>1.6304347826086956</v>
      </c>
      <c r="GA8" s="2">
        <f t="shared" si="14"/>
        <v>0</v>
      </c>
      <c r="GB8" s="2">
        <f t="shared" si="14"/>
        <v>1.9135261466549804</v>
      </c>
      <c r="GC8" s="2">
        <f t="shared" si="14"/>
        <v>4.0063341250989701</v>
      </c>
      <c r="GD8" s="2">
        <f t="shared" si="14"/>
        <v>0</v>
      </c>
      <c r="GE8" s="2">
        <f t="shared" si="14"/>
        <v>0</v>
      </c>
      <c r="GF8" s="2">
        <f t="shared" si="14"/>
        <v>0</v>
      </c>
      <c r="GG8" s="2">
        <f t="shared" si="14"/>
        <v>0</v>
      </c>
      <c r="GH8" s="2">
        <f t="shared" si="14"/>
        <v>0</v>
      </c>
      <c r="GI8" s="2">
        <f t="shared" si="14"/>
        <v>0</v>
      </c>
      <c r="GJ8" s="2">
        <f t="shared" si="14"/>
        <v>0</v>
      </c>
      <c r="GK8" s="2">
        <f t="shared" si="14"/>
        <v>0</v>
      </c>
      <c r="GL8" s="2">
        <f t="shared" si="14"/>
        <v>0.37068004459308818</v>
      </c>
      <c r="GM8" s="2">
        <f t="shared" ref="GM8:IX8" si="15">AVERAGE(GM75:GM104)</f>
        <v>3.3821932681867541</v>
      </c>
      <c r="GN8" s="2">
        <f t="shared" si="15"/>
        <v>2.2846441947565541</v>
      </c>
      <c r="GO8" s="2">
        <f t="shared" si="15"/>
        <v>2.2348680807035697</v>
      </c>
      <c r="GP8" s="2">
        <f t="shared" si="15"/>
        <v>0</v>
      </c>
      <c r="GQ8" s="2">
        <f t="shared" si="15"/>
        <v>0</v>
      </c>
      <c r="GR8" s="2">
        <f t="shared" si="15"/>
        <v>0</v>
      </c>
      <c r="GS8" s="2">
        <f t="shared" si="15"/>
        <v>0</v>
      </c>
      <c r="GT8" s="2">
        <f t="shared" si="15"/>
        <v>1.0529455630126769</v>
      </c>
      <c r="GU8" s="2">
        <f t="shared" si="15"/>
        <v>1.6559032952475578E-3</v>
      </c>
      <c r="GV8" s="2">
        <f t="shared" si="15"/>
        <v>5.5386105059307678</v>
      </c>
      <c r="GW8" s="2">
        <f t="shared" si="15"/>
        <v>5.2101616628175513</v>
      </c>
      <c r="GX8" s="2">
        <f t="shared" si="15"/>
        <v>0.15220700152207006</v>
      </c>
      <c r="GY8" s="2">
        <f t="shared" si="15"/>
        <v>0</v>
      </c>
      <c r="GZ8" s="2">
        <f t="shared" si="15"/>
        <v>0</v>
      </c>
      <c r="HA8" s="2">
        <f t="shared" si="15"/>
        <v>1.4488170531740456</v>
      </c>
      <c r="HB8" s="2">
        <f t="shared" si="15"/>
        <v>1.4233924823506967</v>
      </c>
      <c r="HC8" s="2">
        <f t="shared" si="15"/>
        <v>0</v>
      </c>
      <c r="HD8" s="2">
        <f t="shared" si="15"/>
        <v>0.59038142620232192</v>
      </c>
      <c r="HE8" s="2">
        <f t="shared" si="15"/>
        <v>5.6439622262407081</v>
      </c>
      <c r="HF8" s="2">
        <f t="shared" si="15"/>
        <v>1.6849816849816854</v>
      </c>
      <c r="HG8" s="2">
        <f t="shared" si="15"/>
        <v>5.5432372505543244</v>
      </c>
      <c r="HH8" s="2">
        <f t="shared" si="15"/>
        <v>1.240467717336045</v>
      </c>
      <c r="HI8" s="2">
        <f t="shared" si="15"/>
        <v>4.5904645476772625</v>
      </c>
      <c r="HJ8" s="2">
        <f t="shared" si="15"/>
        <v>1.3953488372093026</v>
      </c>
      <c r="HK8" s="2">
        <f t="shared" si="15"/>
        <v>0.88757396449704096</v>
      </c>
      <c r="HL8" s="2">
        <f t="shared" si="15"/>
        <v>1.7543859649122806</v>
      </c>
      <c r="HM8" s="2">
        <f t="shared" si="15"/>
        <v>0.39287906691221602</v>
      </c>
      <c r="HN8" s="2">
        <f t="shared" si="15"/>
        <v>2.286585365853659</v>
      </c>
      <c r="HO8" s="2">
        <f t="shared" si="15"/>
        <v>0</v>
      </c>
      <c r="HP8" s="2">
        <f t="shared" si="15"/>
        <v>0</v>
      </c>
      <c r="HQ8" s="2">
        <f t="shared" si="15"/>
        <v>0</v>
      </c>
      <c r="HR8" s="2">
        <f t="shared" si="15"/>
        <v>0</v>
      </c>
      <c r="HS8" s="2">
        <f t="shared" si="15"/>
        <v>0</v>
      </c>
      <c r="HT8" s="2">
        <f t="shared" si="15"/>
        <v>0</v>
      </c>
      <c r="HU8" s="2">
        <f t="shared" si="15"/>
        <v>0</v>
      </c>
      <c r="HV8" s="2">
        <f t="shared" si="15"/>
        <v>0</v>
      </c>
      <c r="HW8" s="2">
        <f t="shared" si="15"/>
        <v>2</v>
      </c>
      <c r="HX8" s="2">
        <f t="shared" si="15"/>
        <v>2.1472392638036819</v>
      </c>
      <c r="HY8" s="2">
        <f t="shared" si="15"/>
        <v>0</v>
      </c>
      <c r="HZ8" s="2">
        <f t="shared" si="15"/>
        <v>0.50241545893719819</v>
      </c>
      <c r="IA8" s="2">
        <f t="shared" si="15"/>
        <v>0</v>
      </c>
      <c r="IB8" s="2">
        <f t="shared" si="15"/>
        <v>0</v>
      </c>
      <c r="IC8" s="2">
        <f t="shared" si="15"/>
        <v>0</v>
      </c>
      <c r="ID8" s="2">
        <f t="shared" si="15"/>
        <v>0</v>
      </c>
      <c r="IE8" s="2">
        <f t="shared" si="15"/>
        <v>1.2455089820359282</v>
      </c>
      <c r="IF8" s="2">
        <f t="shared" si="15"/>
        <v>2.1285434995112422</v>
      </c>
      <c r="IG8" s="2">
        <f t="shared" si="15"/>
        <v>3.2417582417582418</v>
      </c>
      <c r="IH8" s="2">
        <f t="shared" si="15"/>
        <v>0</v>
      </c>
      <c r="II8" s="2">
        <f t="shared" si="15"/>
        <v>3.6998050682261217</v>
      </c>
      <c r="IJ8" s="2">
        <f t="shared" si="15"/>
        <v>0.55861526357199054</v>
      </c>
      <c r="IK8" s="2">
        <f t="shared" si="15"/>
        <v>2.4715909090909083</v>
      </c>
      <c r="IL8" s="2">
        <f t="shared" si="15"/>
        <v>0</v>
      </c>
      <c r="IM8" s="2">
        <f t="shared" si="15"/>
        <v>0</v>
      </c>
      <c r="IN8" s="2">
        <f t="shared" si="15"/>
        <v>0</v>
      </c>
      <c r="IO8" s="2">
        <f t="shared" si="15"/>
        <v>0</v>
      </c>
      <c r="IP8" s="2">
        <f t="shared" si="15"/>
        <v>2.1297935103244834</v>
      </c>
      <c r="IQ8" s="2">
        <f t="shared" si="15"/>
        <v>7.4905054046158357</v>
      </c>
      <c r="IR8" s="2">
        <f t="shared" si="15"/>
        <v>0.82368827160493852</v>
      </c>
      <c r="IS8" s="2">
        <f t="shared" si="15"/>
        <v>9.6058046350443984</v>
      </c>
      <c r="IT8" s="2">
        <f t="shared" si="15"/>
        <v>0</v>
      </c>
      <c r="IU8" s="2">
        <f t="shared" si="15"/>
        <v>1.7825311942958995</v>
      </c>
      <c r="IV8" s="2">
        <f t="shared" si="15"/>
        <v>2.6168582375478935</v>
      </c>
      <c r="IW8" s="2">
        <f t="shared" si="15"/>
        <v>7.7519379844961239E-3</v>
      </c>
      <c r="IX8" s="2">
        <f t="shared" si="15"/>
        <v>0.29818956336528224</v>
      </c>
      <c r="IY8" s="2">
        <f t="shared" ref="IY8:LJ8" si="16">AVERAGE(IY75:IY104)</f>
        <v>0</v>
      </c>
      <c r="IZ8" s="2">
        <f t="shared" si="16"/>
        <v>0</v>
      </c>
      <c r="JA8" s="2">
        <f t="shared" si="16"/>
        <v>0</v>
      </c>
      <c r="JB8" s="2">
        <f t="shared" si="16"/>
        <v>0</v>
      </c>
      <c r="JC8" s="2">
        <f t="shared" si="16"/>
        <v>0</v>
      </c>
      <c r="JD8" s="2">
        <f t="shared" si="16"/>
        <v>3.6321611358758464E-2</v>
      </c>
      <c r="JE8" s="2">
        <f t="shared" si="16"/>
        <v>0</v>
      </c>
      <c r="JF8" s="2">
        <f t="shared" si="16"/>
        <v>1.0850694444444449</v>
      </c>
      <c r="JG8" s="2">
        <f t="shared" si="16"/>
        <v>0</v>
      </c>
      <c r="JH8" s="2">
        <f t="shared" si="16"/>
        <v>0</v>
      </c>
      <c r="JI8" s="2">
        <f t="shared" si="16"/>
        <v>0</v>
      </c>
      <c r="JJ8" s="2">
        <f t="shared" si="16"/>
        <v>0</v>
      </c>
      <c r="JK8" s="2">
        <f t="shared" si="16"/>
        <v>0.73103247415174011</v>
      </c>
      <c r="JL8" s="2">
        <f t="shared" si="16"/>
        <v>0</v>
      </c>
      <c r="JM8" s="2">
        <f t="shared" si="16"/>
        <v>0</v>
      </c>
      <c r="JN8" s="2">
        <f t="shared" si="16"/>
        <v>7.154213036565979E-2</v>
      </c>
      <c r="JO8" s="2">
        <f t="shared" si="16"/>
        <v>1.5785011868429975</v>
      </c>
      <c r="JP8" s="2">
        <f t="shared" si="16"/>
        <v>4.5469439193446757</v>
      </c>
      <c r="JQ8" s="2">
        <f t="shared" si="16"/>
        <v>10.32409581963363</v>
      </c>
      <c r="JR8" s="2">
        <f t="shared" si="16"/>
        <v>0</v>
      </c>
      <c r="JS8" s="2">
        <f t="shared" si="16"/>
        <v>3.6129172084958814</v>
      </c>
      <c r="JT8" s="2">
        <f t="shared" si="16"/>
        <v>0.60006818956699626</v>
      </c>
      <c r="JU8" s="2">
        <f t="shared" si="16"/>
        <v>0</v>
      </c>
      <c r="JV8" s="2">
        <f t="shared" si="16"/>
        <v>2.2150090885484288</v>
      </c>
      <c r="JW8" s="2">
        <f t="shared" si="16"/>
        <v>4.8732943469785581E-3</v>
      </c>
      <c r="JX8" s="2">
        <f t="shared" si="16"/>
        <v>1.0235920852359208</v>
      </c>
      <c r="JY8" s="2">
        <f t="shared" si="16"/>
        <v>2.3887793118562346</v>
      </c>
      <c r="JZ8" s="2">
        <f t="shared" si="16"/>
        <v>1.4451124471164554</v>
      </c>
      <c r="KA8" s="2">
        <f t="shared" si="16"/>
        <v>4.6818862275449105</v>
      </c>
      <c r="KB8" s="2">
        <f t="shared" si="16"/>
        <v>2.7413984461709209</v>
      </c>
      <c r="KC8" s="2">
        <f t="shared" si="16"/>
        <v>6.1600777705767991</v>
      </c>
      <c r="KD8" s="2">
        <f t="shared" si="16"/>
        <v>0</v>
      </c>
      <c r="KE8" s="2">
        <f t="shared" si="16"/>
        <v>5.1428571428571397</v>
      </c>
      <c r="KF8" s="2">
        <f t="shared" si="16"/>
        <v>0</v>
      </c>
      <c r="KG8" s="2">
        <f t="shared" si="16"/>
        <v>4.3226788432267877</v>
      </c>
      <c r="KH8" s="2">
        <f t="shared" si="16"/>
        <v>8.8757396449704165E-2</v>
      </c>
      <c r="KI8" s="2">
        <f t="shared" si="16"/>
        <v>4.1778523489932882</v>
      </c>
      <c r="KJ8" s="2">
        <f t="shared" si="16"/>
        <v>0</v>
      </c>
      <c r="KK8" s="2">
        <f t="shared" si="16"/>
        <v>0</v>
      </c>
      <c r="KL8" s="2">
        <f t="shared" si="16"/>
        <v>0</v>
      </c>
      <c r="KM8" s="2">
        <f t="shared" si="16"/>
        <v>0</v>
      </c>
      <c r="KN8" s="2">
        <f t="shared" si="16"/>
        <v>0</v>
      </c>
      <c r="KO8" s="2">
        <f t="shared" si="16"/>
        <v>0</v>
      </c>
      <c r="KP8" s="2">
        <f t="shared" si="16"/>
        <v>0</v>
      </c>
      <c r="KQ8" s="2">
        <f t="shared" si="16"/>
        <v>5.4545454545454568</v>
      </c>
      <c r="KR8" s="2">
        <f t="shared" si="16"/>
        <v>0.25510204081632643</v>
      </c>
      <c r="KS8" s="2">
        <f t="shared" si="16"/>
        <v>1.6946621873833518</v>
      </c>
      <c r="KT8" s="2">
        <f t="shared" si="16"/>
        <v>0</v>
      </c>
      <c r="KU8" s="2">
        <f t="shared" si="16"/>
        <v>0</v>
      </c>
      <c r="KV8" s="2">
        <f t="shared" si="16"/>
        <v>0</v>
      </c>
      <c r="KW8" s="2">
        <f t="shared" si="16"/>
        <v>0</v>
      </c>
      <c r="KX8" s="2">
        <f t="shared" si="16"/>
        <v>0</v>
      </c>
      <c r="KY8" s="2">
        <f t="shared" si="16"/>
        <v>0</v>
      </c>
      <c r="KZ8" s="2">
        <f t="shared" si="16"/>
        <v>2.2075702075702073</v>
      </c>
      <c r="LA8" s="2">
        <f t="shared" si="16"/>
        <v>7.5284900284900296</v>
      </c>
      <c r="LB8" s="2">
        <f t="shared" si="16"/>
        <v>2.4096385542168686</v>
      </c>
      <c r="LC8" s="2">
        <f t="shared" si="16"/>
        <v>0</v>
      </c>
      <c r="LD8" s="2">
        <f t="shared" si="16"/>
        <v>0.36165577342047944</v>
      </c>
      <c r="LE8" s="2">
        <f t="shared" si="16"/>
        <v>0.67563779086066711</v>
      </c>
      <c r="LF8" s="2">
        <f t="shared" si="16"/>
        <v>0</v>
      </c>
      <c r="LG8" s="2">
        <f t="shared" si="16"/>
        <v>0</v>
      </c>
      <c r="LH8" s="2">
        <f t="shared" si="16"/>
        <v>0</v>
      </c>
      <c r="LI8" s="2">
        <f t="shared" si="16"/>
        <v>2.7878787878787872</v>
      </c>
      <c r="LJ8" s="2">
        <f t="shared" si="16"/>
        <v>2.0136778115501519</v>
      </c>
      <c r="LK8" s="2">
        <f t="shared" ref="LK8:MW8" si="17">AVERAGE(LK75:LK104)</f>
        <v>3.7016129032258078</v>
      </c>
      <c r="LL8" s="2">
        <f t="shared" si="17"/>
        <v>1.7422069229298147</v>
      </c>
      <c r="LM8" s="2">
        <f t="shared" si="17"/>
        <v>6.0719308820574662</v>
      </c>
      <c r="LN8" s="2">
        <f t="shared" si="17"/>
        <v>0</v>
      </c>
      <c r="LO8" s="2">
        <f t="shared" si="17"/>
        <v>0</v>
      </c>
      <c r="LP8" s="2">
        <f t="shared" si="17"/>
        <v>3.0075445816186557</v>
      </c>
      <c r="LQ8" s="2">
        <f t="shared" si="17"/>
        <v>0.19447287615148409</v>
      </c>
      <c r="LR8" s="2">
        <f t="shared" si="17"/>
        <v>1.2162162162162162</v>
      </c>
      <c r="LS8" s="2">
        <f t="shared" si="17"/>
        <v>3.8068535825545164</v>
      </c>
      <c r="LT8" s="2">
        <f t="shared" si="17"/>
        <v>0</v>
      </c>
      <c r="LU8" s="2">
        <f t="shared" si="17"/>
        <v>0</v>
      </c>
      <c r="LV8" s="2">
        <f t="shared" si="17"/>
        <v>0</v>
      </c>
      <c r="LW8" s="2">
        <f t="shared" si="17"/>
        <v>0</v>
      </c>
      <c r="LX8" s="2">
        <f t="shared" si="17"/>
        <v>0</v>
      </c>
      <c r="LY8" s="2">
        <f t="shared" si="17"/>
        <v>0</v>
      </c>
      <c r="LZ8" s="2">
        <f t="shared" si="17"/>
        <v>1.7420881396036669</v>
      </c>
      <c r="MA8" s="2">
        <f t="shared" si="17"/>
        <v>0</v>
      </c>
      <c r="MB8" s="2">
        <f t="shared" si="17"/>
        <v>2.1017663263652566</v>
      </c>
      <c r="MC8" s="2">
        <f t="shared" si="17"/>
        <v>0</v>
      </c>
      <c r="MD8" s="2">
        <f t="shared" si="17"/>
        <v>0.95658914728682176</v>
      </c>
      <c r="ME8" s="2">
        <f t="shared" si="17"/>
        <v>0</v>
      </c>
      <c r="MF8" s="2">
        <f t="shared" si="17"/>
        <v>0</v>
      </c>
      <c r="MG8" s="2">
        <f t="shared" si="17"/>
        <v>0</v>
      </c>
      <c r="MH8" s="2">
        <f t="shared" si="17"/>
        <v>1.8040935672514622</v>
      </c>
      <c r="MI8" s="2">
        <f t="shared" si="17"/>
        <v>0</v>
      </c>
      <c r="MJ8" s="2">
        <f t="shared" si="17"/>
        <v>4.7922587630261209</v>
      </c>
      <c r="MK8" s="2">
        <f t="shared" si="17"/>
        <v>3.2732967893500393</v>
      </c>
      <c r="ML8" s="2">
        <f t="shared" si="17"/>
        <v>1.5576496674057652</v>
      </c>
      <c r="MM8" s="2">
        <f t="shared" si="17"/>
        <v>0</v>
      </c>
      <c r="MN8" s="2">
        <f t="shared" si="17"/>
        <v>0.63027075011096312</v>
      </c>
      <c r="MO8" s="2">
        <f t="shared" si="17"/>
        <v>3.7487487487487487</v>
      </c>
      <c r="MP8" s="2">
        <f t="shared" si="17"/>
        <v>0</v>
      </c>
      <c r="MQ8" s="2">
        <f t="shared" si="17"/>
        <v>0</v>
      </c>
      <c r="MR8" s="2">
        <f t="shared" si="17"/>
        <v>1.2661119269048779</v>
      </c>
      <c r="MS8" s="2">
        <f t="shared" si="17"/>
        <v>0</v>
      </c>
      <c r="MT8" s="2">
        <f t="shared" si="17"/>
        <v>2.1425155428024865</v>
      </c>
      <c r="MU8" s="2">
        <f t="shared" si="17"/>
        <v>4.5739967084441071</v>
      </c>
      <c r="MV8" s="2">
        <f t="shared" si="17"/>
        <v>1.7039736248481694</v>
      </c>
      <c r="MW8" s="2">
        <f t="shared" si="17"/>
        <v>6.5090646889163581</v>
      </c>
    </row>
    <row r="9" spans="1:363" x14ac:dyDescent="0.3">
      <c r="A9" s="2" t="s">
        <v>0</v>
      </c>
      <c r="B9" s="2">
        <f>AVERAGE(B43:B72)</f>
        <v>0.44420000000000009</v>
      </c>
      <c r="C9" s="2">
        <f t="shared" ref="C9:BN9" si="18">AVERAGE(C43:C72)</f>
        <v>6.666666666666667E-5</v>
      </c>
      <c r="D9" s="2">
        <f t="shared" si="18"/>
        <v>0.75183333333333346</v>
      </c>
      <c r="E9" s="2">
        <f t="shared" si="18"/>
        <v>1.0213333333333334</v>
      </c>
      <c r="F9" s="2">
        <f t="shared" si="18"/>
        <v>2.2333333333333341E-3</v>
      </c>
      <c r="G9" s="2">
        <f t="shared" si="18"/>
        <v>1.5164666666666664</v>
      </c>
      <c r="H9" s="2">
        <f t="shared" si="18"/>
        <v>1.6000000000000007E-3</v>
      </c>
      <c r="I9" s="2">
        <f t="shared" si="18"/>
        <v>2.066666666666668E-3</v>
      </c>
      <c r="J9" s="2">
        <f t="shared" si="18"/>
        <v>6.8000000000000022E-3</v>
      </c>
      <c r="K9" s="2">
        <f t="shared" si="18"/>
        <v>1.0133333333333336E-2</v>
      </c>
      <c r="L9" s="2">
        <f t="shared" si="18"/>
        <v>2.1866666666666677E-2</v>
      </c>
      <c r="M9" s="2">
        <f t="shared" si="18"/>
        <v>3.6633333333333337E-2</v>
      </c>
      <c r="N9" s="2">
        <f t="shared" si="18"/>
        <v>0.72540000000000004</v>
      </c>
      <c r="O9" s="2">
        <f t="shared" si="18"/>
        <v>0.82363333333333333</v>
      </c>
      <c r="P9" s="2">
        <f t="shared" si="18"/>
        <v>2.019566666666667</v>
      </c>
      <c r="Q9" s="2">
        <f t="shared" si="18"/>
        <v>1.6666666666666666E-4</v>
      </c>
      <c r="R9" s="2">
        <f t="shared" si="18"/>
        <v>3.1954666666666669</v>
      </c>
      <c r="S9" s="2">
        <f t="shared" si="18"/>
        <v>3.0774333333333339</v>
      </c>
      <c r="T9" s="2">
        <f t="shared" si="18"/>
        <v>1.5666666666666676E-3</v>
      </c>
      <c r="U9" s="2">
        <f t="shared" si="18"/>
        <v>4.0666666666666681E-3</v>
      </c>
      <c r="V9" s="2">
        <f t="shared" si="18"/>
        <v>0.73676666666666679</v>
      </c>
      <c r="W9" s="2">
        <f t="shared" si="18"/>
        <v>2.6596000000000002</v>
      </c>
      <c r="X9" s="2">
        <f t="shared" si="18"/>
        <v>3.9162999999999997</v>
      </c>
      <c r="Y9" s="2">
        <f t="shared" si="18"/>
        <v>4.5644333333333327</v>
      </c>
      <c r="Z9" s="2">
        <f t="shared" si="18"/>
        <v>1.6217666666666664</v>
      </c>
      <c r="AA9" s="2">
        <f t="shared" si="18"/>
        <v>2.9523333333333333</v>
      </c>
      <c r="AB9" s="2">
        <f t="shared" si="18"/>
        <v>4.3157999999999994</v>
      </c>
      <c r="AC9" s="2">
        <f t="shared" si="18"/>
        <v>3.8801333333333332</v>
      </c>
      <c r="AD9" s="2">
        <f t="shared" si="18"/>
        <v>4.5806000000000013</v>
      </c>
      <c r="AE9" s="2">
        <f t="shared" si="18"/>
        <v>6.3333333333333362E-4</v>
      </c>
      <c r="AF9" s="2">
        <f t="shared" si="18"/>
        <v>2.1527666666666665</v>
      </c>
      <c r="AG9" s="2">
        <f t="shared" si="18"/>
        <v>2.2600000000000002</v>
      </c>
      <c r="AH9" s="2">
        <f t="shared" si="18"/>
        <v>5.3846333333333352</v>
      </c>
      <c r="AI9" s="2">
        <f t="shared" si="18"/>
        <v>5.3822333333333328</v>
      </c>
      <c r="AJ9" s="2">
        <f t="shared" si="18"/>
        <v>5.9112333333333327</v>
      </c>
      <c r="AK9" s="2">
        <f t="shared" si="18"/>
        <v>8.5953333333333326</v>
      </c>
      <c r="AL9" s="2">
        <f t="shared" si="18"/>
        <v>1.4566666666666672E-2</v>
      </c>
      <c r="AM9" s="2">
        <f t="shared" si="18"/>
        <v>6.700000000000002E-3</v>
      </c>
      <c r="AN9" s="2">
        <f t="shared" si="18"/>
        <v>7.5721333333333325</v>
      </c>
      <c r="AO9" s="2">
        <f t="shared" si="18"/>
        <v>0.13746666666666665</v>
      </c>
      <c r="AP9" s="2">
        <f t="shared" si="18"/>
        <v>8.3428000000000004</v>
      </c>
      <c r="AQ9" s="2">
        <f t="shared" si="18"/>
        <v>6.1966666666666656E-2</v>
      </c>
      <c r="AR9" s="2">
        <f t="shared" si="18"/>
        <v>5.6666666666666679E-3</v>
      </c>
      <c r="AS9" s="2">
        <f t="shared" si="18"/>
        <v>1.4633333333333338E-2</v>
      </c>
      <c r="AT9" s="2">
        <f t="shared" si="18"/>
        <v>4.4300000000000006E-2</v>
      </c>
      <c r="AU9" s="2">
        <f t="shared" si="18"/>
        <v>4.7866666666666662E-2</v>
      </c>
      <c r="AV9" s="2">
        <f t="shared" si="18"/>
        <v>2.449033333333333</v>
      </c>
      <c r="AW9" s="2">
        <f t="shared" si="18"/>
        <v>0.43166666666666675</v>
      </c>
      <c r="AX9" s="2">
        <f t="shared" si="18"/>
        <v>1.0666666666666667E-3</v>
      </c>
      <c r="AY9" s="2">
        <f t="shared" si="18"/>
        <v>7.9431333333333329</v>
      </c>
      <c r="AZ9" s="2">
        <f t="shared" si="18"/>
        <v>21.663699999999995</v>
      </c>
      <c r="BA9" s="2">
        <f t="shared" si="18"/>
        <v>2.8279666666666672</v>
      </c>
      <c r="BB9" s="2">
        <f t="shared" si="18"/>
        <v>25.343766666666671</v>
      </c>
      <c r="BC9" s="2">
        <f t="shared" si="18"/>
        <v>29.768600000000003</v>
      </c>
      <c r="BD9" s="2">
        <f t="shared" si="18"/>
        <v>1.406666666666667E-2</v>
      </c>
      <c r="BE9" s="2">
        <f t="shared" si="18"/>
        <v>2.4933333333333342E-2</v>
      </c>
      <c r="BF9" s="2">
        <f t="shared" si="18"/>
        <v>8.7645999999999997</v>
      </c>
      <c r="BG9" s="2">
        <f t="shared" si="18"/>
        <v>15.54753333333333</v>
      </c>
      <c r="BH9" s="2">
        <f t="shared" si="18"/>
        <v>47.135700000000014</v>
      </c>
      <c r="BI9" s="2">
        <f t="shared" si="18"/>
        <v>74.831199999999995</v>
      </c>
      <c r="BJ9" s="2">
        <f t="shared" si="18"/>
        <v>11.926333333333334</v>
      </c>
      <c r="BK9" s="2">
        <f t="shared" si="18"/>
        <v>21.287166666666671</v>
      </c>
      <c r="BL9" s="2">
        <f t="shared" si="18"/>
        <v>1.5333333333333334E-3</v>
      </c>
      <c r="BM9" s="2">
        <f t="shared" si="18"/>
        <v>43.521966666666671</v>
      </c>
      <c r="BN9" s="2">
        <f t="shared" si="18"/>
        <v>54.550633333333344</v>
      </c>
      <c r="BO9" s="2">
        <f t="shared" ref="BO9:BU9" si="19">AVERAGE(BO43:BO72)</f>
        <v>55.260933333333341</v>
      </c>
      <c r="BP9" s="2">
        <f t="shared" si="19"/>
        <v>27.787899999999993</v>
      </c>
      <c r="BQ9" s="2">
        <f t="shared" si="19"/>
        <v>6.0128333333333321</v>
      </c>
      <c r="BR9" s="2">
        <f t="shared" si="19"/>
        <v>56.496366666666674</v>
      </c>
      <c r="BS9" s="2">
        <f t="shared" si="19"/>
        <v>55.036133333333346</v>
      </c>
      <c r="BT9" s="2">
        <f t="shared" si="19"/>
        <v>79.678233333333324</v>
      </c>
      <c r="BU9" s="2">
        <f t="shared" si="19"/>
        <v>77.619366666666664</v>
      </c>
      <c r="BV9" s="2">
        <f t="shared" ref="BV9:EG9" si="20">AVERAGE(BV43:BV72)</f>
        <v>0.12316666666666667</v>
      </c>
      <c r="BW9" s="2">
        <f t="shared" si="20"/>
        <v>2.3333333333333333E-4</v>
      </c>
      <c r="BX9" s="2">
        <f t="shared" si="20"/>
        <v>0.68736666666666657</v>
      </c>
      <c r="BY9" s="2">
        <f t="shared" si="20"/>
        <v>1.0079999999999998</v>
      </c>
      <c r="BZ9" s="2">
        <f t="shared" si="20"/>
        <v>0.99769999999999992</v>
      </c>
      <c r="CA9" s="2">
        <f t="shared" si="20"/>
        <v>1.0696333333333334</v>
      </c>
      <c r="CB9" s="2">
        <f t="shared" si="20"/>
        <v>2.4333333333333342E-3</v>
      </c>
      <c r="CC9" s="2">
        <f t="shared" si="20"/>
        <v>3.2333333333333355E-3</v>
      </c>
      <c r="CD9" s="2">
        <f t="shared" si="20"/>
        <v>1.6000000000000007E-3</v>
      </c>
      <c r="CE9" s="2">
        <f t="shared" si="20"/>
        <v>1.4666666666666676E-3</v>
      </c>
      <c r="CF9" s="2">
        <f t="shared" si="20"/>
        <v>4.3333333333333342E-2</v>
      </c>
      <c r="CG9" s="2">
        <f t="shared" si="20"/>
        <v>7.5666666666666703E-3</v>
      </c>
      <c r="CH9" s="2">
        <f t="shared" si="20"/>
        <v>0.94026666666666647</v>
      </c>
      <c r="CI9" s="2">
        <f t="shared" si="20"/>
        <v>8.3333333333333371E-4</v>
      </c>
      <c r="CJ9" s="2">
        <f t="shared" si="20"/>
        <v>1.8675999999999999</v>
      </c>
      <c r="CK9" s="2">
        <f t="shared" si="20"/>
        <v>2.0285333333333333</v>
      </c>
      <c r="CL9" s="2">
        <f t="shared" si="20"/>
        <v>2.6666666666666668E-4</v>
      </c>
      <c r="CM9" s="2">
        <f t="shared" si="20"/>
        <v>2.3333333333333333E-4</v>
      </c>
      <c r="CN9" s="2">
        <f t="shared" si="20"/>
        <v>3.4333333333333342E-3</v>
      </c>
      <c r="CO9" s="2">
        <f t="shared" si="20"/>
        <v>2.2566666666666672E-2</v>
      </c>
      <c r="CP9" s="2">
        <f t="shared" si="20"/>
        <v>2.8787666666666669</v>
      </c>
      <c r="CQ9" s="2">
        <f t="shared" si="20"/>
        <v>2.5666666666666671E-2</v>
      </c>
      <c r="CR9" s="2">
        <f t="shared" si="20"/>
        <v>5.1419999999999995</v>
      </c>
      <c r="CS9" s="2">
        <f t="shared" si="20"/>
        <v>3.9703666666666675</v>
      </c>
      <c r="CT9" s="2">
        <f t="shared" si="20"/>
        <v>1.3333333333333334E-4</v>
      </c>
      <c r="CU9" s="2">
        <f t="shared" si="20"/>
        <v>1.6666666666666666E-4</v>
      </c>
      <c r="CV9" s="2">
        <f t="shared" si="20"/>
        <v>3.6666666666666678E-4</v>
      </c>
      <c r="CW9" s="2">
        <f t="shared" si="20"/>
        <v>2.1066666666666668E-2</v>
      </c>
      <c r="CX9" s="2">
        <f t="shared" si="20"/>
        <v>3.6666666666666678E-4</v>
      </c>
      <c r="CY9" s="2">
        <f t="shared" si="20"/>
        <v>0.11113333333333332</v>
      </c>
      <c r="CZ9" s="2">
        <f t="shared" si="20"/>
        <v>8.1000000000000013E-3</v>
      </c>
      <c r="DA9" s="2">
        <f t="shared" si="20"/>
        <v>2.7966666666666674E-2</v>
      </c>
      <c r="DB9" s="2">
        <f t="shared" si="20"/>
        <v>6.4470333333333327</v>
      </c>
      <c r="DC9" s="2">
        <f t="shared" si="20"/>
        <v>7.2579999999999991</v>
      </c>
      <c r="DD9" s="2">
        <f t="shared" si="20"/>
        <v>8.0878000000000014</v>
      </c>
      <c r="DE9" s="2">
        <f t="shared" si="20"/>
        <v>8.4779</v>
      </c>
      <c r="DF9" s="2">
        <f t="shared" si="20"/>
        <v>0.11040000000000001</v>
      </c>
      <c r="DG9" s="2">
        <f t="shared" si="20"/>
        <v>3.2565333333333339</v>
      </c>
      <c r="DH9" s="2">
        <f t="shared" si="20"/>
        <v>1.1966666666666665E-2</v>
      </c>
      <c r="DI9" s="2">
        <f t="shared" si="20"/>
        <v>8.2741333333333333</v>
      </c>
      <c r="DJ9" s="2">
        <f t="shared" si="20"/>
        <v>1.5333333333333334E-3</v>
      </c>
      <c r="DK9" s="2">
        <f t="shared" si="20"/>
        <v>10.049300000000001</v>
      </c>
      <c r="DL9" s="2">
        <f t="shared" si="20"/>
        <v>4.7666666666666673E-3</v>
      </c>
      <c r="DM9" s="2">
        <f t="shared" si="20"/>
        <v>5.1666666666666675E-3</v>
      </c>
      <c r="DN9" s="2">
        <f t="shared" si="20"/>
        <v>3.1766666666666672E-2</v>
      </c>
      <c r="DO9" s="2">
        <f t="shared" si="20"/>
        <v>7.9100000000000004E-2</v>
      </c>
      <c r="DP9" s="2">
        <f t="shared" si="20"/>
        <v>0.68933333333333313</v>
      </c>
      <c r="DQ9" s="2">
        <f t="shared" si="20"/>
        <v>0.26266666666666666</v>
      </c>
      <c r="DR9" s="2">
        <f t="shared" si="20"/>
        <v>0</v>
      </c>
      <c r="DS9" s="2">
        <f t="shared" si="20"/>
        <v>1.0666666666666667E-3</v>
      </c>
      <c r="DT9" s="2">
        <f t="shared" si="20"/>
        <v>21.835666666666668</v>
      </c>
      <c r="DU9" s="2">
        <f t="shared" si="20"/>
        <v>15.629699999999996</v>
      </c>
      <c r="DV9" s="2">
        <f t="shared" si="20"/>
        <v>2.0666666666666667E-3</v>
      </c>
      <c r="DW9" s="2">
        <f t="shared" si="20"/>
        <v>2.0666666666666667E-3</v>
      </c>
      <c r="DX9" s="2">
        <f t="shared" si="20"/>
        <v>2.1800000000000007E-2</v>
      </c>
      <c r="DY9" s="2">
        <f t="shared" si="20"/>
        <v>4.2133333333333335E-2</v>
      </c>
      <c r="DZ9" s="2">
        <f t="shared" si="20"/>
        <v>31.724233333333341</v>
      </c>
      <c r="EA9" s="2">
        <f t="shared" si="20"/>
        <v>56.551799999999986</v>
      </c>
      <c r="EB9" s="2">
        <f t="shared" si="20"/>
        <v>66.434400000000011</v>
      </c>
      <c r="EC9" s="2">
        <f t="shared" si="20"/>
        <v>67.807366666666653</v>
      </c>
      <c r="ED9" s="2">
        <f t="shared" si="20"/>
        <v>13.92863333333333</v>
      </c>
      <c r="EE9" s="2">
        <f t="shared" si="20"/>
        <v>0.21980000000000002</v>
      </c>
      <c r="EF9" s="2">
        <f t="shared" si="20"/>
        <v>44.973200000000006</v>
      </c>
      <c r="EG9" s="2">
        <f t="shared" si="20"/>
        <v>33.798166666666667</v>
      </c>
      <c r="EH9" s="2">
        <f t="shared" ref="EH9:FI9" si="21">AVERAGE(EH43:EH72)</f>
        <v>53.017766666666667</v>
      </c>
      <c r="EI9" s="2">
        <f t="shared" si="21"/>
        <v>48.257133333333336</v>
      </c>
      <c r="EJ9" s="2">
        <f t="shared" si="21"/>
        <v>22.399466666666669</v>
      </c>
      <c r="EK9" s="2">
        <f t="shared" si="21"/>
        <v>28.567566666666675</v>
      </c>
      <c r="EL9" s="2">
        <f t="shared" si="21"/>
        <v>49.168233333333347</v>
      </c>
      <c r="EM9" s="2">
        <f t="shared" si="21"/>
        <v>59.245899999999999</v>
      </c>
      <c r="EN9" s="2">
        <f t="shared" si="21"/>
        <v>85.449699999999993</v>
      </c>
      <c r="EO9" s="2">
        <f t="shared" si="21"/>
        <v>80.779766666666674</v>
      </c>
      <c r="EP9" s="2">
        <f t="shared" si="21"/>
        <v>0.21046666666666666</v>
      </c>
      <c r="EQ9" s="2">
        <f t="shared" si="21"/>
        <v>1.0033333333333337E-2</v>
      </c>
      <c r="ER9" s="2">
        <f t="shared" si="21"/>
        <v>0.66216666666666657</v>
      </c>
      <c r="ES9" s="2">
        <f t="shared" si="21"/>
        <v>3.2933333333333342E-2</v>
      </c>
      <c r="ET9" s="2">
        <f t="shared" si="21"/>
        <v>1.0676999999999999</v>
      </c>
      <c r="EU9" s="2">
        <f t="shared" si="21"/>
        <v>1.2543</v>
      </c>
      <c r="EV9" s="2">
        <f t="shared" si="21"/>
        <v>1.0000000000000005E-3</v>
      </c>
      <c r="EW9" s="2">
        <f t="shared" si="21"/>
        <v>1.6000000000000009E-3</v>
      </c>
      <c r="EX9" s="2">
        <f t="shared" si="21"/>
        <v>1.800000000000001E-3</v>
      </c>
      <c r="EY9" s="2">
        <f t="shared" si="21"/>
        <v>2.5333333333333345E-3</v>
      </c>
      <c r="EZ9" s="2">
        <f t="shared" si="21"/>
        <v>9.7633333333333322E-2</v>
      </c>
      <c r="FA9" s="2">
        <f t="shared" si="21"/>
        <v>6.333333333333334E-3</v>
      </c>
      <c r="FB9" s="2">
        <f t="shared" si="21"/>
        <v>8.4466666666666676E-2</v>
      </c>
      <c r="FC9" s="2">
        <f t="shared" si="21"/>
        <v>1.1016000000000001</v>
      </c>
      <c r="FD9" s="2">
        <f t="shared" si="21"/>
        <v>1.9756999999999998</v>
      </c>
      <c r="FE9" s="2">
        <f t="shared" si="21"/>
        <v>1.3333333333333334E-4</v>
      </c>
      <c r="FF9" s="2">
        <f t="shared" si="21"/>
        <v>3.0514000000000001</v>
      </c>
      <c r="FG9" s="2">
        <f t="shared" si="21"/>
        <v>4.4057333333333339</v>
      </c>
      <c r="FH9" s="2">
        <f t="shared" si="21"/>
        <v>8.4333333333333361E-3</v>
      </c>
      <c r="FI9" s="2">
        <f t="shared" si="21"/>
        <v>1.4833333333333339E-2</v>
      </c>
      <c r="FJ9" s="2">
        <f t="shared" ref="FJ9:HI9" si="22">AVERAGE(FJ43:FJ72)</f>
        <v>0.36770000000000008</v>
      </c>
      <c r="FK9" s="2">
        <f t="shared" si="22"/>
        <v>6.3433333333333328E-2</v>
      </c>
      <c r="FL9" s="2">
        <f t="shared" si="22"/>
        <v>5.7909666666666668</v>
      </c>
      <c r="FM9" s="2">
        <f t="shared" si="22"/>
        <v>4.0243000000000002</v>
      </c>
      <c r="FN9" s="2">
        <f t="shared" si="22"/>
        <v>2.6666666666666668E-4</v>
      </c>
      <c r="FO9" s="2">
        <f t="shared" si="22"/>
        <v>1.8023999999999996</v>
      </c>
      <c r="FP9" s="2">
        <f t="shared" si="22"/>
        <v>4.0000000000000013E-4</v>
      </c>
      <c r="FQ9" s="2">
        <f t="shared" si="22"/>
        <v>4.6803999999999997</v>
      </c>
      <c r="FR9" s="2">
        <f t="shared" si="22"/>
        <v>6.4528666666666661</v>
      </c>
      <c r="FS9" s="2">
        <f t="shared" si="22"/>
        <v>0.73069999999999991</v>
      </c>
      <c r="FT9" s="2">
        <f t="shared" si="22"/>
        <v>1.6748666666666667</v>
      </c>
      <c r="FU9" s="2">
        <f t="shared" si="22"/>
        <v>2.051533333333333</v>
      </c>
      <c r="FV9" s="2">
        <f t="shared" si="22"/>
        <v>5.3247999999999998</v>
      </c>
      <c r="FW9" s="2">
        <f t="shared" si="22"/>
        <v>4.5643000000000011</v>
      </c>
      <c r="FX9" s="2">
        <f t="shared" si="22"/>
        <v>8.3562666666666665</v>
      </c>
      <c r="FY9" s="2">
        <f t="shared" si="22"/>
        <v>8.3038999999999987</v>
      </c>
      <c r="FZ9" s="2">
        <f t="shared" si="22"/>
        <v>2.1349</v>
      </c>
      <c r="GA9" s="2">
        <f t="shared" si="22"/>
        <v>3.5933333333333338E-2</v>
      </c>
      <c r="GB9" s="2">
        <f t="shared" si="22"/>
        <v>7.694533333333335</v>
      </c>
      <c r="GC9" s="2">
        <f t="shared" si="22"/>
        <v>8.9672999999999998</v>
      </c>
      <c r="GD9" s="2">
        <f t="shared" si="22"/>
        <v>5.3333333333333336E-4</v>
      </c>
      <c r="GE9" s="2">
        <f t="shared" si="22"/>
        <v>1.0584333333333333</v>
      </c>
      <c r="GF9" s="2">
        <f t="shared" si="22"/>
        <v>4.1999999999999997E-3</v>
      </c>
      <c r="GG9" s="2">
        <f t="shared" si="22"/>
        <v>1.7200000000000007E-2</v>
      </c>
      <c r="GH9" s="2">
        <f t="shared" si="22"/>
        <v>1.0900000000000003E-2</v>
      </c>
      <c r="GI9" s="2">
        <f t="shared" si="22"/>
        <v>2.5500000000000005E-2</v>
      </c>
      <c r="GJ9" s="2">
        <f t="shared" si="22"/>
        <v>1.3481666666666665</v>
      </c>
      <c r="GK9" s="2">
        <f t="shared" si="22"/>
        <v>0.79886666666666672</v>
      </c>
      <c r="GL9" s="2">
        <f t="shared" si="22"/>
        <v>7.1061333333333332</v>
      </c>
      <c r="GM9" s="2">
        <f t="shared" si="22"/>
        <v>8.2891666666666666</v>
      </c>
      <c r="GN9" s="2">
        <f t="shared" si="22"/>
        <v>25.29516666666667</v>
      </c>
      <c r="GO9" s="2">
        <f t="shared" si="22"/>
        <v>22.135966666666665</v>
      </c>
      <c r="GP9" s="2">
        <f t="shared" si="22"/>
        <v>2.0666666666666667E-3</v>
      </c>
      <c r="GQ9" s="2">
        <f t="shared" si="22"/>
        <v>3.0999999999999999E-3</v>
      </c>
      <c r="GR9" s="2">
        <f t="shared" si="22"/>
        <v>1.2033333333333335E-2</v>
      </c>
      <c r="GS9" s="2">
        <f t="shared" si="22"/>
        <v>0.36503333333333338</v>
      </c>
      <c r="GT9" s="2">
        <f t="shared" si="22"/>
        <v>43.990233333333343</v>
      </c>
      <c r="GU9" s="2">
        <f t="shared" si="22"/>
        <v>6.2668333333333335</v>
      </c>
      <c r="GV9" s="2">
        <f t="shared" si="22"/>
        <v>56.500266666666668</v>
      </c>
      <c r="GW9" s="2">
        <f t="shared" si="22"/>
        <v>59.469000000000001</v>
      </c>
      <c r="GX9" s="2">
        <f t="shared" si="22"/>
        <v>11.915600000000001</v>
      </c>
      <c r="GY9" s="2">
        <f t="shared" si="22"/>
        <v>5.0000000000000001E-4</v>
      </c>
      <c r="GZ9" s="2">
        <f t="shared" si="22"/>
        <v>2.0666666666666667E-3</v>
      </c>
      <c r="HA9" s="2">
        <f t="shared" si="22"/>
        <v>35.284599999999998</v>
      </c>
      <c r="HB9" s="2">
        <f t="shared" si="22"/>
        <v>51.882566666666662</v>
      </c>
      <c r="HC9" s="2">
        <f t="shared" si="22"/>
        <v>4.2333333333333337E-3</v>
      </c>
      <c r="HD9" s="2">
        <f t="shared" si="22"/>
        <v>20.625833333333329</v>
      </c>
      <c r="HE9" s="2">
        <f t="shared" si="22"/>
        <v>26.154666666666667</v>
      </c>
      <c r="HF9" s="2">
        <f t="shared" si="22"/>
        <v>49.168233333333347</v>
      </c>
      <c r="HG9" s="2">
        <f t="shared" si="22"/>
        <v>54.386900000000004</v>
      </c>
      <c r="HH9" s="2">
        <f t="shared" si="22"/>
        <v>73.560199999999995</v>
      </c>
      <c r="HI9" s="2">
        <f t="shared" si="22"/>
        <v>80.359833333333327</v>
      </c>
      <c r="HJ9" s="2">
        <f t="shared" ref="HJ9:IW9" si="23">AVERAGE(HJ43:HJ72)</f>
        <v>2.5366666666666683E-2</v>
      </c>
      <c r="HK9" s="2">
        <f t="shared" si="23"/>
        <v>0.12796666666666667</v>
      </c>
      <c r="HL9" s="2">
        <f t="shared" si="23"/>
        <v>0.85306666666666675</v>
      </c>
      <c r="HM9" s="2">
        <f t="shared" si="23"/>
        <v>0.75593333333333335</v>
      </c>
      <c r="HN9" s="2">
        <f t="shared" si="23"/>
        <v>0.97576666666666667</v>
      </c>
      <c r="HO9" s="2">
        <f t="shared" si="23"/>
        <v>3.4666666666666678E-3</v>
      </c>
      <c r="HP9" s="2">
        <f t="shared" si="23"/>
        <v>1.0000000000000005E-3</v>
      </c>
      <c r="HQ9" s="2">
        <f t="shared" si="23"/>
        <v>2.7666666666666681E-3</v>
      </c>
      <c r="HR9" s="2">
        <f t="shared" si="23"/>
        <v>4.2666666666666669E-3</v>
      </c>
      <c r="HS9" s="2">
        <f t="shared" si="23"/>
        <v>1.0033333333333339E-2</v>
      </c>
      <c r="HT9" s="2">
        <f t="shared" si="23"/>
        <v>8.2333333333333338E-3</v>
      </c>
      <c r="HU9" s="2">
        <f t="shared" si="23"/>
        <v>4.4666666666666683E-3</v>
      </c>
      <c r="HV9" s="2">
        <f t="shared" si="23"/>
        <v>1E-4</v>
      </c>
      <c r="HW9" s="2">
        <f t="shared" si="23"/>
        <v>1.0722333333333334</v>
      </c>
      <c r="HX9" s="2">
        <f t="shared" si="23"/>
        <v>1.8268666666666666</v>
      </c>
      <c r="HY9" s="2">
        <f t="shared" si="23"/>
        <v>2.0000000000000001E-4</v>
      </c>
      <c r="HZ9" s="2">
        <f t="shared" si="23"/>
        <v>2.7946999999999993</v>
      </c>
      <c r="IA9" s="2">
        <f t="shared" si="23"/>
        <v>3.0000000000000003E-4</v>
      </c>
      <c r="IB9" s="2">
        <f t="shared" si="23"/>
        <v>4.8666666666666693E-3</v>
      </c>
      <c r="IC9" s="2">
        <f t="shared" si="23"/>
        <v>2.033333333333334E-3</v>
      </c>
      <c r="ID9" s="2">
        <f t="shared" si="23"/>
        <v>0.11039999999999997</v>
      </c>
      <c r="IE9" s="2">
        <f t="shared" si="23"/>
        <v>3.1530999999999998</v>
      </c>
      <c r="IF9" s="2">
        <f t="shared" si="23"/>
        <v>4.8423333333333334</v>
      </c>
      <c r="IG9" s="2">
        <f t="shared" si="23"/>
        <v>5.0796000000000001</v>
      </c>
      <c r="IH9" s="2">
        <f t="shared" si="23"/>
        <v>2.9333333333333347E-3</v>
      </c>
      <c r="II9" s="2">
        <f t="shared" si="23"/>
        <v>3.5741333333333332</v>
      </c>
      <c r="IJ9" s="2">
        <f t="shared" si="23"/>
        <v>4.6554000000000011</v>
      </c>
      <c r="IK9" s="2">
        <f t="shared" si="23"/>
        <v>4.322000000000001</v>
      </c>
      <c r="IL9" s="2">
        <f t="shared" si="23"/>
        <v>5.0000000000000023E-4</v>
      </c>
      <c r="IM9" s="2">
        <f t="shared" si="23"/>
        <v>7.3333333333333378E-4</v>
      </c>
      <c r="IN9" s="2">
        <f t="shared" si="23"/>
        <v>1.3600000000000004E-2</v>
      </c>
      <c r="IO9" s="2">
        <f t="shared" si="23"/>
        <v>5.676666666666666E-2</v>
      </c>
      <c r="IP9" s="2">
        <f t="shared" si="23"/>
        <v>6.1363000000000012</v>
      </c>
      <c r="IQ9" s="2">
        <f t="shared" si="23"/>
        <v>5.4109333333333334</v>
      </c>
      <c r="IR9" s="2">
        <f t="shared" si="23"/>
        <v>7.0794999999999986</v>
      </c>
      <c r="IS9" s="2">
        <f t="shared" si="23"/>
        <v>8.9065333333333303</v>
      </c>
      <c r="IT9" s="2">
        <f t="shared" si="23"/>
        <v>2.9666666666666675E-2</v>
      </c>
      <c r="IU9" s="2">
        <f t="shared" si="23"/>
        <v>2.3702999999999999</v>
      </c>
      <c r="IV9" s="2">
        <f t="shared" si="23"/>
        <v>7.3300666666666681</v>
      </c>
      <c r="IW9" s="2">
        <f t="shared" si="23"/>
        <v>2.3479000000000001</v>
      </c>
      <c r="IX9" s="2">
        <f t="shared" ref="IX9:KC9" si="24">AVERAGE(IX43:IX72)</f>
        <v>7.8286666666666642</v>
      </c>
      <c r="IY9" s="2">
        <f t="shared" si="24"/>
        <v>0.12553333333333336</v>
      </c>
      <c r="IZ9" s="2">
        <f t="shared" si="24"/>
        <v>4.7333333333333342E-3</v>
      </c>
      <c r="JA9" s="2">
        <f t="shared" si="24"/>
        <v>4.1666666666666666E-3</v>
      </c>
      <c r="JB9" s="2">
        <f t="shared" si="24"/>
        <v>3.2300000000000009E-2</v>
      </c>
      <c r="JC9" s="2">
        <f t="shared" si="24"/>
        <v>5.6699999999999993E-2</v>
      </c>
      <c r="JD9" s="2">
        <f t="shared" si="24"/>
        <v>7.5076999999999989</v>
      </c>
      <c r="JE9" s="2">
        <f t="shared" si="24"/>
        <v>0.20953333333333329</v>
      </c>
      <c r="JF9" s="2">
        <f t="shared" si="24"/>
        <v>8.3193999999999981</v>
      </c>
      <c r="JG9" s="2">
        <f t="shared" si="24"/>
        <v>5.0000000000000001E-4</v>
      </c>
      <c r="JH9" s="2">
        <f t="shared" si="24"/>
        <v>2.0666666666666667E-3</v>
      </c>
      <c r="JI9" s="2">
        <f t="shared" si="24"/>
        <v>1.5333333333333334E-3</v>
      </c>
      <c r="JJ9" s="2">
        <f t="shared" si="24"/>
        <v>1.5666666666666667E-3</v>
      </c>
      <c r="JK9" s="2">
        <f t="shared" si="24"/>
        <v>26.360633333333336</v>
      </c>
      <c r="JL9" s="2">
        <f t="shared" si="24"/>
        <v>4.5333333333333337E-2</v>
      </c>
      <c r="JM9" s="2">
        <f t="shared" si="24"/>
        <v>1.7666666666666674E-2</v>
      </c>
      <c r="JN9" s="2">
        <f t="shared" si="24"/>
        <v>30.174433333333337</v>
      </c>
      <c r="JO9" s="2">
        <f t="shared" si="24"/>
        <v>43.44936666666667</v>
      </c>
      <c r="JP9" s="2">
        <f t="shared" si="24"/>
        <v>49.422733333333333</v>
      </c>
      <c r="JQ9" s="2">
        <f t="shared" si="24"/>
        <v>46.724766666666675</v>
      </c>
      <c r="JR9" s="2">
        <f t="shared" si="24"/>
        <v>2.5999999999999999E-3</v>
      </c>
      <c r="JS9" s="2">
        <f t="shared" si="24"/>
        <v>20.574233333333328</v>
      </c>
      <c r="JT9" s="2">
        <f t="shared" si="24"/>
        <v>31.145866666666667</v>
      </c>
      <c r="JU9" s="2">
        <f t="shared" si="24"/>
        <v>2.5666666666666667E-3</v>
      </c>
      <c r="JV9" s="2">
        <f t="shared" si="24"/>
        <v>52.277266666666669</v>
      </c>
      <c r="JW9" s="2">
        <f t="shared" si="24"/>
        <v>17.577966666666665</v>
      </c>
      <c r="JX9" s="2">
        <f t="shared" si="24"/>
        <v>29.4998</v>
      </c>
      <c r="JY9" s="2">
        <f t="shared" si="24"/>
        <v>22.969966666666668</v>
      </c>
      <c r="JZ9" s="2">
        <f t="shared" si="24"/>
        <v>48.855000000000004</v>
      </c>
      <c r="KA9" s="2">
        <f t="shared" si="24"/>
        <v>53.456600000000002</v>
      </c>
      <c r="KB9" s="2">
        <f t="shared" si="24"/>
        <v>82.099233333333316</v>
      </c>
      <c r="KC9" s="2">
        <f t="shared" si="24"/>
        <v>77.420300000000026</v>
      </c>
      <c r="KD9" s="2">
        <f t="shared" ref="KD9:MK9" si="25">AVERAGE(KD43:KD72)</f>
        <v>7.6666666666666691E-4</v>
      </c>
      <c r="KE9" s="2">
        <f t="shared" si="25"/>
        <v>0.51053333333333328</v>
      </c>
      <c r="KF9" s="2">
        <f t="shared" si="25"/>
        <v>2.8466666666666675E-2</v>
      </c>
      <c r="KG9" s="2">
        <f t="shared" si="25"/>
        <v>0.78433333333333333</v>
      </c>
      <c r="KH9" s="2">
        <f t="shared" si="25"/>
        <v>1.2096000000000002</v>
      </c>
      <c r="KI9" s="2">
        <f t="shared" si="25"/>
        <v>1.6392333333333335</v>
      </c>
      <c r="KJ9" s="2">
        <f t="shared" si="25"/>
        <v>3.9666666666666678E-3</v>
      </c>
      <c r="KK9" s="2">
        <f t="shared" si="25"/>
        <v>1.5000000000000007E-3</v>
      </c>
      <c r="KL9" s="2">
        <f t="shared" si="25"/>
        <v>2.333333333333334E-3</v>
      </c>
      <c r="KM9" s="2">
        <f t="shared" si="25"/>
        <v>5.7666666666666691E-3</v>
      </c>
      <c r="KN9" s="2">
        <f t="shared" si="25"/>
        <v>2.1133333333333337E-2</v>
      </c>
      <c r="KO9" s="2">
        <f t="shared" si="25"/>
        <v>8.2666666666666704E-3</v>
      </c>
      <c r="KP9" s="2">
        <f t="shared" si="25"/>
        <v>6.666666666666667E-5</v>
      </c>
      <c r="KQ9" s="2">
        <f t="shared" si="25"/>
        <v>1.3448333333333331</v>
      </c>
      <c r="KR9" s="2">
        <f t="shared" si="25"/>
        <v>1.4709333333333332</v>
      </c>
      <c r="KS9" s="2">
        <f t="shared" si="25"/>
        <v>3.1032000000000006</v>
      </c>
      <c r="KT9" s="2">
        <f t="shared" si="25"/>
        <v>1.6666666666666666E-4</v>
      </c>
      <c r="KU9" s="2">
        <f t="shared" si="25"/>
        <v>1.5000000000000005E-3</v>
      </c>
      <c r="KV9" s="2">
        <f t="shared" si="25"/>
        <v>1.8333333333333346E-3</v>
      </c>
      <c r="KW9" s="2">
        <f t="shared" si="25"/>
        <v>2.3000000000000013E-3</v>
      </c>
      <c r="KX9" s="2">
        <f t="shared" si="25"/>
        <v>9.1866666666666638E-2</v>
      </c>
      <c r="KY9" s="2">
        <f t="shared" si="25"/>
        <v>6.4966666666666673E-2</v>
      </c>
      <c r="KZ9" s="2">
        <f t="shared" si="25"/>
        <v>5.2230333333333343</v>
      </c>
      <c r="LA9" s="2">
        <f t="shared" si="25"/>
        <v>5.2402999999999986</v>
      </c>
      <c r="LB9" s="2">
        <f t="shared" si="25"/>
        <v>1.7262333333333331</v>
      </c>
      <c r="LC9" s="2">
        <f t="shared" si="25"/>
        <v>6.666666666666667E-5</v>
      </c>
      <c r="LD9" s="2">
        <f t="shared" si="25"/>
        <v>3.5565333333333338</v>
      </c>
      <c r="LE9" s="2">
        <f t="shared" si="25"/>
        <v>4.0042000000000009</v>
      </c>
      <c r="LF9" s="2">
        <f t="shared" si="25"/>
        <v>4.3333333333333348E-4</v>
      </c>
      <c r="LG9" s="2">
        <f t="shared" si="25"/>
        <v>1.5666666666666669E-3</v>
      </c>
      <c r="LH9" s="2">
        <f t="shared" si="25"/>
        <v>2.7000000000000014E-3</v>
      </c>
      <c r="LI9" s="2">
        <f t="shared" si="25"/>
        <v>2.0364333333333335</v>
      </c>
      <c r="LJ9" s="2">
        <f t="shared" si="25"/>
        <v>5.1549333333333331</v>
      </c>
      <c r="LK9" s="2">
        <f t="shared" si="25"/>
        <v>5.827799999999999</v>
      </c>
      <c r="LL9" s="2">
        <f t="shared" si="25"/>
        <v>7.7224666666666648</v>
      </c>
      <c r="LM9" s="2">
        <f t="shared" si="25"/>
        <v>9.083499999999999</v>
      </c>
      <c r="LN9" s="2">
        <f t="shared" si="25"/>
        <v>3.1233333333333342E-2</v>
      </c>
      <c r="LO9" s="2">
        <f t="shared" si="25"/>
        <v>1.2466666666666671E-2</v>
      </c>
      <c r="LP9" s="2">
        <f t="shared" si="25"/>
        <v>7.5659333333333345</v>
      </c>
      <c r="LQ9" s="2">
        <f t="shared" si="25"/>
        <v>5.6533333333333342</v>
      </c>
      <c r="LR9" s="2">
        <f t="shared" si="25"/>
        <v>8.8286333333333324</v>
      </c>
      <c r="LS9" s="2">
        <f t="shared" si="25"/>
        <v>9.8292333333333328</v>
      </c>
      <c r="LT9" s="2">
        <f t="shared" si="25"/>
        <v>1.0933333333333335E-2</v>
      </c>
      <c r="LU9" s="2">
        <f t="shared" si="25"/>
        <v>9.4000000000000038E-3</v>
      </c>
      <c r="LV9" s="2">
        <f t="shared" si="25"/>
        <v>1.5066666666666671E-2</v>
      </c>
      <c r="LW9" s="2">
        <f t="shared" si="25"/>
        <v>1.8700000000000008E-2</v>
      </c>
      <c r="LX9" s="2">
        <f t="shared" si="25"/>
        <v>3.9655333333333336</v>
      </c>
      <c r="LY9" s="2">
        <f t="shared" si="25"/>
        <v>1.9948333333333328</v>
      </c>
      <c r="LZ9" s="2">
        <f t="shared" si="25"/>
        <v>8.5616000000000003</v>
      </c>
      <c r="MA9" s="2">
        <f t="shared" si="25"/>
        <v>1.0666666666666667E-3</v>
      </c>
      <c r="MB9" s="2">
        <f t="shared" si="25"/>
        <v>17.919266666666665</v>
      </c>
      <c r="MC9" s="2">
        <f t="shared" si="25"/>
        <v>2.5999999999999999E-3</v>
      </c>
      <c r="MD9" s="2">
        <f t="shared" si="25"/>
        <v>28.582266666666669</v>
      </c>
      <c r="ME9" s="2">
        <f t="shared" si="25"/>
        <v>2.5999999999999999E-3</v>
      </c>
      <c r="MF9" s="2">
        <f t="shared" si="25"/>
        <v>1.1433333333333335E-2</v>
      </c>
      <c r="MG9" s="2">
        <f t="shared" si="25"/>
        <v>6.7666666666666681E-2</v>
      </c>
      <c r="MH9" s="2">
        <f t="shared" si="25"/>
        <v>34.626300000000001</v>
      </c>
      <c r="MI9" s="2">
        <f t="shared" si="25"/>
        <v>0.26186666666666664</v>
      </c>
      <c r="MJ9" s="2">
        <f t="shared" si="25"/>
        <v>52.365066666666685</v>
      </c>
      <c r="MK9" s="2">
        <f t="shared" si="25"/>
        <v>60.372333333333337</v>
      </c>
      <c r="ML9" s="2">
        <f t="shared" ref="ML9:MW9" si="26">AVERAGE(ML43:ML72)</f>
        <v>17.005933333333335</v>
      </c>
      <c r="MM9" s="2">
        <f t="shared" si="26"/>
        <v>9.3666666666666672E-3</v>
      </c>
      <c r="MN9" s="2">
        <f t="shared" si="26"/>
        <v>33.131966666666663</v>
      </c>
      <c r="MO9" s="2">
        <f t="shared" si="26"/>
        <v>39.571733333333334</v>
      </c>
      <c r="MP9" s="2">
        <f t="shared" si="26"/>
        <v>4.7000000000000002E-3</v>
      </c>
      <c r="MQ9" s="2">
        <f t="shared" si="26"/>
        <v>3.1333333333333335E-3</v>
      </c>
      <c r="MR9" s="2">
        <f t="shared" si="26"/>
        <v>19.164199999999997</v>
      </c>
      <c r="MS9" s="2">
        <f t="shared" si="26"/>
        <v>1.5382</v>
      </c>
      <c r="MT9" s="2">
        <f t="shared" si="26"/>
        <v>52.871099999999977</v>
      </c>
      <c r="MU9" s="2">
        <f t="shared" si="26"/>
        <v>50.181933333333333</v>
      </c>
      <c r="MV9" s="2">
        <f t="shared" si="26"/>
        <v>87.899266666666648</v>
      </c>
      <c r="MW9" s="2">
        <f t="shared" si="26"/>
        <v>82.709900000000033</v>
      </c>
      <c r="MY9" s="10">
        <f>MAX(B9:MW9)</f>
        <v>87.899266666666648</v>
      </c>
    </row>
    <row r="10" spans="1:36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</row>
    <row r="11" spans="1:363" s="1" customFormat="1" x14ac:dyDescent="0.3">
      <c r="A11" s="4" t="s">
        <v>5</v>
      </c>
      <c r="B11" s="4">
        <v>435</v>
      </c>
      <c r="C11" s="4">
        <v>283</v>
      </c>
      <c r="D11" s="4">
        <v>472</v>
      </c>
      <c r="E11" s="4">
        <v>436</v>
      </c>
      <c r="F11" s="4">
        <v>591</v>
      </c>
      <c r="G11" s="4">
        <v>523</v>
      </c>
      <c r="H11" s="4">
        <v>1006</v>
      </c>
      <c r="I11" s="4">
        <v>973</v>
      </c>
      <c r="J11" s="4">
        <v>1067</v>
      </c>
      <c r="K11" s="4">
        <v>800</v>
      </c>
      <c r="L11" s="4">
        <v>1429</v>
      </c>
      <c r="M11" s="4">
        <v>900</v>
      </c>
      <c r="N11" s="4">
        <v>545</v>
      </c>
      <c r="O11" s="4">
        <v>482</v>
      </c>
      <c r="P11" s="4">
        <v>1026</v>
      </c>
      <c r="Q11" s="4">
        <v>1014</v>
      </c>
      <c r="R11" s="4">
        <v>1034</v>
      </c>
      <c r="S11" s="4">
        <v>884</v>
      </c>
      <c r="T11" s="4">
        <v>820</v>
      </c>
      <c r="U11" s="4">
        <v>904</v>
      </c>
      <c r="V11" s="4">
        <v>1035</v>
      </c>
      <c r="W11" s="4">
        <v>1080</v>
      </c>
      <c r="X11" s="4">
        <v>1290</v>
      </c>
      <c r="Y11" s="4">
        <v>920</v>
      </c>
      <c r="Z11" s="4">
        <v>1053</v>
      </c>
      <c r="AA11" s="4">
        <v>907</v>
      </c>
      <c r="AB11" s="4">
        <v>1160</v>
      </c>
      <c r="AC11" s="4">
        <v>1332</v>
      </c>
      <c r="AD11" s="4">
        <v>1834</v>
      </c>
      <c r="AE11" s="4">
        <v>1841</v>
      </c>
      <c r="AF11" s="4">
        <v>1075</v>
      </c>
      <c r="AG11" s="4">
        <v>1080</v>
      </c>
      <c r="AH11" s="4">
        <v>1830</v>
      </c>
      <c r="AI11" s="4">
        <v>1084</v>
      </c>
      <c r="AJ11" s="4">
        <v>2004</v>
      </c>
      <c r="AK11" s="4">
        <v>1230</v>
      </c>
      <c r="AL11" s="4">
        <v>741</v>
      </c>
      <c r="AM11" s="4">
        <v>665</v>
      </c>
      <c r="AN11" s="4">
        <v>1078</v>
      </c>
      <c r="AO11" s="4">
        <v>839</v>
      </c>
      <c r="AP11" s="4">
        <v>1370</v>
      </c>
      <c r="AQ11" s="4">
        <v>1288</v>
      </c>
      <c r="AR11" s="4">
        <v>2007</v>
      </c>
      <c r="AS11" s="4">
        <v>1538</v>
      </c>
      <c r="AT11" s="4">
        <v>2226</v>
      </c>
      <c r="AU11" s="4">
        <v>1704</v>
      </c>
      <c r="AV11" s="4">
        <v>2356</v>
      </c>
      <c r="AW11" s="4">
        <v>2211</v>
      </c>
      <c r="AX11" s="4">
        <v>1153</v>
      </c>
      <c r="AY11" s="4">
        <v>1458</v>
      </c>
      <c r="AZ11" s="4">
        <v>1706</v>
      </c>
      <c r="BA11" s="4">
        <v>1997</v>
      </c>
      <c r="BB11" s="4">
        <v>2656</v>
      </c>
      <c r="BC11" s="4">
        <v>2172</v>
      </c>
      <c r="BD11" s="4">
        <v>1743</v>
      </c>
      <c r="BE11" s="4">
        <v>1459</v>
      </c>
      <c r="BF11" s="4">
        <v>2516</v>
      </c>
      <c r="BG11" s="4">
        <v>2038</v>
      </c>
      <c r="BH11" s="4">
        <v>2483</v>
      </c>
      <c r="BI11" s="4">
        <v>2337</v>
      </c>
      <c r="BJ11" s="4">
        <v>1567</v>
      </c>
      <c r="BK11" s="4">
        <v>1912</v>
      </c>
      <c r="BL11" s="4">
        <v>2853</v>
      </c>
      <c r="BM11" s="4">
        <v>2200</v>
      </c>
      <c r="BN11" s="4">
        <v>3791</v>
      </c>
      <c r="BO11" s="4">
        <v>3397</v>
      </c>
      <c r="BP11" s="4">
        <v>2016</v>
      </c>
      <c r="BQ11" s="4">
        <v>1388</v>
      </c>
      <c r="BR11" s="4">
        <v>2652</v>
      </c>
      <c r="BS11" s="4">
        <v>2524</v>
      </c>
      <c r="BT11" s="4">
        <v>3346</v>
      </c>
      <c r="BU11" s="4">
        <v>2881</v>
      </c>
      <c r="BV11" s="4">
        <v>376</v>
      </c>
      <c r="BW11" s="4">
        <v>261</v>
      </c>
      <c r="BX11" s="4">
        <v>408</v>
      </c>
      <c r="BY11" s="4">
        <v>424</v>
      </c>
      <c r="BZ11" s="4">
        <v>595</v>
      </c>
      <c r="CA11" s="4">
        <v>548</v>
      </c>
      <c r="CB11" s="4">
        <v>553</v>
      </c>
      <c r="CC11" s="4">
        <v>682</v>
      </c>
      <c r="CD11" s="4">
        <v>1122</v>
      </c>
      <c r="CE11" s="4">
        <v>1098</v>
      </c>
      <c r="CF11" s="4">
        <v>915</v>
      </c>
      <c r="CG11" s="4">
        <v>1027</v>
      </c>
      <c r="CH11" s="4">
        <v>651</v>
      </c>
      <c r="CI11" s="4">
        <v>576</v>
      </c>
      <c r="CJ11" s="4">
        <v>1110</v>
      </c>
      <c r="CK11" s="4">
        <v>935</v>
      </c>
      <c r="CL11" s="4">
        <v>1120</v>
      </c>
      <c r="CM11" s="4">
        <v>900</v>
      </c>
      <c r="CN11" s="4">
        <v>750</v>
      </c>
      <c r="CO11" s="4">
        <v>785</v>
      </c>
      <c r="CP11" s="4">
        <v>1107</v>
      </c>
      <c r="CQ11" s="4">
        <v>1098</v>
      </c>
      <c r="CR11" s="4">
        <v>1395</v>
      </c>
      <c r="CS11" s="4">
        <v>1074</v>
      </c>
      <c r="CT11" s="4">
        <v>1032</v>
      </c>
      <c r="CU11" s="4">
        <v>838</v>
      </c>
      <c r="CV11" s="4">
        <v>1262</v>
      </c>
      <c r="CW11" s="4">
        <v>1125</v>
      </c>
      <c r="CX11" s="4">
        <v>1323</v>
      </c>
      <c r="CY11" s="4">
        <v>1511</v>
      </c>
      <c r="CZ11" s="4">
        <v>1175</v>
      </c>
      <c r="DA11" s="4">
        <v>865</v>
      </c>
      <c r="DB11" s="4">
        <v>1620</v>
      </c>
      <c r="DC11" s="4">
        <v>1261</v>
      </c>
      <c r="DD11" s="4">
        <v>1740</v>
      </c>
      <c r="DE11" s="4">
        <v>1321</v>
      </c>
      <c r="DF11" s="4">
        <v>700</v>
      </c>
      <c r="DG11" s="4">
        <v>640</v>
      </c>
      <c r="DH11" s="4">
        <v>1000</v>
      </c>
      <c r="DI11" s="4">
        <v>1087</v>
      </c>
      <c r="DJ11" s="4">
        <v>1277</v>
      </c>
      <c r="DK11" s="4">
        <v>1258</v>
      </c>
      <c r="DL11" s="4">
        <v>2037</v>
      </c>
      <c r="DM11" s="4">
        <v>1480</v>
      </c>
      <c r="DN11" s="4">
        <v>1939</v>
      </c>
      <c r="DO11" s="4">
        <v>1766</v>
      </c>
      <c r="DP11" s="4">
        <v>2670</v>
      </c>
      <c r="DQ11" s="4">
        <v>2006</v>
      </c>
      <c r="DR11" s="4">
        <v>1214</v>
      </c>
      <c r="DS11" s="4">
        <v>1150</v>
      </c>
      <c r="DT11" s="4">
        <v>1804</v>
      </c>
      <c r="DU11" s="4">
        <v>2031</v>
      </c>
      <c r="DV11" s="4">
        <v>2250</v>
      </c>
      <c r="DW11" s="4">
        <v>2458</v>
      </c>
      <c r="DX11" s="4">
        <v>1797</v>
      </c>
      <c r="DY11" s="4">
        <v>1635</v>
      </c>
      <c r="DZ11" s="4">
        <v>2279</v>
      </c>
      <c r="EA11" s="4">
        <v>1792</v>
      </c>
      <c r="EB11" s="4">
        <v>2700</v>
      </c>
      <c r="EC11" s="4">
        <v>2336</v>
      </c>
      <c r="ED11" s="4">
        <v>1455</v>
      </c>
      <c r="EE11" s="4">
        <v>1625</v>
      </c>
      <c r="EF11" s="4">
        <v>2916</v>
      </c>
      <c r="EG11" s="4">
        <v>2708</v>
      </c>
      <c r="EH11" s="4">
        <v>3782</v>
      </c>
      <c r="EI11" s="4">
        <v>3726</v>
      </c>
      <c r="EJ11" s="4">
        <v>2208</v>
      </c>
      <c r="EK11" s="4">
        <v>1479</v>
      </c>
      <c r="EL11" s="4">
        <v>3340</v>
      </c>
      <c r="EM11" s="4">
        <v>2409</v>
      </c>
      <c r="EN11" s="4">
        <v>3780</v>
      </c>
      <c r="EO11" s="4">
        <v>3066</v>
      </c>
      <c r="EP11" s="4">
        <v>432</v>
      </c>
      <c r="EQ11" s="4">
        <v>304</v>
      </c>
      <c r="ER11" s="4">
        <v>575</v>
      </c>
      <c r="ES11" s="4">
        <v>471</v>
      </c>
      <c r="ET11" s="4">
        <v>632</v>
      </c>
      <c r="EU11" s="4">
        <v>687</v>
      </c>
      <c r="EV11" s="4">
        <v>784</v>
      </c>
      <c r="EW11" s="4">
        <v>952</v>
      </c>
      <c r="EX11" s="4">
        <v>1171</v>
      </c>
      <c r="EY11" s="4">
        <v>826</v>
      </c>
      <c r="EZ11" s="4">
        <v>1061</v>
      </c>
      <c r="FA11" s="4">
        <v>1256</v>
      </c>
      <c r="FB11" s="4">
        <v>373</v>
      </c>
      <c r="FC11" s="4">
        <v>456</v>
      </c>
      <c r="FD11" s="4">
        <v>756</v>
      </c>
      <c r="FE11" s="4">
        <v>1101</v>
      </c>
      <c r="FF11" s="4">
        <v>1160</v>
      </c>
      <c r="FG11" s="4">
        <v>1074</v>
      </c>
      <c r="FH11" s="4">
        <v>614</v>
      </c>
      <c r="FI11" s="4">
        <v>648</v>
      </c>
      <c r="FJ11" s="4">
        <v>1084</v>
      </c>
      <c r="FK11" s="4">
        <v>921</v>
      </c>
      <c r="FL11" s="4">
        <v>1200</v>
      </c>
      <c r="FM11" s="4">
        <v>1217</v>
      </c>
      <c r="FN11" s="4">
        <v>832</v>
      </c>
      <c r="FO11" s="4">
        <v>536</v>
      </c>
      <c r="FP11" s="4">
        <v>1522</v>
      </c>
      <c r="FQ11" s="4">
        <v>1322</v>
      </c>
      <c r="FR11" s="4">
        <v>1760</v>
      </c>
      <c r="FS11" s="4">
        <v>1559</v>
      </c>
      <c r="FT11" s="4">
        <v>996</v>
      </c>
      <c r="FU11" s="4">
        <v>769</v>
      </c>
      <c r="FV11" s="4">
        <v>1310</v>
      </c>
      <c r="FW11" s="4">
        <v>1205</v>
      </c>
      <c r="FX11" s="4">
        <v>1590</v>
      </c>
      <c r="FY11" s="4">
        <v>1456</v>
      </c>
      <c r="FZ11" s="4">
        <v>552</v>
      </c>
      <c r="GA11" s="4">
        <v>679</v>
      </c>
      <c r="GB11" s="4">
        <v>1141</v>
      </c>
      <c r="GC11" s="4">
        <v>842</v>
      </c>
      <c r="GD11" s="4">
        <v>1342</v>
      </c>
      <c r="GE11" s="4">
        <v>1316</v>
      </c>
      <c r="GF11" s="4">
        <v>1587</v>
      </c>
      <c r="GG11" s="4">
        <v>1278</v>
      </c>
      <c r="GH11" s="4">
        <v>2105</v>
      </c>
      <c r="GI11" s="4">
        <v>1832</v>
      </c>
      <c r="GJ11" s="4">
        <v>2551</v>
      </c>
      <c r="GK11" s="4">
        <v>2178</v>
      </c>
      <c r="GL11" s="4">
        <v>1196</v>
      </c>
      <c r="GM11" s="4">
        <v>1228</v>
      </c>
      <c r="GN11" s="4">
        <v>2047</v>
      </c>
      <c r="GO11" s="4">
        <v>1933</v>
      </c>
      <c r="GP11" s="4">
        <v>2662</v>
      </c>
      <c r="GQ11" s="4">
        <v>2551</v>
      </c>
      <c r="GR11" s="4">
        <v>1961</v>
      </c>
      <c r="GS11" s="4">
        <v>1570</v>
      </c>
      <c r="GT11" s="4">
        <v>2235</v>
      </c>
      <c r="GU11" s="4">
        <v>2013</v>
      </c>
      <c r="GV11" s="4">
        <v>2754</v>
      </c>
      <c r="GW11" s="4">
        <v>2165</v>
      </c>
      <c r="GX11" s="4">
        <v>1752</v>
      </c>
      <c r="GY11" s="4">
        <v>1741</v>
      </c>
      <c r="GZ11" s="4">
        <v>3097</v>
      </c>
      <c r="HA11" s="4">
        <v>2846</v>
      </c>
      <c r="HB11" s="4">
        <v>3494</v>
      </c>
      <c r="HC11" s="4">
        <v>3864</v>
      </c>
      <c r="HD11" s="4">
        <v>2010</v>
      </c>
      <c r="HE11" s="4">
        <v>1659</v>
      </c>
      <c r="HF11" s="4">
        <v>3094</v>
      </c>
      <c r="HG11" s="4">
        <v>2706</v>
      </c>
      <c r="HH11" s="4">
        <v>3934</v>
      </c>
      <c r="HI11" s="4">
        <v>3272</v>
      </c>
      <c r="HJ11" s="4">
        <v>215</v>
      </c>
      <c r="HK11" s="4">
        <v>338</v>
      </c>
      <c r="HL11" s="4">
        <v>456</v>
      </c>
      <c r="HM11" s="4">
        <v>543</v>
      </c>
      <c r="HN11" s="4">
        <v>656</v>
      </c>
      <c r="HO11" s="4">
        <v>607</v>
      </c>
      <c r="HP11" s="4">
        <v>664</v>
      </c>
      <c r="HQ11" s="4">
        <v>740</v>
      </c>
      <c r="HR11" s="4">
        <v>1154</v>
      </c>
      <c r="HS11" s="4">
        <v>1027</v>
      </c>
      <c r="HT11" s="4">
        <v>1242</v>
      </c>
      <c r="HU11" s="4">
        <v>927</v>
      </c>
      <c r="HV11" s="4">
        <v>726</v>
      </c>
      <c r="HW11" s="4">
        <v>650</v>
      </c>
      <c r="HX11" s="4">
        <v>978</v>
      </c>
      <c r="HY11" s="4">
        <v>853</v>
      </c>
      <c r="HZ11" s="4">
        <v>690</v>
      </c>
      <c r="IA11" s="4">
        <v>1445</v>
      </c>
      <c r="IB11" s="4">
        <v>1183</v>
      </c>
      <c r="IC11" s="4">
        <v>948</v>
      </c>
      <c r="ID11" s="4">
        <v>1276</v>
      </c>
      <c r="IE11" s="4">
        <v>835</v>
      </c>
      <c r="IF11" s="4">
        <v>1364</v>
      </c>
      <c r="IG11" s="4">
        <v>1092</v>
      </c>
      <c r="IH11" s="4">
        <v>945</v>
      </c>
      <c r="II11" s="4">
        <v>855</v>
      </c>
      <c r="IJ11" s="4">
        <v>1271</v>
      </c>
      <c r="IK11" s="4">
        <v>1408</v>
      </c>
      <c r="IL11" s="4">
        <v>1787</v>
      </c>
      <c r="IM11" s="4">
        <v>1920</v>
      </c>
      <c r="IN11" s="4">
        <v>1159</v>
      </c>
      <c r="IO11" s="4">
        <v>932</v>
      </c>
      <c r="IP11" s="4">
        <v>1695</v>
      </c>
      <c r="IQ11" s="4">
        <v>1141</v>
      </c>
      <c r="IR11" s="4">
        <v>1728</v>
      </c>
      <c r="IS11" s="4">
        <v>1539</v>
      </c>
      <c r="IT11" s="4">
        <v>719</v>
      </c>
      <c r="IU11" s="4">
        <v>561</v>
      </c>
      <c r="IV11" s="4">
        <v>870</v>
      </c>
      <c r="IW11" s="4">
        <v>860</v>
      </c>
      <c r="IX11" s="4">
        <v>1252</v>
      </c>
      <c r="IY11" s="4">
        <v>1399</v>
      </c>
      <c r="IZ11" s="4">
        <v>1969</v>
      </c>
      <c r="JA11" s="4">
        <v>1200</v>
      </c>
      <c r="JB11" s="4">
        <v>1995</v>
      </c>
      <c r="JC11" s="4">
        <v>1756</v>
      </c>
      <c r="JD11" s="4">
        <v>2019</v>
      </c>
      <c r="JE11" s="4">
        <v>2029</v>
      </c>
      <c r="JF11" s="4">
        <v>1152</v>
      </c>
      <c r="JG11" s="4">
        <v>1181</v>
      </c>
      <c r="JH11" s="4">
        <v>2235</v>
      </c>
      <c r="JI11" s="4">
        <v>1875</v>
      </c>
      <c r="JJ11" s="4">
        <v>2630</v>
      </c>
      <c r="JK11" s="4">
        <v>2289</v>
      </c>
      <c r="JL11" s="4">
        <v>1849</v>
      </c>
      <c r="JM11" s="4">
        <v>1553</v>
      </c>
      <c r="JN11" s="4">
        <v>2516</v>
      </c>
      <c r="JO11" s="4">
        <v>1966</v>
      </c>
      <c r="JP11" s="4">
        <v>2645</v>
      </c>
      <c r="JQ11" s="4">
        <v>2129</v>
      </c>
      <c r="JR11" s="4">
        <v>1560</v>
      </c>
      <c r="JS11" s="4">
        <v>1538</v>
      </c>
      <c r="JT11" s="4">
        <v>2933</v>
      </c>
      <c r="JU11" s="4">
        <v>3157</v>
      </c>
      <c r="JV11" s="4">
        <v>3851</v>
      </c>
      <c r="JW11" s="4">
        <v>3420</v>
      </c>
      <c r="JX11" s="4">
        <v>1752</v>
      </c>
      <c r="JY11" s="4">
        <v>1521</v>
      </c>
      <c r="JZ11" s="4">
        <v>2994</v>
      </c>
      <c r="KA11" s="4">
        <v>2672</v>
      </c>
      <c r="KB11" s="4">
        <v>3604</v>
      </c>
      <c r="KC11" s="4">
        <v>3086</v>
      </c>
      <c r="KD11" s="4">
        <v>289</v>
      </c>
      <c r="KE11" s="4">
        <v>350</v>
      </c>
      <c r="KF11" s="4">
        <v>485</v>
      </c>
      <c r="KG11" s="4">
        <v>438</v>
      </c>
      <c r="KH11" s="4">
        <v>676</v>
      </c>
      <c r="KI11" s="4">
        <v>596</v>
      </c>
      <c r="KJ11" s="4">
        <v>810</v>
      </c>
      <c r="KK11" s="4">
        <v>862</v>
      </c>
      <c r="KL11" s="4">
        <v>1211</v>
      </c>
      <c r="KM11" s="4">
        <v>1021</v>
      </c>
      <c r="KN11" s="4">
        <v>1112</v>
      </c>
      <c r="KO11" s="4">
        <v>1291</v>
      </c>
      <c r="KP11" s="4">
        <v>440</v>
      </c>
      <c r="KQ11" s="4">
        <v>495</v>
      </c>
      <c r="KR11" s="4">
        <v>784</v>
      </c>
      <c r="KS11" s="4">
        <v>893</v>
      </c>
      <c r="KT11" s="4">
        <v>1192</v>
      </c>
      <c r="KU11" s="4">
        <v>1225</v>
      </c>
      <c r="KV11" s="4">
        <v>1011</v>
      </c>
      <c r="KW11" s="4">
        <v>998</v>
      </c>
      <c r="KX11" s="4">
        <v>1253</v>
      </c>
      <c r="KY11" s="4">
        <v>1049</v>
      </c>
      <c r="KZ11" s="4">
        <v>1365</v>
      </c>
      <c r="LA11" s="4">
        <v>936</v>
      </c>
      <c r="LB11" s="4">
        <v>830</v>
      </c>
      <c r="LC11" s="4">
        <v>967</v>
      </c>
      <c r="LD11" s="4">
        <v>1530</v>
      </c>
      <c r="LE11" s="4">
        <v>1189</v>
      </c>
      <c r="LF11" s="4">
        <v>1617</v>
      </c>
      <c r="LG11" s="4">
        <v>1499</v>
      </c>
      <c r="LH11" s="4">
        <v>1074</v>
      </c>
      <c r="LI11" s="4">
        <v>825</v>
      </c>
      <c r="LJ11" s="4">
        <v>1316</v>
      </c>
      <c r="LK11" s="4">
        <v>1240</v>
      </c>
      <c r="LL11" s="4">
        <v>1743</v>
      </c>
      <c r="LM11" s="4">
        <v>1659</v>
      </c>
      <c r="LN11" s="4">
        <v>579</v>
      </c>
      <c r="LO11" s="4">
        <v>711</v>
      </c>
      <c r="LP11" s="4">
        <v>972</v>
      </c>
      <c r="LQ11" s="4">
        <v>977</v>
      </c>
      <c r="LR11" s="4">
        <v>1184</v>
      </c>
      <c r="LS11" s="4">
        <v>1070</v>
      </c>
      <c r="LT11" s="4">
        <v>1422</v>
      </c>
      <c r="LU11" s="4">
        <v>1156</v>
      </c>
      <c r="LV11" s="4">
        <v>2309</v>
      </c>
      <c r="LW11" s="4">
        <v>1946</v>
      </c>
      <c r="LX11" s="4">
        <v>2240</v>
      </c>
      <c r="LY11" s="4">
        <v>2080</v>
      </c>
      <c r="LZ11" s="4">
        <v>1127</v>
      </c>
      <c r="MA11" s="4">
        <v>1552</v>
      </c>
      <c r="MB11" s="4">
        <v>2057</v>
      </c>
      <c r="MC11" s="4">
        <v>2080</v>
      </c>
      <c r="MD11" s="4">
        <v>2150</v>
      </c>
      <c r="ME11" s="4">
        <v>2499</v>
      </c>
      <c r="MF11" s="4">
        <v>1929</v>
      </c>
      <c r="MG11" s="4">
        <v>1385</v>
      </c>
      <c r="MH11" s="4">
        <v>2280</v>
      </c>
      <c r="MI11" s="4">
        <v>2416</v>
      </c>
      <c r="MJ11" s="4">
        <v>2463</v>
      </c>
      <c r="MK11" s="4">
        <v>2554</v>
      </c>
      <c r="ML11" s="4">
        <v>1804</v>
      </c>
      <c r="MM11" s="4">
        <v>2002</v>
      </c>
      <c r="MN11" s="4">
        <v>3004</v>
      </c>
      <c r="MO11" s="4">
        <v>2664</v>
      </c>
      <c r="MP11" s="4">
        <v>3811</v>
      </c>
      <c r="MQ11" s="4">
        <v>4104</v>
      </c>
      <c r="MR11" s="4">
        <v>2043</v>
      </c>
      <c r="MS11" s="4">
        <v>1719</v>
      </c>
      <c r="MT11" s="4">
        <v>2788</v>
      </c>
      <c r="MU11" s="4">
        <v>2633</v>
      </c>
      <c r="MV11" s="4">
        <v>3842</v>
      </c>
      <c r="MW11" s="4">
        <v>3236</v>
      </c>
    </row>
    <row r="12" spans="1:363" x14ac:dyDescent="0.3">
      <c r="A12" s="3">
        <v>1</v>
      </c>
      <c r="B12" s="3">
        <v>440</v>
      </c>
      <c r="C12" s="3">
        <v>283</v>
      </c>
      <c r="D12" s="3">
        <v>473</v>
      </c>
      <c r="E12" s="3">
        <v>465</v>
      </c>
      <c r="F12" s="3">
        <v>591</v>
      </c>
      <c r="G12" s="3">
        <v>534</v>
      </c>
      <c r="H12" s="3">
        <v>1006</v>
      </c>
      <c r="I12" s="3">
        <v>973</v>
      </c>
      <c r="J12" s="3">
        <v>1067</v>
      </c>
      <c r="K12" s="3">
        <v>800</v>
      </c>
      <c r="L12" s="3">
        <v>1429</v>
      </c>
      <c r="M12" s="3">
        <v>900</v>
      </c>
      <c r="N12" s="3">
        <v>553</v>
      </c>
      <c r="O12" s="3">
        <v>487</v>
      </c>
      <c r="P12" s="3">
        <v>1043</v>
      </c>
      <c r="Q12" s="3">
        <v>1014</v>
      </c>
      <c r="R12" s="3">
        <v>1040</v>
      </c>
      <c r="S12" s="3">
        <v>909</v>
      </c>
      <c r="T12" s="3">
        <v>820</v>
      </c>
      <c r="U12" s="3">
        <v>904</v>
      </c>
      <c r="V12" s="3">
        <v>1035</v>
      </c>
      <c r="W12" s="3">
        <v>1121</v>
      </c>
      <c r="X12" s="3">
        <v>1292</v>
      </c>
      <c r="Y12" s="3">
        <v>999</v>
      </c>
      <c r="Z12" s="3">
        <v>1056</v>
      </c>
      <c r="AA12" s="3">
        <v>913</v>
      </c>
      <c r="AB12" s="3">
        <v>1181</v>
      </c>
      <c r="AC12" s="3">
        <v>1346</v>
      </c>
      <c r="AD12" s="3">
        <v>1842</v>
      </c>
      <c r="AE12" s="3">
        <v>1841</v>
      </c>
      <c r="AF12" s="3">
        <v>1080</v>
      </c>
      <c r="AG12" s="3">
        <v>1123</v>
      </c>
      <c r="AH12" s="3">
        <v>1852</v>
      </c>
      <c r="AI12" s="3">
        <v>1137</v>
      </c>
      <c r="AJ12" s="3">
        <v>2017</v>
      </c>
      <c r="AK12" s="3">
        <v>1309</v>
      </c>
      <c r="AL12" s="3">
        <v>741</v>
      </c>
      <c r="AM12" s="3">
        <v>665</v>
      </c>
      <c r="AN12" s="3">
        <v>1108</v>
      </c>
      <c r="AO12" s="3">
        <v>839</v>
      </c>
      <c r="AP12" s="3">
        <v>1376</v>
      </c>
      <c r="AQ12" s="3">
        <v>1288</v>
      </c>
      <c r="AR12" s="3">
        <v>2007</v>
      </c>
      <c r="AS12" s="3">
        <v>1538</v>
      </c>
      <c r="AT12" s="3">
        <v>2226</v>
      </c>
      <c r="AU12" s="3">
        <v>1704</v>
      </c>
      <c r="AV12" s="3">
        <v>2356</v>
      </c>
      <c r="AW12" s="3">
        <v>2211</v>
      </c>
      <c r="AX12" s="3">
        <v>1153</v>
      </c>
      <c r="AY12" s="3">
        <v>1474</v>
      </c>
      <c r="AZ12" s="3">
        <v>1753</v>
      </c>
      <c r="BA12" s="3">
        <v>1997</v>
      </c>
      <c r="BB12" s="3">
        <v>2708</v>
      </c>
      <c r="BC12" s="3">
        <v>2223</v>
      </c>
      <c r="BD12" s="3">
        <v>1743</v>
      </c>
      <c r="BE12" s="3">
        <v>1459</v>
      </c>
      <c r="BF12" s="3">
        <v>2516</v>
      </c>
      <c r="BG12" s="3">
        <v>2038</v>
      </c>
      <c r="BH12" s="3">
        <v>2587</v>
      </c>
      <c r="BI12" s="3">
        <v>2500</v>
      </c>
      <c r="BJ12" s="3">
        <v>1571</v>
      </c>
      <c r="BK12" s="3">
        <v>1995</v>
      </c>
      <c r="BL12" s="3">
        <v>2853</v>
      </c>
      <c r="BM12" s="3">
        <v>2278</v>
      </c>
      <c r="BN12" s="3">
        <v>3865</v>
      </c>
      <c r="BO12" s="3">
        <v>3456</v>
      </c>
      <c r="BP12" s="3">
        <v>2057</v>
      </c>
      <c r="BQ12" s="3">
        <v>1388</v>
      </c>
      <c r="BR12" s="3">
        <v>2719</v>
      </c>
      <c r="BS12" s="3">
        <v>2651</v>
      </c>
      <c r="BT12" s="3">
        <v>3426</v>
      </c>
      <c r="BU12" s="3">
        <v>3020</v>
      </c>
      <c r="BV12" s="3">
        <v>381</v>
      </c>
      <c r="BW12" s="3">
        <v>261</v>
      </c>
      <c r="BX12" s="3">
        <v>413</v>
      </c>
      <c r="BY12" s="3">
        <v>434</v>
      </c>
      <c r="BZ12" s="3">
        <v>597</v>
      </c>
      <c r="CA12" s="3">
        <v>573</v>
      </c>
      <c r="CB12" s="3">
        <v>553</v>
      </c>
      <c r="CC12" s="3">
        <v>682</v>
      </c>
      <c r="CD12" s="3">
        <v>1122</v>
      </c>
      <c r="CE12" s="3">
        <v>1098</v>
      </c>
      <c r="CF12" s="3">
        <v>915</v>
      </c>
      <c r="CG12" s="3">
        <v>1027</v>
      </c>
      <c r="CH12" s="3">
        <v>657</v>
      </c>
      <c r="CI12" s="3">
        <v>576</v>
      </c>
      <c r="CJ12" s="3">
        <v>1137</v>
      </c>
      <c r="CK12" s="3">
        <v>979</v>
      </c>
      <c r="CL12" s="3">
        <v>1120</v>
      </c>
      <c r="CM12" s="3">
        <v>900</v>
      </c>
      <c r="CN12" s="3">
        <v>750</v>
      </c>
      <c r="CO12" s="3">
        <v>785</v>
      </c>
      <c r="CP12" s="3">
        <v>1107</v>
      </c>
      <c r="CQ12" s="3">
        <v>1098</v>
      </c>
      <c r="CR12" s="3">
        <v>1423</v>
      </c>
      <c r="CS12" s="3">
        <v>1143</v>
      </c>
      <c r="CT12" s="3">
        <v>1032</v>
      </c>
      <c r="CU12" s="3">
        <v>838</v>
      </c>
      <c r="CV12" s="3">
        <v>1262</v>
      </c>
      <c r="CW12" s="3">
        <v>1125</v>
      </c>
      <c r="CX12" s="3">
        <v>1323</v>
      </c>
      <c r="CY12" s="3">
        <v>1511</v>
      </c>
      <c r="CZ12" s="3">
        <v>1175</v>
      </c>
      <c r="DA12" s="3">
        <v>865</v>
      </c>
      <c r="DB12" s="3">
        <v>1643</v>
      </c>
      <c r="DC12" s="3">
        <v>1312</v>
      </c>
      <c r="DD12" s="3">
        <v>1754</v>
      </c>
      <c r="DE12" s="3">
        <v>1420</v>
      </c>
      <c r="DF12" s="3">
        <v>700</v>
      </c>
      <c r="DG12" s="3">
        <v>643</v>
      </c>
      <c r="DH12" s="3">
        <v>1000</v>
      </c>
      <c r="DI12" s="3">
        <v>1095</v>
      </c>
      <c r="DJ12" s="3">
        <v>1277</v>
      </c>
      <c r="DK12" s="3">
        <v>1296</v>
      </c>
      <c r="DL12" s="3">
        <v>2037</v>
      </c>
      <c r="DM12" s="3">
        <v>1480</v>
      </c>
      <c r="DN12" s="3">
        <v>1939</v>
      </c>
      <c r="DO12" s="3">
        <v>1766</v>
      </c>
      <c r="DP12" s="3">
        <v>2670</v>
      </c>
      <c r="DQ12" s="3">
        <v>2006</v>
      </c>
      <c r="DR12" s="3">
        <v>1214</v>
      </c>
      <c r="DS12" s="3">
        <v>1150</v>
      </c>
      <c r="DT12" s="3">
        <v>1830</v>
      </c>
      <c r="DU12" s="3">
        <v>2069</v>
      </c>
      <c r="DV12" s="3">
        <v>2250</v>
      </c>
      <c r="DW12" s="3">
        <v>2458</v>
      </c>
      <c r="DX12" s="3">
        <v>1797</v>
      </c>
      <c r="DY12" s="3">
        <v>1635</v>
      </c>
      <c r="DZ12" s="3">
        <v>2282</v>
      </c>
      <c r="EA12" s="3">
        <v>1851</v>
      </c>
      <c r="EB12" s="3">
        <v>2798</v>
      </c>
      <c r="EC12" s="3">
        <v>2516</v>
      </c>
      <c r="ED12" s="3">
        <v>1488</v>
      </c>
      <c r="EE12" s="3">
        <v>1625</v>
      </c>
      <c r="EF12" s="3">
        <v>2994</v>
      </c>
      <c r="EG12" s="3">
        <v>2765</v>
      </c>
      <c r="EH12" s="3">
        <v>3847</v>
      </c>
      <c r="EI12" s="3">
        <v>3737</v>
      </c>
      <c r="EJ12" s="3">
        <v>2227</v>
      </c>
      <c r="EK12" s="3">
        <v>1536</v>
      </c>
      <c r="EL12" s="3">
        <v>3390</v>
      </c>
      <c r="EM12" s="3">
        <v>2609</v>
      </c>
      <c r="EN12" s="3">
        <v>3827</v>
      </c>
      <c r="EO12" s="3">
        <v>3295</v>
      </c>
      <c r="EP12" s="3">
        <v>441</v>
      </c>
      <c r="EQ12" s="3">
        <v>304</v>
      </c>
      <c r="ER12" s="3">
        <v>585</v>
      </c>
      <c r="ES12" s="3">
        <v>471</v>
      </c>
      <c r="ET12" s="3">
        <v>640</v>
      </c>
      <c r="EU12" s="3">
        <v>694</v>
      </c>
      <c r="EV12" s="3">
        <v>784</v>
      </c>
      <c r="EW12" s="3">
        <v>952</v>
      </c>
      <c r="EX12" s="3">
        <v>1171</v>
      </c>
      <c r="EY12" s="3">
        <v>826</v>
      </c>
      <c r="EZ12" s="3">
        <v>1061</v>
      </c>
      <c r="FA12" s="3">
        <v>1256</v>
      </c>
      <c r="FB12" s="3">
        <v>373</v>
      </c>
      <c r="FC12" s="3">
        <v>470</v>
      </c>
      <c r="FD12" s="3">
        <v>771</v>
      </c>
      <c r="FE12" s="3">
        <v>1101</v>
      </c>
      <c r="FF12" s="3">
        <v>1180</v>
      </c>
      <c r="FG12" s="3">
        <v>1098</v>
      </c>
      <c r="FH12" s="3">
        <v>614</v>
      </c>
      <c r="FI12" s="3">
        <v>648</v>
      </c>
      <c r="FJ12" s="3">
        <v>1084</v>
      </c>
      <c r="FK12" s="3">
        <v>921</v>
      </c>
      <c r="FL12" s="3">
        <v>1221</v>
      </c>
      <c r="FM12" s="3">
        <v>1244</v>
      </c>
      <c r="FN12" s="3">
        <v>832</v>
      </c>
      <c r="FO12" s="3">
        <v>563</v>
      </c>
      <c r="FP12" s="3">
        <v>1522</v>
      </c>
      <c r="FQ12" s="3">
        <v>1332</v>
      </c>
      <c r="FR12" s="3">
        <v>1812</v>
      </c>
      <c r="FS12" s="3">
        <v>1559</v>
      </c>
      <c r="FT12" s="3">
        <v>1013</v>
      </c>
      <c r="FU12" s="3">
        <v>805</v>
      </c>
      <c r="FV12" s="3">
        <v>1332</v>
      </c>
      <c r="FW12" s="3">
        <v>1271</v>
      </c>
      <c r="FX12" s="3">
        <v>1620</v>
      </c>
      <c r="FY12" s="3">
        <v>1575</v>
      </c>
      <c r="FZ12" s="3">
        <v>561</v>
      </c>
      <c r="GA12" s="3">
        <v>679</v>
      </c>
      <c r="GB12" s="3">
        <v>1160</v>
      </c>
      <c r="GC12" s="3">
        <v>876</v>
      </c>
      <c r="GD12" s="3">
        <v>1342</v>
      </c>
      <c r="GE12" s="3">
        <v>1316</v>
      </c>
      <c r="GF12" s="3">
        <v>1587</v>
      </c>
      <c r="GG12" s="3">
        <v>1278</v>
      </c>
      <c r="GH12" s="3">
        <v>2105</v>
      </c>
      <c r="GI12" s="3">
        <v>1832</v>
      </c>
      <c r="GJ12" s="3">
        <v>2551</v>
      </c>
      <c r="GK12" s="3">
        <v>2178</v>
      </c>
      <c r="GL12" s="3">
        <v>1202</v>
      </c>
      <c r="GM12" s="3">
        <v>1268</v>
      </c>
      <c r="GN12" s="3">
        <v>2098</v>
      </c>
      <c r="GO12" s="3">
        <v>1976</v>
      </c>
      <c r="GP12" s="3">
        <v>2662</v>
      </c>
      <c r="GQ12" s="3">
        <v>2551</v>
      </c>
      <c r="GR12" s="3">
        <v>1961</v>
      </c>
      <c r="GS12" s="3">
        <v>1570</v>
      </c>
      <c r="GT12" s="3">
        <v>2262</v>
      </c>
      <c r="GU12" s="3">
        <v>2013</v>
      </c>
      <c r="GV12" s="3">
        <v>2890</v>
      </c>
      <c r="GW12" s="3">
        <v>2287</v>
      </c>
      <c r="GX12" s="3">
        <v>1754</v>
      </c>
      <c r="GY12" s="3">
        <v>1741</v>
      </c>
      <c r="GZ12" s="3">
        <v>3097</v>
      </c>
      <c r="HA12" s="3">
        <v>2888</v>
      </c>
      <c r="HB12" s="3">
        <v>3543</v>
      </c>
      <c r="HC12" s="3">
        <v>3864</v>
      </c>
      <c r="HD12" s="3">
        <v>2020</v>
      </c>
      <c r="HE12" s="3">
        <v>1756</v>
      </c>
      <c r="HF12" s="3">
        <v>3146</v>
      </c>
      <c r="HG12" s="3">
        <v>2879</v>
      </c>
      <c r="HH12" s="3">
        <v>3987</v>
      </c>
      <c r="HI12" s="3">
        <v>3417</v>
      </c>
      <c r="HJ12" s="3">
        <v>218</v>
      </c>
      <c r="HK12" s="3">
        <v>341</v>
      </c>
      <c r="HL12" s="3">
        <v>464</v>
      </c>
      <c r="HM12" s="3">
        <v>551</v>
      </c>
      <c r="HN12" s="3">
        <v>671</v>
      </c>
      <c r="HO12" s="3">
        <v>607</v>
      </c>
      <c r="HP12" s="3">
        <v>664</v>
      </c>
      <c r="HQ12" s="3">
        <v>740</v>
      </c>
      <c r="HR12" s="3">
        <v>1154</v>
      </c>
      <c r="HS12" s="3">
        <v>1027</v>
      </c>
      <c r="HT12" s="3">
        <v>1242</v>
      </c>
      <c r="HU12" s="3">
        <v>927</v>
      </c>
      <c r="HV12" s="3">
        <v>726</v>
      </c>
      <c r="HW12" s="3">
        <v>663</v>
      </c>
      <c r="HX12" s="3">
        <v>999</v>
      </c>
      <c r="HY12" s="3">
        <v>853</v>
      </c>
      <c r="HZ12" s="3">
        <v>694</v>
      </c>
      <c r="IA12" s="3">
        <v>1445</v>
      </c>
      <c r="IB12" s="3">
        <v>1183</v>
      </c>
      <c r="IC12" s="3">
        <v>948</v>
      </c>
      <c r="ID12" s="3">
        <v>1276</v>
      </c>
      <c r="IE12" s="3">
        <v>841</v>
      </c>
      <c r="IF12" s="3">
        <v>1394</v>
      </c>
      <c r="IG12" s="3">
        <v>1126</v>
      </c>
      <c r="IH12" s="3">
        <v>945</v>
      </c>
      <c r="II12" s="3">
        <v>886</v>
      </c>
      <c r="IJ12" s="3">
        <v>1279</v>
      </c>
      <c r="IK12" s="3">
        <v>1441</v>
      </c>
      <c r="IL12" s="3">
        <v>1787</v>
      </c>
      <c r="IM12" s="3">
        <v>1920</v>
      </c>
      <c r="IN12" s="3">
        <v>1159</v>
      </c>
      <c r="IO12" s="3">
        <v>932</v>
      </c>
      <c r="IP12" s="3">
        <v>1731</v>
      </c>
      <c r="IQ12" s="3">
        <v>1235</v>
      </c>
      <c r="IR12" s="3">
        <v>1742</v>
      </c>
      <c r="IS12" s="3">
        <v>1686</v>
      </c>
      <c r="IT12" s="3">
        <v>719</v>
      </c>
      <c r="IU12" s="3">
        <v>571</v>
      </c>
      <c r="IV12" s="3">
        <v>891</v>
      </c>
      <c r="IW12" s="3">
        <v>860</v>
      </c>
      <c r="IX12" s="3">
        <v>1259</v>
      </c>
      <c r="IY12" s="3">
        <v>1399</v>
      </c>
      <c r="IZ12" s="3">
        <v>1969</v>
      </c>
      <c r="JA12" s="3">
        <v>1200</v>
      </c>
      <c r="JB12" s="3">
        <v>1995</v>
      </c>
      <c r="JC12" s="3">
        <v>1756</v>
      </c>
      <c r="JD12" s="3">
        <v>2020</v>
      </c>
      <c r="JE12" s="3">
        <v>2029</v>
      </c>
      <c r="JF12" s="3">
        <v>1164</v>
      </c>
      <c r="JG12" s="3">
        <v>1181</v>
      </c>
      <c r="JH12" s="3">
        <v>2235</v>
      </c>
      <c r="JI12" s="3">
        <v>1875</v>
      </c>
      <c r="JJ12" s="3">
        <v>2630</v>
      </c>
      <c r="JK12" s="3">
        <v>2317</v>
      </c>
      <c r="JL12" s="3">
        <v>1849</v>
      </c>
      <c r="JM12" s="3">
        <v>1553</v>
      </c>
      <c r="JN12" s="3">
        <v>2516</v>
      </c>
      <c r="JO12" s="3">
        <v>2010</v>
      </c>
      <c r="JP12" s="3">
        <v>2761</v>
      </c>
      <c r="JQ12" s="3">
        <v>2347</v>
      </c>
      <c r="JR12" s="3">
        <v>1560</v>
      </c>
      <c r="JS12" s="3">
        <v>1603</v>
      </c>
      <c r="JT12" s="3">
        <v>2950</v>
      </c>
      <c r="JU12" s="3">
        <v>3157</v>
      </c>
      <c r="JV12" s="3">
        <v>3938</v>
      </c>
      <c r="JW12" s="3">
        <v>3421</v>
      </c>
      <c r="JX12" s="3">
        <v>1767</v>
      </c>
      <c r="JY12" s="3">
        <v>1550</v>
      </c>
      <c r="JZ12" s="3">
        <v>3035</v>
      </c>
      <c r="KA12" s="3">
        <v>2780</v>
      </c>
      <c r="KB12" s="3">
        <v>3706</v>
      </c>
      <c r="KC12" s="3">
        <v>3265</v>
      </c>
      <c r="KD12" s="3">
        <v>289</v>
      </c>
      <c r="KE12" s="3">
        <v>368</v>
      </c>
      <c r="KF12" s="3">
        <v>485</v>
      </c>
      <c r="KG12" s="3">
        <v>454</v>
      </c>
      <c r="KH12" s="3">
        <v>676</v>
      </c>
      <c r="KI12" s="3">
        <v>614</v>
      </c>
      <c r="KJ12" s="3">
        <v>810</v>
      </c>
      <c r="KK12" s="3">
        <v>862</v>
      </c>
      <c r="KL12" s="3">
        <v>1211</v>
      </c>
      <c r="KM12" s="3">
        <v>1021</v>
      </c>
      <c r="KN12" s="3">
        <v>1112</v>
      </c>
      <c r="KO12" s="3">
        <v>1291</v>
      </c>
      <c r="KP12" s="3">
        <v>440</v>
      </c>
      <c r="KQ12" s="3">
        <v>522</v>
      </c>
      <c r="KR12" s="3">
        <v>786</v>
      </c>
      <c r="KS12" s="3">
        <v>908</v>
      </c>
      <c r="KT12" s="3">
        <v>1192</v>
      </c>
      <c r="KU12" s="3">
        <v>1225</v>
      </c>
      <c r="KV12" s="3">
        <v>1011</v>
      </c>
      <c r="KW12" s="3">
        <v>998</v>
      </c>
      <c r="KX12" s="3">
        <v>1253</v>
      </c>
      <c r="KY12" s="3">
        <v>1049</v>
      </c>
      <c r="KZ12" s="3">
        <v>1395</v>
      </c>
      <c r="LA12" s="3">
        <v>1014</v>
      </c>
      <c r="LB12" s="3">
        <v>850</v>
      </c>
      <c r="LC12" s="3">
        <v>967</v>
      </c>
      <c r="LD12" s="3">
        <v>1536</v>
      </c>
      <c r="LE12" s="3">
        <v>1197</v>
      </c>
      <c r="LF12" s="3">
        <v>1617</v>
      </c>
      <c r="LG12" s="3">
        <v>1499</v>
      </c>
      <c r="LH12" s="3">
        <v>1074</v>
      </c>
      <c r="LI12" s="3">
        <v>848</v>
      </c>
      <c r="LJ12" s="3">
        <v>1343</v>
      </c>
      <c r="LK12" s="3">
        <v>1281</v>
      </c>
      <c r="LL12" s="3">
        <v>1771</v>
      </c>
      <c r="LM12" s="3">
        <v>1751</v>
      </c>
      <c r="LN12" s="3">
        <v>579</v>
      </c>
      <c r="LO12" s="3">
        <v>711</v>
      </c>
      <c r="LP12" s="3">
        <v>1002</v>
      </c>
      <c r="LQ12" s="3">
        <v>981</v>
      </c>
      <c r="LR12" s="3">
        <v>1195</v>
      </c>
      <c r="LS12" s="3">
        <v>1104</v>
      </c>
      <c r="LT12" s="3">
        <v>1422</v>
      </c>
      <c r="LU12" s="3">
        <v>1156</v>
      </c>
      <c r="LV12" s="3">
        <v>2309</v>
      </c>
      <c r="LW12" s="3">
        <v>1946</v>
      </c>
      <c r="LX12" s="3">
        <v>2240</v>
      </c>
      <c r="LY12" s="3">
        <v>2080</v>
      </c>
      <c r="LZ12" s="3">
        <v>1147</v>
      </c>
      <c r="MA12" s="3">
        <v>1552</v>
      </c>
      <c r="MB12" s="3">
        <v>2104</v>
      </c>
      <c r="MC12" s="3">
        <v>2080</v>
      </c>
      <c r="MD12" s="3">
        <v>2171</v>
      </c>
      <c r="ME12" s="3">
        <v>2499</v>
      </c>
      <c r="MF12" s="3">
        <v>1929</v>
      </c>
      <c r="MG12" s="3">
        <v>1385</v>
      </c>
      <c r="MH12" s="3">
        <v>2319</v>
      </c>
      <c r="MI12" s="3">
        <v>2416</v>
      </c>
      <c r="MJ12" s="3">
        <v>2584</v>
      </c>
      <c r="MK12" s="3">
        <v>2644</v>
      </c>
      <c r="ML12" s="3">
        <v>1833</v>
      </c>
      <c r="MM12" s="3">
        <v>2002</v>
      </c>
      <c r="MN12" s="3">
        <v>3026</v>
      </c>
      <c r="MO12" s="3">
        <v>2760</v>
      </c>
      <c r="MP12" s="3">
        <v>3811</v>
      </c>
      <c r="MQ12" s="3">
        <v>4104</v>
      </c>
      <c r="MR12" s="3">
        <v>2073</v>
      </c>
      <c r="MS12" s="3">
        <v>1719</v>
      </c>
      <c r="MT12" s="3">
        <v>2844</v>
      </c>
      <c r="MU12" s="3">
        <v>2740</v>
      </c>
      <c r="MV12" s="3">
        <v>3913</v>
      </c>
      <c r="MW12" s="3">
        <v>3435</v>
      </c>
    </row>
    <row r="13" spans="1:363" x14ac:dyDescent="0.3">
      <c r="A13" s="3">
        <v>2</v>
      </c>
      <c r="B13" s="3">
        <v>440</v>
      </c>
      <c r="C13" s="3">
        <v>283</v>
      </c>
      <c r="D13" s="3">
        <v>473</v>
      </c>
      <c r="E13" s="3">
        <v>470</v>
      </c>
      <c r="F13" s="3">
        <v>591</v>
      </c>
      <c r="G13" s="3">
        <v>534</v>
      </c>
      <c r="H13" s="3">
        <v>1006</v>
      </c>
      <c r="I13" s="3">
        <v>973</v>
      </c>
      <c r="J13" s="3">
        <v>1067</v>
      </c>
      <c r="K13" s="3">
        <v>800</v>
      </c>
      <c r="L13" s="3">
        <v>1429</v>
      </c>
      <c r="M13" s="3">
        <v>900</v>
      </c>
      <c r="N13" s="3">
        <v>553</v>
      </c>
      <c r="O13" s="3">
        <v>487</v>
      </c>
      <c r="P13" s="3">
        <v>1043</v>
      </c>
      <c r="Q13" s="3">
        <v>1014</v>
      </c>
      <c r="R13" s="3">
        <v>1041</v>
      </c>
      <c r="S13" s="3">
        <v>907</v>
      </c>
      <c r="T13" s="3">
        <v>820</v>
      </c>
      <c r="U13" s="3">
        <v>904</v>
      </c>
      <c r="V13" s="3">
        <v>1035</v>
      </c>
      <c r="W13" s="3">
        <v>1110</v>
      </c>
      <c r="X13" s="3">
        <v>1295</v>
      </c>
      <c r="Y13" s="3">
        <v>1000</v>
      </c>
      <c r="Z13" s="3">
        <v>1056</v>
      </c>
      <c r="AA13" s="3">
        <v>913</v>
      </c>
      <c r="AB13" s="3">
        <v>1180</v>
      </c>
      <c r="AC13" s="3">
        <v>1337</v>
      </c>
      <c r="AD13" s="3">
        <v>1845</v>
      </c>
      <c r="AE13" s="3">
        <v>1841</v>
      </c>
      <c r="AF13" s="3">
        <v>1080</v>
      </c>
      <c r="AG13" s="3">
        <v>1123</v>
      </c>
      <c r="AH13" s="3">
        <v>1853</v>
      </c>
      <c r="AI13" s="3">
        <v>1149</v>
      </c>
      <c r="AJ13" s="3">
        <v>2017</v>
      </c>
      <c r="AK13" s="3">
        <v>1301</v>
      </c>
      <c r="AL13" s="3">
        <v>741</v>
      </c>
      <c r="AM13" s="3">
        <v>665</v>
      </c>
      <c r="AN13" s="3">
        <v>1109</v>
      </c>
      <c r="AO13" s="3">
        <v>839</v>
      </c>
      <c r="AP13" s="3">
        <v>1376</v>
      </c>
      <c r="AQ13" s="3">
        <v>1288</v>
      </c>
      <c r="AR13" s="3">
        <v>2007</v>
      </c>
      <c r="AS13" s="3">
        <v>1538</v>
      </c>
      <c r="AT13" s="3">
        <v>2226</v>
      </c>
      <c r="AU13" s="3">
        <v>1704</v>
      </c>
      <c r="AV13" s="3">
        <v>2356</v>
      </c>
      <c r="AW13" s="3">
        <v>2211</v>
      </c>
      <c r="AX13" s="3">
        <v>1153</v>
      </c>
      <c r="AY13" s="3">
        <v>1478</v>
      </c>
      <c r="AZ13" s="3">
        <v>1751</v>
      </c>
      <c r="BA13" s="3">
        <v>1997</v>
      </c>
      <c r="BB13" s="3">
        <v>2702</v>
      </c>
      <c r="BC13" s="3">
        <v>2233</v>
      </c>
      <c r="BD13" s="3">
        <v>1743</v>
      </c>
      <c r="BE13" s="3">
        <v>1459</v>
      </c>
      <c r="BF13" s="3">
        <v>2516</v>
      </c>
      <c r="BG13" s="3">
        <v>2038</v>
      </c>
      <c r="BH13" s="3">
        <v>2587</v>
      </c>
      <c r="BI13" s="3">
        <v>2491</v>
      </c>
      <c r="BJ13" s="3">
        <v>1572</v>
      </c>
      <c r="BK13" s="3">
        <v>1972</v>
      </c>
      <c r="BL13" s="3">
        <v>2853</v>
      </c>
      <c r="BM13" s="3">
        <v>2288</v>
      </c>
      <c r="BN13" s="3">
        <v>3866</v>
      </c>
      <c r="BO13" s="3">
        <v>3462</v>
      </c>
      <c r="BP13" s="3">
        <v>2060</v>
      </c>
      <c r="BQ13" s="3">
        <v>1388</v>
      </c>
      <c r="BR13" s="3">
        <v>2712</v>
      </c>
      <c r="BS13" s="3">
        <v>2657</v>
      </c>
      <c r="BT13" s="3">
        <v>3437</v>
      </c>
      <c r="BU13" s="3">
        <v>3051</v>
      </c>
      <c r="BV13" s="3">
        <v>381</v>
      </c>
      <c r="BW13" s="3">
        <v>261</v>
      </c>
      <c r="BX13" s="3">
        <v>413</v>
      </c>
      <c r="BY13" s="3">
        <v>434</v>
      </c>
      <c r="BZ13" s="3">
        <v>597</v>
      </c>
      <c r="CA13" s="3">
        <v>573</v>
      </c>
      <c r="CB13" s="3">
        <v>553</v>
      </c>
      <c r="CC13" s="3">
        <v>682</v>
      </c>
      <c r="CD13" s="3">
        <v>1122</v>
      </c>
      <c r="CE13" s="3">
        <v>1098</v>
      </c>
      <c r="CF13" s="3">
        <v>915</v>
      </c>
      <c r="CG13" s="3">
        <v>1027</v>
      </c>
      <c r="CH13" s="3">
        <v>656</v>
      </c>
      <c r="CI13" s="3">
        <v>576</v>
      </c>
      <c r="CJ13" s="3">
        <v>1137</v>
      </c>
      <c r="CK13" s="3">
        <v>971</v>
      </c>
      <c r="CL13" s="3">
        <v>1120</v>
      </c>
      <c r="CM13" s="3">
        <v>900</v>
      </c>
      <c r="CN13" s="3">
        <v>750</v>
      </c>
      <c r="CO13" s="3">
        <v>785</v>
      </c>
      <c r="CP13" s="3">
        <v>1107</v>
      </c>
      <c r="CQ13" s="3">
        <v>1098</v>
      </c>
      <c r="CR13" s="3">
        <v>1427</v>
      </c>
      <c r="CS13" s="3">
        <v>1124</v>
      </c>
      <c r="CT13" s="3">
        <v>1032</v>
      </c>
      <c r="CU13" s="3">
        <v>838</v>
      </c>
      <c r="CV13" s="3">
        <v>1262</v>
      </c>
      <c r="CW13" s="3">
        <v>1125</v>
      </c>
      <c r="CX13" s="3">
        <v>1323</v>
      </c>
      <c r="CY13" s="3">
        <v>1511</v>
      </c>
      <c r="CZ13" s="3">
        <v>1175</v>
      </c>
      <c r="DA13" s="3">
        <v>865</v>
      </c>
      <c r="DB13" s="3">
        <v>1641</v>
      </c>
      <c r="DC13" s="3">
        <v>1326</v>
      </c>
      <c r="DD13" s="3">
        <v>1756</v>
      </c>
      <c r="DE13" s="3">
        <v>1432</v>
      </c>
      <c r="DF13" s="3">
        <v>700</v>
      </c>
      <c r="DG13" s="3">
        <v>643</v>
      </c>
      <c r="DH13" s="3">
        <v>1000</v>
      </c>
      <c r="DI13" s="3">
        <v>1087</v>
      </c>
      <c r="DJ13" s="3">
        <v>1277</v>
      </c>
      <c r="DK13" s="3">
        <v>1289</v>
      </c>
      <c r="DL13" s="3">
        <v>2037</v>
      </c>
      <c r="DM13" s="3">
        <v>1480</v>
      </c>
      <c r="DN13" s="3">
        <v>1939</v>
      </c>
      <c r="DO13" s="3">
        <v>1766</v>
      </c>
      <c r="DP13" s="3">
        <v>2670</v>
      </c>
      <c r="DQ13" s="3">
        <v>2006</v>
      </c>
      <c r="DR13" s="3">
        <v>1214</v>
      </c>
      <c r="DS13" s="3">
        <v>1150</v>
      </c>
      <c r="DT13" s="3">
        <v>1832</v>
      </c>
      <c r="DU13" s="3">
        <v>2071</v>
      </c>
      <c r="DV13" s="3">
        <v>2250</v>
      </c>
      <c r="DW13" s="3">
        <v>2458</v>
      </c>
      <c r="DX13" s="3">
        <v>1797</v>
      </c>
      <c r="DY13" s="3">
        <v>1635</v>
      </c>
      <c r="DZ13" s="3">
        <v>2284</v>
      </c>
      <c r="EA13" s="3">
        <v>1844</v>
      </c>
      <c r="EB13" s="3">
        <v>2792</v>
      </c>
      <c r="EC13" s="3">
        <v>2458</v>
      </c>
      <c r="ED13" s="3">
        <v>1483</v>
      </c>
      <c r="EE13" s="3">
        <v>1625</v>
      </c>
      <c r="EF13" s="3">
        <v>3003</v>
      </c>
      <c r="EG13" s="3">
        <v>2767</v>
      </c>
      <c r="EH13" s="3">
        <v>3848</v>
      </c>
      <c r="EI13" s="3">
        <v>3758</v>
      </c>
      <c r="EJ13" s="3">
        <v>2229</v>
      </c>
      <c r="EK13" s="3">
        <v>1512</v>
      </c>
      <c r="EL13" s="3">
        <v>3391</v>
      </c>
      <c r="EM13" s="3">
        <v>2612</v>
      </c>
      <c r="EN13" s="3">
        <v>3836</v>
      </c>
      <c r="EO13" s="3">
        <v>3276</v>
      </c>
      <c r="EP13" s="3">
        <v>441</v>
      </c>
      <c r="EQ13" s="3">
        <v>304</v>
      </c>
      <c r="ER13" s="3">
        <v>585</v>
      </c>
      <c r="ES13" s="3">
        <v>471</v>
      </c>
      <c r="ET13" s="3">
        <v>640</v>
      </c>
      <c r="EU13" s="3">
        <v>700</v>
      </c>
      <c r="EV13" s="3">
        <v>784</v>
      </c>
      <c r="EW13" s="3">
        <v>952</v>
      </c>
      <c r="EX13" s="3">
        <v>1171</v>
      </c>
      <c r="EY13" s="3">
        <v>826</v>
      </c>
      <c r="EZ13" s="3">
        <v>1061</v>
      </c>
      <c r="FA13" s="3">
        <v>1256</v>
      </c>
      <c r="FB13" s="3">
        <v>373</v>
      </c>
      <c r="FC13" s="3">
        <v>470</v>
      </c>
      <c r="FD13" s="3">
        <v>771</v>
      </c>
      <c r="FE13" s="3">
        <v>1101</v>
      </c>
      <c r="FF13" s="3">
        <v>1179</v>
      </c>
      <c r="FG13" s="3">
        <v>1094</v>
      </c>
      <c r="FH13" s="3">
        <v>614</v>
      </c>
      <c r="FI13" s="3">
        <v>648</v>
      </c>
      <c r="FJ13" s="3">
        <v>1084</v>
      </c>
      <c r="FK13" s="3">
        <v>921</v>
      </c>
      <c r="FL13" s="3">
        <v>1221</v>
      </c>
      <c r="FM13" s="3">
        <v>1255</v>
      </c>
      <c r="FN13" s="3">
        <v>832</v>
      </c>
      <c r="FO13" s="3">
        <v>563</v>
      </c>
      <c r="FP13" s="3">
        <v>1522</v>
      </c>
      <c r="FQ13" s="3">
        <v>1334</v>
      </c>
      <c r="FR13" s="3">
        <v>1809</v>
      </c>
      <c r="FS13" s="3">
        <v>1559</v>
      </c>
      <c r="FT13" s="3">
        <v>1013</v>
      </c>
      <c r="FU13" s="3">
        <v>805</v>
      </c>
      <c r="FV13" s="3">
        <v>1330</v>
      </c>
      <c r="FW13" s="3">
        <v>1271</v>
      </c>
      <c r="FX13" s="3">
        <v>1619</v>
      </c>
      <c r="FY13" s="3">
        <v>1573</v>
      </c>
      <c r="FZ13" s="3">
        <v>561</v>
      </c>
      <c r="GA13" s="3">
        <v>679</v>
      </c>
      <c r="GB13" s="3">
        <v>1163</v>
      </c>
      <c r="GC13" s="3">
        <v>881</v>
      </c>
      <c r="GD13" s="3">
        <v>1342</v>
      </c>
      <c r="GE13" s="3">
        <v>1316</v>
      </c>
      <c r="GF13" s="3">
        <v>1587</v>
      </c>
      <c r="GG13" s="3">
        <v>1278</v>
      </c>
      <c r="GH13" s="3">
        <v>2105</v>
      </c>
      <c r="GI13" s="3">
        <v>1832</v>
      </c>
      <c r="GJ13" s="3">
        <v>2551</v>
      </c>
      <c r="GK13" s="3">
        <v>2178</v>
      </c>
      <c r="GL13" s="3">
        <v>1202</v>
      </c>
      <c r="GM13" s="3">
        <v>1261</v>
      </c>
      <c r="GN13" s="3">
        <v>2097</v>
      </c>
      <c r="GO13" s="3">
        <v>1979</v>
      </c>
      <c r="GP13" s="3">
        <v>2662</v>
      </c>
      <c r="GQ13" s="3">
        <v>2551</v>
      </c>
      <c r="GR13" s="3">
        <v>1961</v>
      </c>
      <c r="GS13" s="3">
        <v>1570</v>
      </c>
      <c r="GT13" s="3">
        <v>2263</v>
      </c>
      <c r="GU13" s="3">
        <v>2013</v>
      </c>
      <c r="GV13" s="3">
        <v>2929</v>
      </c>
      <c r="GW13" s="3">
        <v>2263</v>
      </c>
      <c r="GX13" s="3">
        <v>1757</v>
      </c>
      <c r="GY13" s="3">
        <v>1741</v>
      </c>
      <c r="GZ13" s="3">
        <v>3097</v>
      </c>
      <c r="HA13" s="3">
        <v>2891</v>
      </c>
      <c r="HB13" s="3">
        <v>3542</v>
      </c>
      <c r="HC13" s="3">
        <v>3864</v>
      </c>
      <c r="HD13" s="3">
        <v>2021</v>
      </c>
      <c r="HE13" s="3">
        <v>1755</v>
      </c>
      <c r="HF13" s="3">
        <v>3137</v>
      </c>
      <c r="HG13" s="3">
        <v>2863</v>
      </c>
      <c r="HH13" s="3">
        <v>3984</v>
      </c>
      <c r="HI13" s="3">
        <v>3418</v>
      </c>
      <c r="HJ13" s="3">
        <v>218</v>
      </c>
      <c r="HK13" s="3">
        <v>341</v>
      </c>
      <c r="HL13" s="3">
        <v>464</v>
      </c>
      <c r="HM13" s="3">
        <v>543</v>
      </c>
      <c r="HN13" s="3">
        <v>671</v>
      </c>
      <c r="HO13" s="3">
        <v>607</v>
      </c>
      <c r="HP13" s="3">
        <v>664</v>
      </c>
      <c r="HQ13" s="3">
        <v>740</v>
      </c>
      <c r="HR13" s="3">
        <v>1154</v>
      </c>
      <c r="HS13" s="3">
        <v>1027</v>
      </c>
      <c r="HT13" s="3">
        <v>1242</v>
      </c>
      <c r="HU13" s="3">
        <v>927</v>
      </c>
      <c r="HV13" s="3">
        <v>726</v>
      </c>
      <c r="HW13" s="3">
        <v>663</v>
      </c>
      <c r="HX13" s="3">
        <v>999</v>
      </c>
      <c r="HY13" s="3">
        <v>853</v>
      </c>
      <c r="HZ13" s="3">
        <v>695</v>
      </c>
      <c r="IA13" s="3">
        <v>1445</v>
      </c>
      <c r="IB13" s="3">
        <v>1183</v>
      </c>
      <c r="IC13" s="3">
        <v>948</v>
      </c>
      <c r="ID13" s="3">
        <v>1276</v>
      </c>
      <c r="IE13" s="3">
        <v>857</v>
      </c>
      <c r="IF13" s="3">
        <v>1395</v>
      </c>
      <c r="IG13" s="3">
        <v>1135</v>
      </c>
      <c r="IH13" s="3">
        <v>945</v>
      </c>
      <c r="II13" s="3">
        <v>886</v>
      </c>
      <c r="IJ13" s="3">
        <v>1277</v>
      </c>
      <c r="IK13" s="3">
        <v>1443</v>
      </c>
      <c r="IL13" s="3">
        <v>1787</v>
      </c>
      <c r="IM13" s="3">
        <v>1920</v>
      </c>
      <c r="IN13" s="3">
        <v>1159</v>
      </c>
      <c r="IO13" s="3">
        <v>932</v>
      </c>
      <c r="IP13" s="3">
        <v>1731</v>
      </c>
      <c r="IQ13" s="3">
        <v>1236</v>
      </c>
      <c r="IR13" s="3">
        <v>1746</v>
      </c>
      <c r="IS13" s="3">
        <v>1679</v>
      </c>
      <c r="IT13" s="3">
        <v>719</v>
      </c>
      <c r="IU13" s="3">
        <v>571</v>
      </c>
      <c r="IV13" s="3">
        <v>894</v>
      </c>
      <c r="IW13" s="3">
        <v>860</v>
      </c>
      <c r="IX13" s="3">
        <v>1257</v>
      </c>
      <c r="IY13" s="3">
        <v>1399</v>
      </c>
      <c r="IZ13" s="3">
        <v>1969</v>
      </c>
      <c r="JA13" s="3">
        <v>1200</v>
      </c>
      <c r="JB13" s="3">
        <v>1995</v>
      </c>
      <c r="JC13" s="3">
        <v>1756</v>
      </c>
      <c r="JD13" s="3">
        <v>2019</v>
      </c>
      <c r="JE13" s="3">
        <v>2029</v>
      </c>
      <c r="JF13" s="3">
        <v>1164</v>
      </c>
      <c r="JG13" s="3">
        <v>1181</v>
      </c>
      <c r="JH13" s="3">
        <v>2235</v>
      </c>
      <c r="JI13" s="3">
        <v>1875</v>
      </c>
      <c r="JJ13" s="3">
        <v>2630</v>
      </c>
      <c r="JK13" s="3">
        <v>2309</v>
      </c>
      <c r="JL13" s="3">
        <v>1849</v>
      </c>
      <c r="JM13" s="3">
        <v>1553</v>
      </c>
      <c r="JN13" s="3">
        <v>2518</v>
      </c>
      <c r="JO13" s="3">
        <v>1996</v>
      </c>
      <c r="JP13" s="3">
        <v>2762</v>
      </c>
      <c r="JQ13" s="3">
        <v>2342</v>
      </c>
      <c r="JR13" s="3">
        <v>1560</v>
      </c>
      <c r="JS13" s="3">
        <v>1596</v>
      </c>
      <c r="JT13" s="3">
        <v>2949</v>
      </c>
      <c r="JU13" s="3">
        <v>3157</v>
      </c>
      <c r="JV13" s="3">
        <v>3936</v>
      </c>
      <c r="JW13" s="3">
        <v>3420</v>
      </c>
      <c r="JX13" s="3">
        <v>1774</v>
      </c>
      <c r="JY13" s="3">
        <v>1569</v>
      </c>
      <c r="JZ13" s="3">
        <v>3037</v>
      </c>
      <c r="KA13" s="3">
        <v>2781</v>
      </c>
      <c r="KB13" s="3">
        <v>3706</v>
      </c>
      <c r="KC13" s="3">
        <v>3282</v>
      </c>
      <c r="KD13" s="3">
        <v>289</v>
      </c>
      <c r="KE13" s="3">
        <v>368</v>
      </c>
      <c r="KF13" s="3">
        <v>485</v>
      </c>
      <c r="KG13" s="3">
        <v>456</v>
      </c>
      <c r="KH13" s="3">
        <v>677</v>
      </c>
      <c r="KI13" s="3">
        <v>629</v>
      </c>
      <c r="KJ13" s="3">
        <v>810</v>
      </c>
      <c r="KK13" s="3">
        <v>862</v>
      </c>
      <c r="KL13" s="3">
        <v>1211</v>
      </c>
      <c r="KM13" s="3">
        <v>1021</v>
      </c>
      <c r="KN13" s="3">
        <v>1112</v>
      </c>
      <c r="KO13" s="3">
        <v>1291</v>
      </c>
      <c r="KP13" s="3">
        <v>440</v>
      </c>
      <c r="KQ13" s="3">
        <v>522</v>
      </c>
      <c r="KR13" s="3">
        <v>786</v>
      </c>
      <c r="KS13" s="3">
        <v>908</v>
      </c>
      <c r="KT13" s="3">
        <v>1192</v>
      </c>
      <c r="KU13" s="3">
        <v>1225</v>
      </c>
      <c r="KV13" s="3">
        <v>1011</v>
      </c>
      <c r="KW13" s="3">
        <v>998</v>
      </c>
      <c r="KX13" s="3">
        <v>1253</v>
      </c>
      <c r="KY13" s="3">
        <v>1049</v>
      </c>
      <c r="KZ13" s="3">
        <v>1397</v>
      </c>
      <c r="LA13" s="3">
        <v>1003</v>
      </c>
      <c r="LB13" s="3">
        <v>850</v>
      </c>
      <c r="LC13" s="3">
        <v>967</v>
      </c>
      <c r="LD13" s="3">
        <v>1537</v>
      </c>
      <c r="LE13" s="3">
        <v>1197</v>
      </c>
      <c r="LF13" s="3">
        <v>1617</v>
      </c>
      <c r="LG13" s="3">
        <v>1499</v>
      </c>
      <c r="LH13" s="3">
        <v>1074</v>
      </c>
      <c r="LI13" s="3">
        <v>848</v>
      </c>
      <c r="LJ13" s="3">
        <v>1342</v>
      </c>
      <c r="LK13" s="3">
        <v>1281</v>
      </c>
      <c r="LL13" s="3">
        <v>1773</v>
      </c>
      <c r="LM13" s="3">
        <v>1742</v>
      </c>
      <c r="LN13" s="3">
        <v>579</v>
      </c>
      <c r="LO13" s="3">
        <v>711</v>
      </c>
      <c r="LP13" s="3">
        <v>1005</v>
      </c>
      <c r="LQ13" s="3">
        <v>981</v>
      </c>
      <c r="LR13" s="3">
        <v>1199</v>
      </c>
      <c r="LS13" s="3">
        <v>1117</v>
      </c>
      <c r="LT13" s="3">
        <v>1422</v>
      </c>
      <c r="LU13" s="3">
        <v>1156</v>
      </c>
      <c r="LV13" s="3">
        <v>2309</v>
      </c>
      <c r="LW13" s="3">
        <v>1946</v>
      </c>
      <c r="LX13" s="3">
        <v>2240</v>
      </c>
      <c r="LY13" s="3">
        <v>2080</v>
      </c>
      <c r="LZ13" s="3">
        <v>1147</v>
      </c>
      <c r="MA13" s="3">
        <v>1552</v>
      </c>
      <c r="MB13" s="3">
        <v>2100</v>
      </c>
      <c r="MC13" s="3">
        <v>2080</v>
      </c>
      <c r="MD13" s="3">
        <v>2170</v>
      </c>
      <c r="ME13" s="3">
        <v>2499</v>
      </c>
      <c r="MF13" s="3">
        <v>1929</v>
      </c>
      <c r="MG13" s="3">
        <v>1385</v>
      </c>
      <c r="MH13" s="3">
        <v>2324</v>
      </c>
      <c r="MI13" s="3">
        <v>2416</v>
      </c>
      <c r="MJ13" s="3">
        <v>2595</v>
      </c>
      <c r="MK13" s="3">
        <v>2632</v>
      </c>
      <c r="ML13" s="3">
        <v>1831</v>
      </c>
      <c r="MM13" s="3">
        <v>2002</v>
      </c>
      <c r="MN13" s="3">
        <v>3023</v>
      </c>
      <c r="MO13" s="3">
        <v>2769</v>
      </c>
      <c r="MP13" s="3">
        <v>3811</v>
      </c>
      <c r="MQ13" s="3">
        <v>4104</v>
      </c>
      <c r="MR13" s="3">
        <v>2067</v>
      </c>
      <c r="MS13" s="3">
        <v>1719</v>
      </c>
      <c r="MT13" s="3">
        <v>2851</v>
      </c>
      <c r="MU13" s="3">
        <v>2729</v>
      </c>
      <c r="MV13" s="3">
        <v>3911</v>
      </c>
      <c r="MW13" s="3">
        <v>3461</v>
      </c>
    </row>
    <row r="14" spans="1:363" x14ac:dyDescent="0.3">
      <c r="A14" s="3">
        <v>3</v>
      </c>
      <c r="B14" s="3">
        <v>440</v>
      </c>
      <c r="C14" s="3">
        <v>283</v>
      </c>
      <c r="D14" s="3">
        <v>473</v>
      </c>
      <c r="E14" s="3">
        <v>463</v>
      </c>
      <c r="F14" s="3">
        <v>591</v>
      </c>
      <c r="G14" s="3">
        <v>534</v>
      </c>
      <c r="H14" s="3">
        <v>1006</v>
      </c>
      <c r="I14" s="3">
        <v>973</v>
      </c>
      <c r="J14" s="3">
        <v>1067</v>
      </c>
      <c r="K14" s="3">
        <v>800</v>
      </c>
      <c r="L14" s="3">
        <v>1429</v>
      </c>
      <c r="M14" s="3">
        <v>900</v>
      </c>
      <c r="N14" s="3">
        <v>553</v>
      </c>
      <c r="O14" s="3">
        <v>487</v>
      </c>
      <c r="P14" s="3">
        <v>1042</v>
      </c>
      <c r="Q14" s="3">
        <v>1014</v>
      </c>
      <c r="R14" s="3">
        <v>1040</v>
      </c>
      <c r="S14" s="3">
        <v>909</v>
      </c>
      <c r="T14" s="3">
        <v>820</v>
      </c>
      <c r="U14" s="3">
        <v>904</v>
      </c>
      <c r="V14" s="3">
        <v>1035</v>
      </c>
      <c r="W14" s="3">
        <v>1121</v>
      </c>
      <c r="X14" s="3">
        <v>1294</v>
      </c>
      <c r="Y14" s="3">
        <v>1000</v>
      </c>
      <c r="Z14" s="3">
        <v>1056</v>
      </c>
      <c r="AA14" s="3">
        <v>913</v>
      </c>
      <c r="AB14" s="3">
        <v>1180</v>
      </c>
      <c r="AC14" s="3">
        <v>1337</v>
      </c>
      <c r="AD14" s="3">
        <v>1846</v>
      </c>
      <c r="AE14" s="3">
        <v>1841</v>
      </c>
      <c r="AF14" s="3">
        <v>1080</v>
      </c>
      <c r="AG14" s="3">
        <v>1124</v>
      </c>
      <c r="AH14" s="3">
        <v>1850</v>
      </c>
      <c r="AI14" s="3">
        <v>1139</v>
      </c>
      <c r="AJ14" s="3">
        <v>2017</v>
      </c>
      <c r="AK14" s="3">
        <v>1307</v>
      </c>
      <c r="AL14" s="3">
        <v>741</v>
      </c>
      <c r="AM14" s="3">
        <v>665</v>
      </c>
      <c r="AN14" s="3">
        <v>1108</v>
      </c>
      <c r="AO14" s="3">
        <v>839</v>
      </c>
      <c r="AP14" s="3">
        <v>1374</v>
      </c>
      <c r="AQ14" s="3">
        <v>1288</v>
      </c>
      <c r="AR14" s="3">
        <v>2007</v>
      </c>
      <c r="AS14" s="3">
        <v>1538</v>
      </c>
      <c r="AT14" s="3">
        <v>2226</v>
      </c>
      <c r="AU14" s="3">
        <v>1704</v>
      </c>
      <c r="AV14" s="3">
        <v>2356</v>
      </c>
      <c r="AW14" s="3">
        <v>2211</v>
      </c>
      <c r="AX14" s="3">
        <v>1153</v>
      </c>
      <c r="AY14" s="3">
        <v>1474</v>
      </c>
      <c r="AZ14" s="3">
        <v>1751</v>
      </c>
      <c r="BA14" s="3">
        <v>1997</v>
      </c>
      <c r="BB14" s="3">
        <v>2710</v>
      </c>
      <c r="BC14" s="3">
        <v>2226</v>
      </c>
      <c r="BD14" s="3">
        <v>1743</v>
      </c>
      <c r="BE14" s="3">
        <v>1459</v>
      </c>
      <c r="BF14" s="3">
        <v>2516</v>
      </c>
      <c r="BG14" s="3">
        <v>2039</v>
      </c>
      <c r="BH14" s="3">
        <v>2590</v>
      </c>
      <c r="BI14" s="3">
        <v>2484</v>
      </c>
      <c r="BJ14" s="3">
        <v>1577</v>
      </c>
      <c r="BK14" s="3">
        <v>1983</v>
      </c>
      <c r="BL14" s="3">
        <v>2853</v>
      </c>
      <c r="BM14" s="3">
        <v>2287</v>
      </c>
      <c r="BN14" s="3">
        <v>3861</v>
      </c>
      <c r="BO14" s="3">
        <v>3435</v>
      </c>
      <c r="BP14" s="3">
        <v>2059</v>
      </c>
      <c r="BQ14" s="3">
        <v>1388</v>
      </c>
      <c r="BR14" s="3">
        <v>2711</v>
      </c>
      <c r="BS14" s="3">
        <v>2671</v>
      </c>
      <c r="BT14" s="3">
        <v>3438</v>
      </c>
      <c r="BU14" s="3">
        <v>3044</v>
      </c>
      <c r="BV14" s="3">
        <v>381</v>
      </c>
      <c r="BW14" s="3">
        <v>261</v>
      </c>
      <c r="BX14" s="3">
        <v>413</v>
      </c>
      <c r="BY14" s="3">
        <v>434</v>
      </c>
      <c r="BZ14" s="3">
        <v>596</v>
      </c>
      <c r="CA14" s="3">
        <v>573</v>
      </c>
      <c r="CB14" s="3">
        <v>553</v>
      </c>
      <c r="CC14" s="3">
        <v>682</v>
      </c>
      <c r="CD14" s="3">
        <v>1122</v>
      </c>
      <c r="CE14" s="3">
        <v>1098</v>
      </c>
      <c r="CF14" s="3">
        <v>915</v>
      </c>
      <c r="CG14" s="3">
        <v>1027</v>
      </c>
      <c r="CH14" s="3">
        <v>656</v>
      </c>
      <c r="CI14" s="3">
        <v>576</v>
      </c>
      <c r="CJ14" s="3">
        <v>1137</v>
      </c>
      <c r="CK14" s="3">
        <v>981</v>
      </c>
      <c r="CL14" s="3">
        <v>1120</v>
      </c>
      <c r="CM14" s="3">
        <v>900</v>
      </c>
      <c r="CN14" s="3">
        <v>750</v>
      </c>
      <c r="CO14" s="3">
        <v>785</v>
      </c>
      <c r="CP14" s="3">
        <v>1107</v>
      </c>
      <c r="CQ14" s="3">
        <v>1098</v>
      </c>
      <c r="CR14" s="3">
        <v>1428</v>
      </c>
      <c r="CS14" s="3">
        <v>1129</v>
      </c>
      <c r="CT14" s="3">
        <v>1032</v>
      </c>
      <c r="CU14" s="3">
        <v>838</v>
      </c>
      <c r="CV14" s="3">
        <v>1262</v>
      </c>
      <c r="CW14" s="3">
        <v>1125</v>
      </c>
      <c r="CX14" s="3">
        <v>1323</v>
      </c>
      <c r="CY14" s="3">
        <v>1511</v>
      </c>
      <c r="CZ14" s="3">
        <v>1175</v>
      </c>
      <c r="DA14" s="3">
        <v>865</v>
      </c>
      <c r="DB14" s="3">
        <v>1641</v>
      </c>
      <c r="DC14" s="3">
        <v>1327</v>
      </c>
      <c r="DD14" s="3">
        <v>1754</v>
      </c>
      <c r="DE14" s="3">
        <v>1410</v>
      </c>
      <c r="DF14" s="3">
        <v>700</v>
      </c>
      <c r="DG14" s="3">
        <v>644</v>
      </c>
      <c r="DH14" s="3">
        <v>1000</v>
      </c>
      <c r="DI14" s="3">
        <v>1094</v>
      </c>
      <c r="DJ14" s="3">
        <v>1277</v>
      </c>
      <c r="DK14" s="3">
        <v>1286</v>
      </c>
      <c r="DL14" s="3">
        <v>2037</v>
      </c>
      <c r="DM14" s="3">
        <v>1480</v>
      </c>
      <c r="DN14" s="3">
        <v>1939</v>
      </c>
      <c r="DO14" s="3">
        <v>1766</v>
      </c>
      <c r="DP14" s="3">
        <v>2670</v>
      </c>
      <c r="DQ14" s="3">
        <v>2006</v>
      </c>
      <c r="DR14" s="3">
        <v>1214</v>
      </c>
      <c r="DS14" s="3">
        <v>1150</v>
      </c>
      <c r="DT14" s="3">
        <v>1833</v>
      </c>
      <c r="DU14" s="3">
        <v>2064</v>
      </c>
      <c r="DV14" s="3">
        <v>2250</v>
      </c>
      <c r="DW14" s="3">
        <v>2458</v>
      </c>
      <c r="DX14" s="3">
        <v>1797</v>
      </c>
      <c r="DY14" s="3">
        <v>1635</v>
      </c>
      <c r="DZ14" s="3">
        <v>2283</v>
      </c>
      <c r="EA14" s="3">
        <v>1837</v>
      </c>
      <c r="EB14" s="3">
        <v>2781</v>
      </c>
      <c r="EC14" s="3">
        <v>2505</v>
      </c>
      <c r="ED14" s="3">
        <v>1485</v>
      </c>
      <c r="EE14" s="3">
        <v>1625</v>
      </c>
      <c r="EF14" s="3">
        <v>3005</v>
      </c>
      <c r="EG14" s="3">
        <v>2775</v>
      </c>
      <c r="EH14" s="3">
        <v>3843</v>
      </c>
      <c r="EI14" s="3">
        <v>3738</v>
      </c>
      <c r="EJ14" s="3">
        <v>2225</v>
      </c>
      <c r="EK14" s="3">
        <v>1524</v>
      </c>
      <c r="EL14" s="3">
        <v>3391</v>
      </c>
      <c r="EM14" s="3">
        <v>2598</v>
      </c>
      <c r="EN14" s="3">
        <v>3845</v>
      </c>
      <c r="EO14" s="3">
        <v>3287</v>
      </c>
      <c r="EP14" s="3">
        <v>441</v>
      </c>
      <c r="EQ14" s="3">
        <v>304</v>
      </c>
      <c r="ER14" s="3">
        <v>585</v>
      </c>
      <c r="ES14" s="3">
        <v>471</v>
      </c>
      <c r="ET14" s="3">
        <v>640</v>
      </c>
      <c r="EU14" s="3">
        <v>694</v>
      </c>
      <c r="EV14" s="3">
        <v>784</v>
      </c>
      <c r="EW14" s="3">
        <v>952</v>
      </c>
      <c r="EX14" s="3">
        <v>1171</v>
      </c>
      <c r="EY14" s="3">
        <v>826</v>
      </c>
      <c r="EZ14" s="3">
        <v>1061</v>
      </c>
      <c r="FA14" s="3">
        <v>1256</v>
      </c>
      <c r="FB14" s="3">
        <v>373</v>
      </c>
      <c r="FC14" s="3">
        <v>470</v>
      </c>
      <c r="FD14" s="3">
        <v>771</v>
      </c>
      <c r="FE14" s="3">
        <v>1101</v>
      </c>
      <c r="FF14" s="3">
        <v>1179</v>
      </c>
      <c r="FG14" s="3">
        <v>1094</v>
      </c>
      <c r="FH14" s="3">
        <v>614</v>
      </c>
      <c r="FI14" s="3">
        <v>648</v>
      </c>
      <c r="FJ14" s="3">
        <v>1084</v>
      </c>
      <c r="FK14" s="3">
        <v>921</v>
      </c>
      <c r="FL14" s="3">
        <v>1224</v>
      </c>
      <c r="FM14" s="3">
        <v>1262</v>
      </c>
      <c r="FN14" s="3">
        <v>832</v>
      </c>
      <c r="FO14" s="3">
        <v>563</v>
      </c>
      <c r="FP14" s="3">
        <v>1522</v>
      </c>
      <c r="FQ14" s="3">
        <v>1328</v>
      </c>
      <c r="FR14" s="3">
        <v>1811</v>
      </c>
      <c r="FS14" s="3">
        <v>1559</v>
      </c>
      <c r="FT14" s="3">
        <v>1014</v>
      </c>
      <c r="FU14" s="3">
        <v>805</v>
      </c>
      <c r="FV14" s="3">
        <v>1333</v>
      </c>
      <c r="FW14" s="3">
        <v>1271</v>
      </c>
      <c r="FX14" s="3">
        <v>1620</v>
      </c>
      <c r="FY14" s="3">
        <v>1574</v>
      </c>
      <c r="FZ14" s="3">
        <v>561</v>
      </c>
      <c r="GA14" s="3">
        <v>679</v>
      </c>
      <c r="GB14" s="3">
        <v>1167</v>
      </c>
      <c r="GC14" s="3">
        <v>874</v>
      </c>
      <c r="GD14" s="3">
        <v>1342</v>
      </c>
      <c r="GE14" s="3">
        <v>1316</v>
      </c>
      <c r="GF14" s="3">
        <v>1587</v>
      </c>
      <c r="GG14" s="3">
        <v>1278</v>
      </c>
      <c r="GH14" s="3">
        <v>2105</v>
      </c>
      <c r="GI14" s="3">
        <v>1832</v>
      </c>
      <c r="GJ14" s="3">
        <v>2551</v>
      </c>
      <c r="GK14" s="3">
        <v>2178</v>
      </c>
      <c r="GL14" s="3">
        <v>1201</v>
      </c>
      <c r="GM14" s="3">
        <v>1267</v>
      </c>
      <c r="GN14" s="3">
        <v>2095</v>
      </c>
      <c r="GO14" s="3">
        <v>1976</v>
      </c>
      <c r="GP14" s="3">
        <v>2662</v>
      </c>
      <c r="GQ14" s="3">
        <v>2551</v>
      </c>
      <c r="GR14" s="3">
        <v>1961</v>
      </c>
      <c r="GS14" s="3">
        <v>1570</v>
      </c>
      <c r="GT14" s="3">
        <v>2259</v>
      </c>
      <c r="GU14" s="3">
        <v>2013</v>
      </c>
      <c r="GV14" s="3">
        <v>2917</v>
      </c>
      <c r="GW14" s="3">
        <v>2276</v>
      </c>
      <c r="GX14" s="3">
        <v>1754</v>
      </c>
      <c r="GY14" s="3">
        <v>1741</v>
      </c>
      <c r="GZ14" s="3">
        <v>3097</v>
      </c>
      <c r="HA14" s="3">
        <v>2881</v>
      </c>
      <c r="HB14" s="3">
        <v>3542</v>
      </c>
      <c r="HC14" s="3">
        <v>3864</v>
      </c>
      <c r="HD14" s="3">
        <v>2022</v>
      </c>
      <c r="HE14" s="3">
        <v>1759</v>
      </c>
      <c r="HF14" s="3">
        <v>3148</v>
      </c>
      <c r="HG14" s="3">
        <v>2868</v>
      </c>
      <c r="HH14" s="3">
        <v>3967</v>
      </c>
      <c r="HI14" s="3">
        <v>3427</v>
      </c>
      <c r="HJ14" s="3">
        <v>218</v>
      </c>
      <c r="HK14" s="3">
        <v>341</v>
      </c>
      <c r="HL14" s="3">
        <v>464</v>
      </c>
      <c r="HM14" s="3">
        <v>543</v>
      </c>
      <c r="HN14" s="3">
        <v>671</v>
      </c>
      <c r="HO14" s="3">
        <v>607</v>
      </c>
      <c r="HP14" s="3">
        <v>664</v>
      </c>
      <c r="HQ14" s="3">
        <v>740</v>
      </c>
      <c r="HR14" s="3">
        <v>1154</v>
      </c>
      <c r="HS14" s="3">
        <v>1027</v>
      </c>
      <c r="HT14" s="3">
        <v>1242</v>
      </c>
      <c r="HU14" s="3">
        <v>927</v>
      </c>
      <c r="HV14" s="3">
        <v>726</v>
      </c>
      <c r="HW14" s="3">
        <v>663</v>
      </c>
      <c r="HX14" s="3">
        <v>999</v>
      </c>
      <c r="HY14" s="3">
        <v>853</v>
      </c>
      <c r="HZ14" s="3">
        <v>692</v>
      </c>
      <c r="IA14" s="3">
        <v>1445</v>
      </c>
      <c r="IB14" s="3">
        <v>1183</v>
      </c>
      <c r="IC14" s="3">
        <v>948</v>
      </c>
      <c r="ID14" s="3">
        <v>1276</v>
      </c>
      <c r="IE14" s="3">
        <v>841</v>
      </c>
      <c r="IF14" s="3">
        <v>1393</v>
      </c>
      <c r="IG14" s="3">
        <v>1131</v>
      </c>
      <c r="IH14" s="3">
        <v>945</v>
      </c>
      <c r="II14" s="3">
        <v>888</v>
      </c>
      <c r="IJ14" s="3">
        <v>1275</v>
      </c>
      <c r="IK14" s="3">
        <v>1434</v>
      </c>
      <c r="IL14" s="3">
        <v>1787</v>
      </c>
      <c r="IM14" s="3">
        <v>1920</v>
      </c>
      <c r="IN14" s="3">
        <v>1159</v>
      </c>
      <c r="IO14" s="3">
        <v>932</v>
      </c>
      <c r="IP14" s="3">
        <v>1727</v>
      </c>
      <c r="IQ14" s="3">
        <v>1219</v>
      </c>
      <c r="IR14" s="3">
        <v>1740</v>
      </c>
      <c r="IS14" s="3">
        <v>1701</v>
      </c>
      <c r="IT14" s="3">
        <v>719</v>
      </c>
      <c r="IU14" s="3">
        <v>571</v>
      </c>
      <c r="IV14" s="3">
        <v>892</v>
      </c>
      <c r="IW14" s="3">
        <v>860</v>
      </c>
      <c r="IX14" s="3">
        <v>1256</v>
      </c>
      <c r="IY14" s="3">
        <v>1399</v>
      </c>
      <c r="IZ14" s="3">
        <v>1969</v>
      </c>
      <c r="JA14" s="3">
        <v>1200</v>
      </c>
      <c r="JB14" s="3">
        <v>1995</v>
      </c>
      <c r="JC14" s="3">
        <v>1756</v>
      </c>
      <c r="JD14" s="3">
        <v>2020</v>
      </c>
      <c r="JE14" s="3">
        <v>2029</v>
      </c>
      <c r="JF14" s="3">
        <v>1164</v>
      </c>
      <c r="JG14" s="3">
        <v>1181</v>
      </c>
      <c r="JH14" s="3">
        <v>2235</v>
      </c>
      <c r="JI14" s="3">
        <v>1875</v>
      </c>
      <c r="JJ14" s="3">
        <v>2630</v>
      </c>
      <c r="JK14" s="3">
        <v>2314</v>
      </c>
      <c r="JL14" s="3">
        <v>1849</v>
      </c>
      <c r="JM14" s="3">
        <v>1553</v>
      </c>
      <c r="JN14" s="3">
        <v>2519</v>
      </c>
      <c r="JO14" s="3">
        <v>1991</v>
      </c>
      <c r="JP14" s="3">
        <v>2759</v>
      </c>
      <c r="JQ14" s="3">
        <v>2343</v>
      </c>
      <c r="JR14" s="3">
        <v>1560</v>
      </c>
      <c r="JS14" s="3">
        <v>1591</v>
      </c>
      <c r="JT14" s="3">
        <v>2951</v>
      </c>
      <c r="JU14" s="3">
        <v>3157</v>
      </c>
      <c r="JV14" s="3">
        <v>3932</v>
      </c>
      <c r="JW14" s="3">
        <v>3420</v>
      </c>
      <c r="JX14" s="3">
        <v>1772</v>
      </c>
      <c r="JY14" s="3">
        <v>1546</v>
      </c>
      <c r="JZ14" s="3">
        <v>3034</v>
      </c>
      <c r="KA14" s="3">
        <v>2767</v>
      </c>
      <c r="KB14" s="3">
        <v>3703</v>
      </c>
      <c r="KC14" s="3">
        <v>3265</v>
      </c>
      <c r="KD14" s="3">
        <v>289</v>
      </c>
      <c r="KE14" s="3">
        <v>368</v>
      </c>
      <c r="KF14" s="3">
        <v>485</v>
      </c>
      <c r="KG14" s="3">
        <v>452</v>
      </c>
      <c r="KH14" s="3">
        <v>677</v>
      </c>
      <c r="KI14" s="3">
        <v>626</v>
      </c>
      <c r="KJ14" s="3">
        <v>810</v>
      </c>
      <c r="KK14" s="3">
        <v>862</v>
      </c>
      <c r="KL14" s="3">
        <v>1211</v>
      </c>
      <c r="KM14" s="3">
        <v>1021</v>
      </c>
      <c r="KN14" s="3">
        <v>1112</v>
      </c>
      <c r="KO14" s="3">
        <v>1291</v>
      </c>
      <c r="KP14" s="3">
        <v>440</v>
      </c>
      <c r="KQ14" s="3">
        <v>522</v>
      </c>
      <c r="KR14" s="3">
        <v>786</v>
      </c>
      <c r="KS14" s="3">
        <v>908</v>
      </c>
      <c r="KT14" s="3">
        <v>1192</v>
      </c>
      <c r="KU14" s="3">
        <v>1225</v>
      </c>
      <c r="KV14" s="3">
        <v>1011</v>
      </c>
      <c r="KW14" s="3">
        <v>998</v>
      </c>
      <c r="KX14" s="3">
        <v>1253</v>
      </c>
      <c r="KY14" s="3">
        <v>1049</v>
      </c>
      <c r="KZ14" s="3">
        <v>1394</v>
      </c>
      <c r="LA14" s="3">
        <v>1012</v>
      </c>
      <c r="LB14" s="3">
        <v>850</v>
      </c>
      <c r="LC14" s="3">
        <v>967</v>
      </c>
      <c r="LD14" s="3">
        <v>1538</v>
      </c>
      <c r="LE14" s="3">
        <v>1193</v>
      </c>
      <c r="LF14" s="3">
        <v>1617</v>
      </c>
      <c r="LG14" s="3">
        <v>1499</v>
      </c>
      <c r="LH14" s="3">
        <v>1074</v>
      </c>
      <c r="LI14" s="3">
        <v>848</v>
      </c>
      <c r="LJ14" s="3">
        <v>1345</v>
      </c>
      <c r="LK14" s="3">
        <v>1295</v>
      </c>
      <c r="LL14" s="3">
        <v>1773</v>
      </c>
      <c r="LM14" s="3">
        <v>1755</v>
      </c>
      <c r="LN14" s="3">
        <v>579</v>
      </c>
      <c r="LO14" s="3">
        <v>711</v>
      </c>
      <c r="LP14" s="3">
        <v>999</v>
      </c>
      <c r="LQ14" s="3">
        <v>977</v>
      </c>
      <c r="LR14" s="3">
        <v>1200</v>
      </c>
      <c r="LS14" s="3">
        <v>1104</v>
      </c>
      <c r="LT14" s="3">
        <v>1422</v>
      </c>
      <c r="LU14" s="3">
        <v>1156</v>
      </c>
      <c r="LV14" s="3">
        <v>2309</v>
      </c>
      <c r="LW14" s="3">
        <v>1946</v>
      </c>
      <c r="LX14" s="3">
        <v>2240</v>
      </c>
      <c r="LY14" s="3">
        <v>2080</v>
      </c>
      <c r="LZ14" s="3">
        <v>1147</v>
      </c>
      <c r="MA14" s="3">
        <v>1552</v>
      </c>
      <c r="MB14" s="3">
        <v>2102</v>
      </c>
      <c r="MC14" s="3">
        <v>2080</v>
      </c>
      <c r="MD14" s="3">
        <v>2173</v>
      </c>
      <c r="ME14" s="3">
        <v>2499</v>
      </c>
      <c r="MF14" s="3">
        <v>1929</v>
      </c>
      <c r="MG14" s="3">
        <v>1385</v>
      </c>
      <c r="MH14" s="3">
        <v>2318</v>
      </c>
      <c r="MI14" s="3">
        <v>2416</v>
      </c>
      <c r="MJ14" s="3">
        <v>2580</v>
      </c>
      <c r="MK14" s="3">
        <v>2625</v>
      </c>
      <c r="ML14" s="3">
        <v>1832</v>
      </c>
      <c r="MM14" s="3">
        <v>2002</v>
      </c>
      <c r="MN14" s="3">
        <v>3023</v>
      </c>
      <c r="MO14" s="3">
        <v>2778</v>
      </c>
      <c r="MP14" s="3">
        <v>3811</v>
      </c>
      <c r="MQ14" s="3">
        <v>4104</v>
      </c>
      <c r="MR14" s="3">
        <v>2067</v>
      </c>
      <c r="MS14" s="3">
        <v>1719</v>
      </c>
      <c r="MT14" s="3">
        <v>2848</v>
      </c>
      <c r="MU14" s="3">
        <v>2749</v>
      </c>
      <c r="MV14" s="3">
        <v>3906</v>
      </c>
      <c r="MW14" s="3">
        <v>3452</v>
      </c>
    </row>
    <row r="15" spans="1:363" x14ac:dyDescent="0.3">
      <c r="A15" s="3">
        <v>4</v>
      </c>
      <c r="B15" s="3">
        <v>440</v>
      </c>
      <c r="C15" s="3">
        <v>283</v>
      </c>
      <c r="D15" s="3">
        <v>473</v>
      </c>
      <c r="E15" s="3">
        <v>465</v>
      </c>
      <c r="F15" s="3">
        <v>591</v>
      </c>
      <c r="G15" s="3">
        <v>534</v>
      </c>
      <c r="H15" s="3">
        <v>1006</v>
      </c>
      <c r="I15" s="3">
        <v>973</v>
      </c>
      <c r="J15" s="3">
        <v>1067</v>
      </c>
      <c r="K15" s="3">
        <v>800</v>
      </c>
      <c r="L15" s="3">
        <v>1429</v>
      </c>
      <c r="M15" s="3">
        <v>900</v>
      </c>
      <c r="N15" s="3">
        <v>553</v>
      </c>
      <c r="O15" s="3">
        <v>487</v>
      </c>
      <c r="P15" s="3">
        <v>1042</v>
      </c>
      <c r="Q15" s="3">
        <v>1014</v>
      </c>
      <c r="R15" s="3">
        <v>1040</v>
      </c>
      <c r="S15" s="3">
        <v>911</v>
      </c>
      <c r="T15" s="3">
        <v>820</v>
      </c>
      <c r="U15" s="3">
        <v>904</v>
      </c>
      <c r="V15" s="3">
        <v>1035</v>
      </c>
      <c r="W15" s="3">
        <v>1121</v>
      </c>
      <c r="X15" s="3">
        <v>1295</v>
      </c>
      <c r="Y15" s="3">
        <v>1003</v>
      </c>
      <c r="Z15" s="3">
        <v>1056</v>
      </c>
      <c r="AA15" s="3">
        <v>913</v>
      </c>
      <c r="AB15" s="3">
        <v>1180</v>
      </c>
      <c r="AC15" s="3">
        <v>1348</v>
      </c>
      <c r="AD15" s="3">
        <v>1839</v>
      </c>
      <c r="AE15" s="3">
        <v>1841</v>
      </c>
      <c r="AF15" s="3">
        <v>1080</v>
      </c>
      <c r="AG15" s="3">
        <v>1123</v>
      </c>
      <c r="AH15" s="3">
        <v>1849</v>
      </c>
      <c r="AI15" s="3">
        <v>1130</v>
      </c>
      <c r="AJ15" s="3">
        <v>2018</v>
      </c>
      <c r="AK15" s="3">
        <v>1310</v>
      </c>
      <c r="AL15" s="3">
        <v>741</v>
      </c>
      <c r="AM15" s="3">
        <v>665</v>
      </c>
      <c r="AN15" s="3">
        <v>1110</v>
      </c>
      <c r="AO15" s="3">
        <v>839</v>
      </c>
      <c r="AP15" s="3">
        <v>1374</v>
      </c>
      <c r="AQ15" s="3">
        <v>1288</v>
      </c>
      <c r="AR15" s="3">
        <v>2007</v>
      </c>
      <c r="AS15" s="3">
        <v>1538</v>
      </c>
      <c r="AT15" s="3">
        <v>2226</v>
      </c>
      <c r="AU15" s="3">
        <v>1704</v>
      </c>
      <c r="AV15" s="3">
        <v>2356</v>
      </c>
      <c r="AW15" s="3">
        <v>2211</v>
      </c>
      <c r="AX15" s="3">
        <v>1153</v>
      </c>
      <c r="AY15" s="3">
        <v>1470</v>
      </c>
      <c r="AZ15" s="3">
        <v>1745</v>
      </c>
      <c r="BA15" s="3">
        <v>1997</v>
      </c>
      <c r="BB15" s="3">
        <v>2710</v>
      </c>
      <c r="BC15" s="3">
        <v>2224</v>
      </c>
      <c r="BD15" s="3">
        <v>1743</v>
      </c>
      <c r="BE15" s="3">
        <v>1459</v>
      </c>
      <c r="BF15" s="3">
        <v>2516</v>
      </c>
      <c r="BG15" s="3">
        <v>2038</v>
      </c>
      <c r="BH15" s="3">
        <v>2583</v>
      </c>
      <c r="BI15" s="3">
        <v>2528</v>
      </c>
      <c r="BJ15" s="3">
        <v>1574</v>
      </c>
      <c r="BK15" s="3">
        <v>1989</v>
      </c>
      <c r="BL15" s="3">
        <v>2853</v>
      </c>
      <c r="BM15" s="3">
        <v>2285</v>
      </c>
      <c r="BN15" s="3">
        <v>3868</v>
      </c>
      <c r="BO15" s="3">
        <v>3471</v>
      </c>
      <c r="BP15" s="3">
        <v>2058</v>
      </c>
      <c r="BQ15" s="3">
        <v>1388</v>
      </c>
      <c r="BR15" s="3">
        <v>2719</v>
      </c>
      <c r="BS15" s="3">
        <v>2668</v>
      </c>
      <c r="BT15" s="3">
        <v>3431</v>
      </c>
      <c r="BU15" s="3">
        <v>3048</v>
      </c>
      <c r="BV15" s="3">
        <v>381</v>
      </c>
      <c r="BW15" s="3">
        <v>261</v>
      </c>
      <c r="BX15" s="3">
        <v>413</v>
      </c>
      <c r="BY15" s="3">
        <v>434</v>
      </c>
      <c r="BZ15" s="3">
        <v>597</v>
      </c>
      <c r="CA15" s="3">
        <v>573</v>
      </c>
      <c r="CB15" s="3">
        <v>553</v>
      </c>
      <c r="CC15" s="3">
        <v>682</v>
      </c>
      <c r="CD15" s="3">
        <v>1122</v>
      </c>
      <c r="CE15" s="3">
        <v>1098</v>
      </c>
      <c r="CF15" s="3">
        <v>915</v>
      </c>
      <c r="CG15" s="3">
        <v>1027</v>
      </c>
      <c r="CH15" s="3">
        <v>656</v>
      </c>
      <c r="CI15" s="3">
        <v>576</v>
      </c>
      <c r="CJ15" s="3">
        <v>1137</v>
      </c>
      <c r="CK15" s="3">
        <v>971</v>
      </c>
      <c r="CL15" s="3">
        <v>1120</v>
      </c>
      <c r="CM15" s="3">
        <v>900</v>
      </c>
      <c r="CN15" s="3">
        <v>750</v>
      </c>
      <c r="CO15" s="3">
        <v>785</v>
      </c>
      <c r="CP15" s="3">
        <v>1108</v>
      </c>
      <c r="CQ15" s="3">
        <v>1098</v>
      </c>
      <c r="CR15" s="3">
        <v>1426</v>
      </c>
      <c r="CS15" s="3">
        <v>1136</v>
      </c>
      <c r="CT15" s="3">
        <v>1032</v>
      </c>
      <c r="CU15" s="3">
        <v>838</v>
      </c>
      <c r="CV15" s="3">
        <v>1262</v>
      </c>
      <c r="CW15" s="3">
        <v>1125</v>
      </c>
      <c r="CX15" s="3">
        <v>1323</v>
      </c>
      <c r="CY15" s="3">
        <v>1511</v>
      </c>
      <c r="CZ15" s="3">
        <v>1175</v>
      </c>
      <c r="DA15" s="3">
        <v>865</v>
      </c>
      <c r="DB15" s="3">
        <v>1642</v>
      </c>
      <c r="DC15" s="3">
        <v>1322</v>
      </c>
      <c r="DD15" s="3">
        <v>1755</v>
      </c>
      <c r="DE15" s="3">
        <v>1427</v>
      </c>
      <c r="DF15" s="3">
        <v>700</v>
      </c>
      <c r="DG15" s="3">
        <v>646</v>
      </c>
      <c r="DH15" s="3">
        <v>1000</v>
      </c>
      <c r="DI15" s="3">
        <v>1095</v>
      </c>
      <c r="DJ15" s="3">
        <v>1277</v>
      </c>
      <c r="DK15" s="3">
        <v>1286</v>
      </c>
      <c r="DL15" s="3">
        <v>2037</v>
      </c>
      <c r="DM15" s="3">
        <v>1480</v>
      </c>
      <c r="DN15" s="3">
        <v>1939</v>
      </c>
      <c r="DO15" s="3">
        <v>1766</v>
      </c>
      <c r="DP15" s="3">
        <v>2670</v>
      </c>
      <c r="DQ15" s="3">
        <v>2006</v>
      </c>
      <c r="DR15" s="3">
        <v>1214</v>
      </c>
      <c r="DS15" s="3">
        <v>1150</v>
      </c>
      <c r="DT15" s="3">
        <v>1831</v>
      </c>
      <c r="DU15" s="3">
        <v>2055</v>
      </c>
      <c r="DV15" s="3">
        <v>2250</v>
      </c>
      <c r="DW15" s="3">
        <v>2458</v>
      </c>
      <c r="DX15" s="3">
        <v>1797</v>
      </c>
      <c r="DY15" s="3">
        <v>1635</v>
      </c>
      <c r="DZ15" s="3">
        <v>2279</v>
      </c>
      <c r="EA15" s="3">
        <v>1831</v>
      </c>
      <c r="EB15" s="3">
        <v>2812</v>
      </c>
      <c r="EC15" s="3">
        <v>2479</v>
      </c>
      <c r="ED15" s="3">
        <v>1486</v>
      </c>
      <c r="EE15" s="3">
        <v>1625</v>
      </c>
      <c r="EF15" s="3">
        <v>3004</v>
      </c>
      <c r="EG15" s="3">
        <v>2767</v>
      </c>
      <c r="EH15" s="3">
        <v>3848</v>
      </c>
      <c r="EI15" s="3">
        <v>3747</v>
      </c>
      <c r="EJ15" s="3">
        <v>2226</v>
      </c>
      <c r="EK15" s="3">
        <v>1540</v>
      </c>
      <c r="EL15" s="3">
        <v>3389</v>
      </c>
      <c r="EM15" s="3">
        <v>2605</v>
      </c>
      <c r="EN15" s="3">
        <v>3846</v>
      </c>
      <c r="EO15" s="3">
        <v>3296</v>
      </c>
      <c r="EP15" s="3">
        <v>441</v>
      </c>
      <c r="EQ15" s="3">
        <v>304</v>
      </c>
      <c r="ER15" s="3">
        <v>585</v>
      </c>
      <c r="ES15" s="3">
        <v>471</v>
      </c>
      <c r="ET15" s="3">
        <v>640</v>
      </c>
      <c r="EU15" s="3">
        <v>700</v>
      </c>
      <c r="EV15" s="3">
        <v>784</v>
      </c>
      <c r="EW15" s="3">
        <v>952</v>
      </c>
      <c r="EX15" s="3">
        <v>1171</v>
      </c>
      <c r="EY15" s="3">
        <v>826</v>
      </c>
      <c r="EZ15" s="3">
        <v>1061</v>
      </c>
      <c r="FA15" s="3">
        <v>1256</v>
      </c>
      <c r="FB15" s="3">
        <v>373</v>
      </c>
      <c r="FC15" s="3">
        <v>470</v>
      </c>
      <c r="FD15" s="3">
        <v>772</v>
      </c>
      <c r="FE15" s="3">
        <v>1101</v>
      </c>
      <c r="FF15" s="3">
        <v>1180</v>
      </c>
      <c r="FG15" s="3">
        <v>1098</v>
      </c>
      <c r="FH15" s="3">
        <v>614</v>
      </c>
      <c r="FI15" s="3">
        <v>648</v>
      </c>
      <c r="FJ15" s="3">
        <v>1084</v>
      </c>
      <c r="FK15" s="3">
        <v>921</v>
      </c>
      <c r="FL15" s="3">
        <v>1219</v>
      </c>
      <c r="FM15" s="3">
        <v>1256</v>
      </c>
      <c r="FN15" s="3">
        <v>832</v>
      </c>
      <c r="FO15" s="3">
        <v>563</v>
      </c>
      <c r="FP15" s="3">
        <v>1522</v>
      </c>
      <c r="FQ15" s="3">
        <v>1332</v>
      </c>
      <c r="FR15" s="3">
        <v>1808</v>
      </c>
      <c r="FS15" s="3">
        <v>1559</v>
      </c>
      <c r="FT15" s="3">
        <v>1009</v>
      </c>
      <c r="FU15" s="3">
        <v>805</v>
      </c>
      <c r="FV15" s="3">
        <v>1333</v>
      </c>
      <c r="FW15" s="3">
        <v>1270</v>
      </c>
      <c r="FX15" s="3">
        <v>1619</v>
      </c>
      <c r="FY15" s="3">
        <v>1567</v>
      </c>
      <c r="FZ15" s="3">
        <v>561</v>
      </c>
      <c r="GA15" s="3">
        <v>679</v>
      </c>
      <c r="GB15" s="3">
        <v>1158</v>
      </c>
      <c r="GC15" s="3">
        <v>874</v>
      </c>
      <c r="GD15" s="3">
        <v>1342</v>
      </c>
      <c r="GE15" s="3">
        <v>1316</v>
      </c>
      <c r="GF15" s="3">
        <v>1587</v>
      </c>
      <c r="GG15" s="3">
        <v>1278</v>
      </c>
      <c r="GH15" s="3">
        <v>2105</v>
      </c>
      <c r="GI15" s="3">
        <v>1832</v>
      </c>
      <c r="GJ15" s="3">
        <v>2551</v>
      </c>
      <c r="GK15" s="3">
        <v>2178</v>
      </c>
      <c r="GL15" s="3">
        <v>1198</v>
      </c>
      <c r="GM15" s="3">
        <v>1274</v>
      </c>
      <c r="GN15" s="3">
        <v>2095</v>
      </c>
      <c r="GO15" s="3">
        <v>1982</v>
      </c>
      <c r="GP15" s="3">
        <v>2662</v>
      </c>
      <c r="GQ15" s="3">
        <v>2551</v>
      </c>
      <c r="GR15" s="3">
        <v>1961</v>
      </c>
      <c r="GS15" s="3">
        <v>1570</v>
      </c>
      <c r="GT15" s="3">
        <v>2262</v>
      </c>
      <c r="GU15" s="3">
        <v>2013</v>
      </c>
      <c r="GV15" s="3">
        <v>2901</v>
      </c>
      <c r="GW15" s="3">
        <v>2280</v>
      </c>
      <c r="GX15" s="3">
        <v>1755</v>
      </c>
      <c r="GY15" s="3">
        <v>1741</v>
      </c>
      <c r="GZ15" s="3">
        <v>3097</v>
      </c>
      <c r="HA15" s="3">
        <v>2907</v>
      </c>
      <c r="HB15" s="3">
        <v>3546</v>
      </c>
      <c r="HC15" s="3">
        <v>3864</v>
      </c>
      <c r="HD15" s="3">
        <v>2021</v>
      </c>
      <c r="HE15" s="3">
        <v>1759</v>
      </c>
      <c r="HF15" s="3">
        <v>3146</v>
      </c>
      <c r="HG15" s="3">
        <v>2862</v>
      </c>
      <c r="HH15" s="3">
        <v>3987</v>
      </c>
      <c r="HI15" s="3">
        <v>3429</v>
      </c>
      <c r="HJ15" s="3">
        <v>218</v>
      </c>
      <c r="HK15" s="3">
        <v>341</v>
      </c>
      <c r="HL15" s="3">
        <v>464</v>
      </c>
      <c r="HM15" s="3">
        <v>550</v>
      </c>
      <c r="HN15" s="3">
        <v>671</v>
      </c>
      <c r="HO15" s="3">
        <v>607</v>
      </c>
      <c r="HP15" s="3">
        <v>664</v>
      </c>
      <c r="HQ15" s="3">
        <v>740</v>
      </c>
      <c r="HR15" s="3">
        <v>1154</v>
      </c>
      <c r="HS15" s="3">
        <v>1027</v>
      </c>
      <c r="HT15" s="3">
        <v>1242</v>
      </c>
      <c r="HU15" s="3">
        <v>927</v>
      </c>
      <c r="HV15" s="3">
        <v>726</v>
      </c>
      <c r="HW15" s="3">
        <v>663</v>
      </c>
      <c r="HX15" s="3">
        <v>999</v>
      </c>
      <c r="HY15" s="3">
        <v>853</v>
      </c>
      <c r="HZ15" s="3">
        <v>693</v>
      </c>
      <c r="IA15" s="3">
        <v>1445</v>
      </c>
      <c r="IB15" s="3">
        <v>1183</v>
      </c>
      <c r="IC15" s="3">
        <v>948</v>
      </c>
      <c r="ID15" s="3">
        <v>1276</v>
      </c>
      <c r="IE15" s="3">
        <v>847</v>
      </c>
      <c r="IF15" s="3">
        <v>1401</v>
      </c>
      <c r="IG15" s="3">
        <v>1118</v>
      </c>
      <c r="IH15" s="3">
        <v>945</v>
      </c>
      <c r="II15" s="3">
        <v>888</v>
      </c>
      <c r="IJ15" s="3">
        <v>1274</v>
      </c>
      <c r="IK15" s="3">
        <v>1435</v>
      </c>
      <c r="IL15" s="3">
        <v>1787</v>
      </c>
      <c r="IM15" s="3">
        <v>1920</v>
      </c>
      <c r="IN15" s="3">
        <v>1159</v>
      </c>
      <c r="IO15" s="3">
        <v>932</v>
      </c>
      <c r="IP15" s="3">
        <v>1734</v>
      </c>
      <c r="IQ15" s="3">
        <v>1223</v>
      </c>
      <c r="IR15" s="3">
        <v>1741</v>
      </c>
      <c r="IS15" s="3">
        <v>1679</v>
      </c>
      <c r="IT15" s="3">
        <v>719</v>
      </c>
      <c r="IU15" s="3">
        <v>571</v>
      </c>
      <c r="IV15" s="3">
        <v>895</v>
      </c>
      <c r="IW15" s="3">
        <v>860</v>
      </c>
      <c r="IX15" s="3">
        <v>1257</v>
      </c>
      <c r="IY15" s="3">
        <v>1399</v>
      </c>
      <c r="IZ15" s="3">
        <v>1969</v>
      </c>
      <c r="JA15" s="3">
        <v>1200</v>
      </c>
      <c r="JB15" s="3">
        <v>1995</v>
      </c>
      <c r="JC15" s="3">
        <v>1756</v>
      </c>
      <c r="JD15" s="3">
        <v>2020</v>
      </c>
      <c r="JE15" s="3">
        <v>2029</v>
      </c>
      <c r="JF15" s="3">
        <v>1164</v>
      </c>
      <c r="JG15" s="3">
        <v>1181</v>
      </c>
      <c r="JH15" s="3">
        <v>2235</v>
      </c>
      <c r="JI15" s="3">
        <v>1875</v>
      </c>
      <c r="JJ15" s="3">
        <v>2630</v>
      </c>
      <c r="JK15" s="3">
        <v>2293</v>
      </c>
      <c r="JL15" s="3">
        <v>1849</v>
      </c>
      <c r="JM15" s="3">
        <v>1553</v>
      </c>
      <c r="JN15" s="3">
        <v>2520</v>
      </c>
      <c r="JO15" s="3">
        <v>2004</v>
      </c>
      <c r="JP15" s="3">
        <v>2762</v>
      </c>
      <c r="JQ15" s="3">
        <v>2355</v>
      </c>
      <c r="JR15" s="3">
        <v>1560</v>
      </c>
      <c r="JS15" s="3">
        <v>1598</v>
      </c>
      <c r="JT15" s="3">
        <v>2954</v>
      </c>
      <c r="JU15" s="3">
        <v>3157</v>
      </c>
      <c r="JV15" s="3">
        <v>3938</v>
      </c>
      <c r="JW15" s="3">
        <v>3420</v>
      </c>
      <c r="JX15" s="3">
        <v>1768</v>
      </c>
      <c r="JY15" s="3">
        <v>1555</v>
      </c>
      <c r="JZ15" s="3">
        <v>3039</v>
      </c>
      <c r="KA15" s="3">
        <v>2806</v>
      </c>
      <c r="KB15" s="3">
        <v>3707</v>
      </c>
      <c r="KC15" s="3">
        <v>3292</v>
      </c>
      <c r="KD15" s="3">
        <v>289</v>
      </c>
      <c r="KE15" s="3">
        <v>368</v>
      </c>
      <c r="KF15" s="3">
        <v>485</v>
      </c>
      <c r="KG15" s="3">
        <v>457</v>
      </c>
      <c r="KH15" s="3">
        <v>677</v>
      </c>
      <c r="KI15" s="3">
        <v>627</v>
      </c>
      <c r="KJ15" s="3">
        <v>810</v>
      </c>
      <c r="KK15" s="3">
        <v>862</v>
      </c>
      <c r="KL15" s="3">
        <v>1211</v>
      </c>
      <c r="KM15" s="3">
        <v>1021</v>
      </c>
      <c r="KN15" s="3">
        <v>1112</v>
      </c>
      <c r="KO15" s="3">
        <v>1291</v>
      </c>
      <c r="KP15" s="3">
        <v>440</v>
      </c>
      <c r="KQ15" s="3">
        <v>522</v>
      </c>
      <c r="KR15" s="3">
        <v>786</v>
      </c>
      <c r="KS15" s="3">
        <v>908</v>
      </c>
      <c r="KT15" s="3">
        <v>1192</v>
      </c>
      <c r="KU15" s="3">
        <v>1225</v>
      </c>
      <c r="KV15" s="3">
        <v>1011</v>
      </c>
      <c r="KW15" s="3">
        <v>998</v>
      </c>
      <c r="KX15" s="3">
        <v>1253</v>
      </c>
      <c r="KY15" s="3">
        <v>1049</v>
      </c>
      <c r="KZ15" s="3">
        <v>1396</v>
      </c>
      <c r="LA15" s="3">
        <v>1008</v>
      </c>
      <c r="LB15" s="3">
        <v>850</v>
      </c>
      <c r="LC15" s="3">
        <v>967</v>
      </c>
      <c r="LD15" s="3">
        <v>1535</v>
      </c>
      <c r="LE15" s="3">
        <v>1199</v>
      </c>
      <c r="LF15" s="3">
        <v>1617</v>
      </c>
      <c r="LG15" s="3">
        <v>1499</v>
      </c>
      <c r="LH15" s="3">
        <v>1074</v>
      </c>
      <c r="LI15" s="3">
        <v>848</v>
      </c>
      <c r="LJ15" s="3">
        <v>1344</v>
      </c>
      <c r="LK15" s="3">
        <v>1296</v>
      </c>
      <c r="LL15" s="3">
        <v>1773</v>
      </c>
      <c r="LM15" s="3">
        <v>1776</v>
      </c>
      <c r="LN15" s="3">
        <v>579</v>
      </c>
      <c r="LO15" s="3">
        <v>711</v>
      </c>
      <c r="LP15" s="3">
        <v>1001</v>
      </c>
      <c r="LQ15" s="3">
        <v>977</v>
      </c>
      <c r="LR15" s="3">
        <v>1200</v>
      </c>
      <c r="LS15" s="3">
        <v>1123</v>
      </c>
      <c r="LT15" s="3">
        <v>1422</v>
      </c>
      <c r="LU15" s="3">
        <v>1156</v>
      </c>
      <c r="LV15" s="3">
        <v>2309</v>
      </c>
      <c r="LW15" s="3">
        <v>1946</v>
      </c>
      <c r="LX15" s="3">
        <v>2240</v>
      </c>
      <c r="LY15" s="3">
        <v>2080</v>
      </c>
      <c r="LZ15" s="3">
        <v>1147</v>
      </c>
      <c r="MA15" s="3">
        <v>1552</v>
      </c>
      <c r="MB15" s="3">
        <v>2099</v>
      </c>
      <c r="MC15" s="3">
        <v>2080</v>
      </c>
      <c r="MD15" s="3">
        <v>2171</v>
      </c>
      <c r="ME15" s="3">
        <v>2499</v>
      </c>
      <c r="MF15" s="3">
        <v>1929</v>
      </c>
      <c r="MG15" s="3">
        <v>1385</v>
      </c>
      <c r="MH15" s="3">
        <v>2321</v>
      </c>
      <c r="MI15" s="3">
        <v>2416</v>
      </c>
      <c r="MJ15" s="3">
        <v>2580</v>
      </c>
      <c r="MK15" s="3">
        <v>2638</v>
      </c>
      <c r="ML15" s="3">
        <v>1836</v>
      </c>
      <c r="MM15" s="3">
        <v>2002</v>
      </c>
      <c r="MN15" s="3">
        <v>3022</v>
      </c>
      <c r="MO15" s="3">
        <v>2756</v>
      </c>
      <c r="MP15" s="3">
        <v>3811</v>
      </c>
      <c r="MQ15" s="3">
        <v>4104</v>
      </c>
      <c r="MR15" s="3">
        <v>2068</v>
      </c>
      <c r="MS15" s="3">
        <v>1719</v>
      </c>
      <c r="MT15" s="3">
        <v>2851</v>
      </c>
      <c r="MU15" s="3">
        <v>2728</v>
      </c>
      <c r="MV15" s="3">
        <v>3900</v>
      </c>
      <c r="MW15" s="3">
        <v>3456</v>
      </c>
    </row>
    <row r="16" spans="1:363" x14ac:dyDescent="0.3">
      <c r="A16" s="3">
        <v>5</v>
      </c>
      <c r="B16" s="3">
        <v>440</v>
      </c>
      <c r="C16" s="3">
        <v>283</v>
      </c>
      <c r="D16" s="3">
        <v>473</v>
      </c>
      <c r="E16" s="3">
        <v>469</v>
      </c>
      <c r="F16" s="3">
        <v>591</v>
      </c>
      <c r="G16" s="3">
        <v>534</v>
      </c>
      <c r="H16" s="3">
        <v>1006</v>
      </c>
      <c r="I16" s="3">
        <v>973</v>
      </c>
      <c r="J16" s="3">
        <v>1067</v>
      </c>
      <c r="K16" s="3">
        <v>800</v>
      </c>
      <c r="L16" s="3">
        <v>1429</v>
      </c>
      <c r="M16" s="3">
        <v>900</v>
      </c>
      <c r="N16" s="3">
        <v>553</v>
      </c>
      <c r="O16" s="3">
        <v>487</v>
      </c>
      <c r="P16" s="3">
        <v>1040</v>
      </c>
      <c r="Q16" s="3">
        <v>1014</v>
      </c>
      <c r="R16" s="3">
        <v>1041</v>
      </c>
      <c r="S16" s="3">
        <v>907</v>
      </c>
      <c r="T16" s="3">
        <v>820</v>
      </c>
      <c r="U16" s="3">
        <v>904</v>
      </c>
      <c r="V16" s="3">
        <v>1035</v>
      </c>
      <c r="W16" s="3">
        <v>1121</v>
      </c>
      <c r="X16" s="3">
        <v>1294</v>
      </c>
      <c r="Y16" s="3">
        <v>999</v>
      </c>
      <c r="Z16" s="3">
        <v>1056</v>
      </c>
      <c r="AA16" s="3">
        <v>913</v>
      </c>
      <c r="AB16" s="3">
        <v>1179</v>
      </c>
      <c r="AC16" s="3">
        <v>1348</v>
      </c>
      <c r="AD16" s="3">
        <v>1842</v>
      </c>
      <c r="AE16" s="3">
        <v>1841</v>
      </c>
      <c r="AF16" s="3">
        <v>1080</v>
      </c>
      <c r="AG16" s="3">
        <v>1123</v>
      </c>
      <c r="AH16" s="3">
        <v>1853</v>
      </c>
      <c r="AI16" s="3">
        <v>1130</v>
      </c>
      <c r="AJ16" s="3">
        <v>2020</v>
      </c>
      <c r="AK16" s="3">
        <v>1313</v>
      </c>
      <c r="AL16" s="3">
        <v>741</v>
      </c>
      <c r="AM16" s="3">
        <v>665</v>
      </c>
      <c r="AN16" s="3">
        <v>1112</v>
      </c>
      <c r="AO16" s="3">
        <v>839</v>
      </c>
      <c r="AP16" s="3">
        <v>1373</v>
      </c>
      <c r="AQ16" s="3">
        <v>1288</v>
      </c>
      <c r="AR16" s="3">
        <v>2007</v>
      </c>
      <c r="AS16" s="3">
        <v>1538</v>
      </c>
      <c r="AT16" s="3">
        <v>2226</v>
      </c>
      <c r="AU16" s="3">
        <v>1704</v>
      </c>
      <c r="AV16" s="3">
        <v>2356</v>
      </c>
      <c r="AW16" s="3">
        <v>2211</v>
      </c>
      <c r="AX16" s="3">
        <v>1153</v>
      </c>
      <c r="AY16" s="3">
        <v>1462</v>
      </c>
      <c r="AZ16" s="3">
        <v>1750</v>
      </c>
      <c r="BA16" s="3">
        <v>1997</v>
      </c>
      <c r="BB16" s="3">
        <v>2704</v>
      </c>
      <c r="BC16" s="3">
        <v>2217</v>
      </c>
      <c r="BD16" s="3">
        <v>1743</v>
      </c>
      <c r="BE16" s="3">
        <v>1459</v>
      </c>
      <c r="BF16" s="3">
        <v>2516</v>
      </c>
      <c r="BG16" s="3">
        <v>2038</v>
      </c>
      <c r="BH16" s="3">
        <v>2580</v>
      </c>
      <c r="BI16" s="3">
        <v>2545</v>
      </c>
      <c r="BJ16" s="3">
        <v>1574</v>
      </c>
      <c r="BK16" s="3">
        <v>1970</v>
      </c>
      <c r="BL16" s="3">
        <v>2853</v>
      </c>
      <c r="BM16" s="3">
        <v>2293</v>
      </c>
      <c r="BN16" s="3">
        <v>3868</v>
      </c>
      <c r="BO16" s="3">
        <v>3467</v>
      </c>
      <c r="BP16" s="3">
        <v>2058</v>
      </c>
      <c r="BQ16" s="3">
        <v>1388</v>
      </c>
      <c r="BR16" s="3">
        <v>2717</v>
      </c>
      <c r="BS16" s="3">
        <v>2685</v>
      </c>
      <c r="BT16" s="3">
        <v>3432</v>
      </c>
      <c r="BU16" s="3">
        <v>3053</v>
      </c>
      <c r="BV16" s="3">
        <v>381</v>
      </c>
      <c r="BW16" s="3">
        <v>261</v>
      </c>
      <c r="BX16" s="3">
        <v>413</v>
      </c>
      <c r="BY16" s="3">
        <v>434</v>
      </c>
      <c r="BZ16" s="3">
        <v>597</v>
      </c>
      <c r="CA16" s="3">
        <v>573</v>
      </c>
      <c r="CB16" s="3">
        <v>553</v>
      </c>
      <c r="CC16" s="3">
        <v>682</v>
      </c>
      <c r="CD16" s="3">
        <v>1122</v>
      </c>
      <c r="CE16" s="3">
        <v>1098</v>
      </c>
      <c r="CF16" s="3">
        <v>915</v>
      </c>
      <c r="CG16" s="3">
        <v>1027</v>
      </c>
      <c r="CH16" s="3">
        <v>656</v>
      </c>
      <c r="CI16" s="3">
        <v>576</v>
      </c>
      <c r="CJ16" s="3">
        <v>1137</v>
      </c>
      <c r="CK16" s="3">
        <v>979</v>
      </c>
      <c r="CL16" s="3">
        <v>1120</v>
      </c>
      <c r="CM16" s="3">
        <v>900</v>
      </c>
      <c r="CN16" s="3">
        <v>750</v>
      </c>
      <c r="CO16" s="3">
        <v>785</v>
      </c>
      <c r="CP16" s="3">
        <v>1107</v>
      </c>
      <c r="CQ16" s="3">
        <v>1098</v>
      </c>
      <c r="CR16" s="3">
        <v>1425</v>
      </c>
      <c r="CS16" s="3">
        <v>1147</v>
      </c>
      <c r="CT16" s="3">
        <v>1032</v>
      </c>
      <c r="CU16" s="3">
        <v>838</v>
      </c>
      <c r="CV16" s="3">
        <v>1262</v>
      </c>
      <c r="CW16" s="3">
        <v>1125</v>
      </c>
      <c r="CX16" s="3">
        <v>1323</v>
      </c>
      <c r="CY16" s="3">
        <v>1511</v>
      </c>
      <c r="CZ16" s="3">
        <v>1175</v>
      </c>
      <c r="DA16" s="3">
        <v>865</v>
      </c>
      <c r="DB16" s="3">
        <v>1640</v>
      </c>
      <c r="DC16" s="3">
        <v>1321</v>
      </c>
      <c r="DD16" s="3">
        <v>1756</v>
      </c>
      <c r="DE16" s="3">
        <v>1425</v>
      </c>
      <c r="DF16" s="3">
        <v>700</v>
      </c>
      <c r="DG16" s="3">
        <v>643</v>
      </c>
      <c r="DH16" s="3">
        <v>1000</v>
      </c>
      <c r="DI16" s="3">
        <v>1095</v>
      </c>
      <c r="DJ16" s="3">
        <v>1277</v>
      </c>
      <c r="DK16" s="3">
        <v>1297</v>
      </c>
      <c r="DL16" s="3">
        <v>2037</v>
      </c>
      <c r="DM16" s="3">
        <v>1480</v>
      </c>
      <c r="DN16" s="3">
        <v>1939</v>
      </c>
      <c r="DO16" s="3">
        <v>1766</v>
      </c>
      <c r="DP16" s="3">
        <v>2670</v>
      </c>
      <c r="DQ16" s="3">
        <v>2006</v>
      </c>
      <c r="DR16" s="3">
        <v>1214</v>
      </c>
      <c r="DS16" s="3">
        <v>1150</v>
      </c>
      <c r="DT16" s="3">
        <v>1833</v>
      </c>
      <c r="DU16" s="3">
        <v>2074</v>
      </c>
      <c r="DV16" s="3">
        <v>2250</v>
      </c>
      <c r="DW16" s="3">
        <v>2458</v>
      </c>
      <c r="DX16" s="3">
        <v>1797</v>
      </c>
      <c r="DY16" s="3">
        <v>1635</v>
      </c>
      <c r="DZ16" s="3">
        <v>2282</v>
      </c>
      <c r="EA16" s="3">
        <v>1862</v>
      </c>
      <c r="EB16" s="3">
        <v>2788</v>
      </c>
      <c r="EC16" s="3">
        <v>2467</v>
      </c>
      <c r="ED16" s="3">
        <v>1487</v>
      </c>
      <c r="EE16" s="3">
        <v>1625</v>
      </c>
      <c r="EF16" s="3">
        <v>3001</v>
      </c>
      <c r="EG16" s="3">
        <v>2775</v>
      </c>
      <c r="EH16" s="3">
        <v>3854</v>
      </c>
      <c r="EI16" s="3">
        <v>3743</v>
      </c>
      <c r="EJ16" s="3">
        <v>2225</v>
      </c>
      <c r="EK16" s="3">
        <v>1525</v>
      </c>
      <c r="EL16" s="3">
        <v>3387</v>
      </c>
      <c r="EM16" s="3">
        <v>2621</v>
      </c>
      <c r="EN16" s="3">
        <v>3834</v>
      </c>
      <c r="EO16" s="3">
        <v>3292</v>
      </c>
      <c r="EP16" s="3">
        <v>441</v>
      </c>
      <c r="EQ16" s="3">
        <v>304</v>
      </c>
      <c r="ER16" s="3">
        <v>585</v>
      </c>
      <c r="ES16" s="3">
        <v>471</v>
      </c>
      <c r="ET16" s="3">
        <v>640</v>
      </c>
      <c r="EU16" s="3">
        <v>694</v>
      </c>
      <c r="EV16" s="3">
        <v>784</v>
      </c>
      <c r="EW16" s="3">
        <v>952</v>
      </c>
      <c r="EX16" s="3">
        <v>1171</v>
      </c>
      <c r="EY16" s="3">
        <v>826</v>
      </c>
      <c r="EZ16" s="3">
        <v>1061</v>
      </c>
      <c r="FA16" s="3">
        <v>1256</v>
      </c>
      <c r="FB16" s="3">
        <v>373</v>
      </c>
      <c r="FC16" s="3">
        <v>470</v>
      </c>
      <c r="FD16" s="3">
        <v>772</v>
      </c>
      <c r="FE16" s="3">
        <v>1101</v>
      </c>
      <c r="FF16" s="3">
        <v>1179</v>
      </c>
      <c r="FG16" s="3">
        <v>1100</v>
      </c>
      <c r="FH16" s="3">
        <v>614</v>
      </c>
      <c r="FI16" s="3">
        <v>648</v>
      </c>
      <c r="FJ16" s="3">
        <v>1084</v>
      </c>
      <c r="FK16" s="3">
        <v>921</v>
      </c>
      <c r="FL16" s="3">
        <v>1221</v>
      </c>
      <c r="FM16" s="3">
        <v>1244</v>
      </c>
      <c r="FN16" s="3">
        <v>832</v>
      </c>
      <c r="FO16" s="3">
        <v>563</v>
      </c>
      <c r="FP16" s="3">
        <v>1522</v>
      </c>
      <c r="FQ16" s="3">
        <v>1334</v>
      </c>
      <c r="FR16" s="3">
        <v>1813</v>
      </c>
      <c r="FS16" s="3">
        <v>1559</v>
      </c>
      <c r="FT16" s="3">
        <v>1013</v>
      </c>
      <c r="FU16" s="3">
        <v>805</v>
      </c>
      <c r="FV16" s="3">
        <v>1329</v>
      </c>
      <c r="FW16" s="3">
        <v>1271</v>
      </c>
      <c r="FX16" s="3">
        <v>1621</v>
      </c>
      <c r="FY16" s="3">
        <v>1570</v>
      </c>
      <c r="FZ16" s="3">
        <v>561</v>
      </c>
      <c r="GA16" s="3">
        <v>679</v>
      </c>
      <c r="GB16" s="3">
        <v>1160</v>
      </c>
      <c r="GC16" s="3">
        <v>870</v>
      </c>
      <c r="GD16" s="3">
        <v>1342</v>
      </c>
      <c r="GE16" s="3">
        <v>1316</v>
      </c>
      <c r="GF16" s="3">
        <v>1587</v>
      </c>
      <c r="GG16" s="3">
        <v>1278</v>
      </c>
      <c r="GH16" s="3">
        <v>2105</v>
      </c>
      <c r="GI16" s="3">
        <v>1832</v>
      </c>
      <c r="GJ16" s="3">
        <v>2551</v>
      </c>
      <c r="GK16" s="3">
        <v>2178</v>
      </c>
      <c r="GL16" s="3">
        <v>1199</v>
      </c>
      <c r="GM16" s="3">
        <v>1275</v>
      </c>
      <c r="GN16" s="3">
        <v>2094</v>
      </c>
      <c r="GO16" s="3">
        <v>1978</v>
      </c>
      <c r="GP16" s="3">
        <v>2662</v>
      </c>
      <c r="GQ16" s="3">
        <v>2551</v>
      </c>
      <c r="GR16" s="3">
        <v>1961</v>
      </c>
      <c r="GS16" s="3">
        <v>1570</v>
      </c>
      <c r="GT16" s="3">
        <v>2252</v>
      </c>
      <c r="GU16" s="3">
        <v>2013</v>
      </c>
      <c r="GV16" s="3">
        <v>2894</v>
      </c>
      <c r="GW16" s="3">
        <v>2269</v>
      </c>
      <c r="GX16" s="3">
        <v>1754</v>
      </c>
      <c r="GY16" s="3">
        <v>1741</v>
      </c>
      <c r="GZ16" s="3">
        <v>3097</v>
      </c>
      <c r="HA16" s="3">
        <v>2884</v>
      </c>
      <c r="HB16" s="3">
        <v>3546</v>
      </c>
      <c r="HC16" s="3">
        <v>3864</v>
      </c>
      <c r="HD16" s="3">
        <v>2020</v>
      </c>
      <c r="HE16" s="3">
        <v>1737</v>
      </c>
      <c r="HF16" s="3">
        <v>3152</v>
      </c>
      <c r="HG16" s="3">
        <v>2841</v>
      </c>
      <c r="HH16" s="3">
        <v>3979</v>
      </c>
      <c r="HI16" s="3">
        <v>3423</v>
      </c>
      <c r="HJ16" s="3">
        <v>218</v>
      </c>
      <c r="HK16" s="3">
        <v>341</v>
      </c>
      <c r="HL16" s="3">
        <v>464</v>
      </c>
      <c r="HM16" s="3">
        <v>548</v>
      </c>
      <c r="HN16" s="3">
        <v>671</v>
      </c>
      <c r="HO16" s="3">
        <v>607</v>
      </c>
      <c r="HP16" s="3">
        <v>664</v>
      </c>
      <c r="HQ16" s="3">
        <v>740</v>
      </c>
      <c r="HR16" s="3">
        <v>1154</v>
      </c>
      <c r="HS16" s="3">
        <v>1027</v>
      </c>
      <c r="HT16" s="3">
        <v>1242</v>
      </c>
      <c r="HU16" s="3">
        <v>927</v>
      </c>
      <c r="HV16" s="3">
        <v>726</v>
      </c>
      <c r="HW16" s="3">
        <v>663</v>
      </c>
      <c r="HX16" s="3">
        <v>999</v>
      </c>
      <c r="HY16" s="3">
        <v>853</v>
      </c>
      <c r="HZ16" s="3">
        <v>694</v>
      </c>
      <c r="IA16" s="3">
        <v>1445</v>
      </c>
      <c r="IB16" s="3">
        <v>1183</v>
      </c>
      <c r="IC16" s="3">
        <v>948</v>
      </c>
      <c r="ID16" s="3">
        <v>1276</v>
      </c>
      <c r="IE16" s="3">
        <v>841</v>
      </c>
      <c r="IF16" s="3">
        <v>1397</v>
      </c>
      <c r="IG16" s="3">
        <v>1131</v>
      </c>
      <c r="IH16" s="3">
        <v>945</v>
      </c>
      <c r="II16" s="3">
        <v>888</v>
      </c>
      <c r="IJ16" s="3">
        <v>1279</v>
      </c>
      <c r="IK16" s="3">
        <v>1443</v>
      </c>
      <c r="IL16" s="3">
        <v>1787</v>
      </c>
      <c r="IM16" s="3">
        <v>1920</v>
      </c>
      <c r="IN16" s="3">
        <v>1159</v>
      </c>
      <c r="IO16" s="3">
        <v>932</v>
      </c>
      <c r="IP16" s="3">
        <v>1727</v>
      </c>
      <c r="IQ16" s="3">
        <v>1231</v>
      </c>
      <c r="IR16" s="3">
        <v>1742</v>
      </c>
      <c r="IS16" s="3">
        <v>1670</v>
      </c>
      <c r="IT16" s="3">
        <v>719</v>
      </c>
      <c r="IU16" s="3">
        <v>571</v>
      </c>
      <c r="IV16" s="3">
        <v>893</v>
      </c>
      <c r="IW16" s="3">
        <v>860</v>
      </c>
      <c r="IX16" s="3">
        <v>1256</v>
      </c>
      <c r="IY16" s="3">
        <v>1399</v>
      </c>
      <c r="IZ16" s="3">
        <v>1969</v>
      </c>
      <c r="JA16" s="3">
        <v>1200</v>
      </c>
      <c r="JB16" s="3">
        <v>1995</v>
      </c>
      <c r="JC16" s="3">
        <v>1756</v>
      </c>
      <c r="JD16" s="3">
        <v>2020</v>
      </c>
      <c r="JE16" s="3">
        <v>2029</v>
      </c>
      <c r="JF16" s="3">
        <v>1166</v>
      </c>
      <c r="JG16" s="3">
        <v>1181</v>
      </c>
      <c r="JH16" s="3">
        <v>2235</v>
      </c>
      <c r="JI16" s="3">
        <v>1875</v>
      </c>
      <c r="JJ16" s="3">
        <v>2630</v>
      </c>
      <c r="JK16" s="3">
        <v>2311</v>
      </c>
      <c r="JL16" s="3">
        <v>1849</v>
      </c>
      <c r="JM16" s="3">
        <v>1553</v>
      </c>
      <c r="JN16" s="3">
        <v>2519</v>
      </c>
      <c r="JO16" s="3">
        <v>1992</v>
      </c>
      <c r="JP16" s="3">
        <v>2751</v>
      </c>
      <c r="JQ16" s="3">
        <v>2362</v>
      </c>
      <c r="JR16" s="3">
        <v>1560</v>
      </c>
      <c r="JS16" s="3">
        <v>1583</v>
      </c>
      <c r="JT16" s="3">
        <v>2951</v>
      </c>
      <c r="JU16" s="3">
        <v>3157</v>
      </c>
      <c r="JV16" s="3">
        <v>3947</v>
      </c>
      <c r="JW16" s="3">
        <v>3421</v>
      </c>
      <c r="JX16" s="3">
        <v>1772</v>
      </c>
      <c r="JY16" s="3">
        <v>1542</v>
      </c>
      <c r="JZ16" s="3">
        <v>3040</v>
      </c>
      <c r="KA16" s="3">
        <v>2773</v>
      </c>
      <c r="KB16" s="3">
        <v>3700</v>
      </c>
      <c r="KC16" s="3">
        <v>3279</v>
      </c>
      <c r="KD16" s="3">
        <v>289</v>
      </c>
      <c r="KE16" s="3">
        <v>368</v>
      </c>
      <c r="KF16" s="3">
        <v>485</v>
      </c>
      <c r="KG16" s="3">
        <v>455</v>
      </c>
      <c r="KH16" s="3">
        <v>677</v>
      </c>
      <c r="KI16" s="3">
        <v>617</v>
      </c>
      <c r="KJ16" s="3">
        <v>810</v>
      </c>
      <c r="KK16" s="3">
        <v>862</v>
      </c>
      <c r="KL16" s="3">
        <v>1211</v>
      </c>
      <c r="KM16" s="3">
        <v>1021</v>
      </c>
      <c r="KN16" s="3">
        <v>1112</v>
      </c>
      <c r="KO16" s="3">
        <v>1291</v>
      </c>
      <c r="KP16" s="3">
        <v>440</v>
      </c>
      <c r="KQ16" s="3">
        <v>522</v>
      </c>
      <c r="KR16" s="3">
        <v>786</v>
      </c>
      <c r="KS16" s="3">
        <v>908</v>
      </c>
      <c r="KT16" s="3">
        <v>1192</v>
      </c>
      <c r="KU16" s="3">
        <v>1225</v>
      </c>
      <c r="KV16" s="3">
        <v>1011</v>
      </c>
      <c r="KW16" s="3">
        <v>998</v>
      </c>
      <c r="KX16" s="3">
        <v>1253</v>
      </c>
      <c r="KY16" s="3">
        <v>1049</v>
      </c>
      <c r="KZ16" s="3">
        <v>1398</v>
      </c>
      <c r="LA16" s="3">
        <v>1005</v>
      </c>
      <c r="LB16" s="3">
        <v>850</v>
      </c>
      <c r="LC16" s="3">
        <v>967</v>
      </c>
      <c r="LD16" s="3">
        <v>1537</v>
      </c>
      <c r="LE16" s="3">
        <v>1198</v>
      </c>
      <c r="LF16" s="3">
        <v>1617</v>
      </c>
      <c r="LG16" s="3">
        <v>1499</v>
      </c>
      <c r="LH16" s="3">
        <v>1074</v>
      </c>
      <c r="LI16" s="3">
        <v>848</v>
      </c>
      <c r="LJ16" s="3">
        <v>1345</v>
      </c>
      <c r="LK16" s="3">
        <v>1281</v>
      </c>
      <c r="LL16" s="3">
        <v>1772</v>
      </c>
      <c r="LM16" s="3">
        <v>1769</v>
      </c>
      <c r="LN16" s="3">
        <v>579</v>
      </c>
      <c r="LO16" s="3">
        <v>711</v>
      </c>
      <c r="LP16" s="3">
        <v>1001</v>
      </c>
      <c r="LQ16" s="3">
        <v>981</v>
      </c>
      <c r="LR16" s="3">
        <v>1201</v>
      </c>
      <c r="LS16" s="3">
        <v>1102</v>
      </c>
      <c r="LT16" s="3">
        <v>1422</v>
      </c>
      <c r="LU16" s="3">
        <v>1156</v>
      </c>
      <c r="LV16" s="3">
        <v>2309</v>
      </c>
      <c r="LW16" s="3">
        <v>1946</v>
      </c>
      <c r="LX16" s="3">
        <v>2240</v>
      </c>
      <c r="LY16" s="3">
        <v>2080</v>
      </c>
      <c r="LZ16" s="3">
        <v>1146</v>
      </c>
      <c r="MA16" s="3">
        <v>1552</v>
      </c>
      <c r="MB16" s="3">
        <v>2100</v>
      </c>
      <c r="MC16" s="3">
        <v>2080</v>
      </c>
      <c r="MD16" s="3">
        <v>2172</v>
      </c>
      <c r="ME16" s="3">
        <v>2499</v>
      </c>
      <c r="MF16" s="3">
        <v>1929</v>
      </c>
      <c r="MG16" s="3">
        <v>1385</v>
      </c>
      <c r="MH16" s="3">
        <v>2316</v>
      </c>
      <c r="MI16" s="3">
        <v>2416</v>
      </c>
      <c r="MJ16" s="3">
        <v>2567</v>
      </c>
      <c r="MK16" s="3">
        <v>2644</v>
      </c>
      <c r="ML16" s="3">
        <v>1828</v>
      </c>
      <c r="MM16" s="3">
        <v>2002</v>
      </c>
      <c r="MN16" s="3">
        <v>3023</v>
      </c>
      <c r="MO16" s="3">
        <v>2777</v>
      </c>
      <c r="MP16" s="3">
        <v>3811</v>
      </c>
      <c r="MQ16" s="3">
        <v>4104</v>
      </c>
      <c r="MR16" s="3">
        <v>2069</v>
      </c>
      <c r="MS16" s="3">
        <v>1719</v>
      </c>
      <c r="MT16" s="3">
        <v>2848</v>
      </c>
      <c r="MU16" s="3">
        <v>2752</v>
      </c>
      <c r="MV16" s="3">
        <v>3908</v>
      </c>
      <c r="MW16" s="3">
        <v>3434</v>
      </c>
    </row>
    <row r="17" spans="1:361" x14ac:dyDescent="0.3">
      <c r="A17" s="3">
        <v>6</v>
      </c>
      <c r="B17" s="3">
        <v>440</v>
      </c>
      <c r="C17" s="3">
        <v>283</v>
      </c>
      <c r="D17" s="3">
        <v>473</v>
      </c>
      <c r="E17" s="3">
        <v>464</v>
      </c>
      <c r="F17" s="3">
        <v>591</v>
      </c>
      <c r="G17" s="3">
        <v>534</v>
      </c>
      <c r="H17" s="3">
        <v>1006</v>
      </c>
      <c r="I17" s="3">
        <v>973</v>
      </c>
      <c r="J17" s="3">
        <v>1067</v>
      </c>
      <c r="K17" s="3">
        <v>800</v>
      </c>
      <c r="L17" s="3">
        <v>1429</v>
      </c>
      <c r="M17" s="3">
        <v>900</v>
      </c>
      <c r="N17" s="3">
        <v>553</v>
      </c>
      <c r="O17" s="3">
        <v>487</v>
      </c>
      <c r="P17" s="3">
        <v>1042</v>
      </c>
      <c r="Q17" s="3">
        <v>1014</v>
      </c>
      <c r="R17" s="3">
        <v>1040</v>
      </c>
      <c r="S17" s="3">
        <v>897</v>
      </c>
      <c r="T17" s="3">
        <v>820</v>
      </c>
      <c r="U17" s="3">
        <v>904</v>
      </c>
      <c r="V17" s="3">
        <v>1035</v>
      </c>
      <c r="W17" s="3">
        <v>1110</v>
      </c>
      <c r="X17" s="3">
        <v>1295</v>
      </c>
      <c r="Y17" s="3">
        <v>1009</v>
      </c>
      <c r="Z17" s="3">
        <v>1056</v>
      </c>
      <c r="AA17" s="3">
        <v>913</v>
      </c>
      <c r="AB17" s="3">
        <v>1180</v>
      </c>
      <c r="AC17" s="3">
        <v>1348</v>
      </c>
      <c r="AD17" s="3">
        <v>1842</v>
      </c>
      <c r="AE17" s="3">
        <v>1841</v>
      </c>
      <c r="AF17" s="3">
        <v>1080</v>
      </c>
      <c r="AG17" s="3">
        <v>1123</v>
      </c>
      <c r="AH17" s="3">
        <v>1853</v>
      </c>
      <c r="AI17" s="3">
        <v>1139</v>
      </c>
      <c r="AJ17" s="3">
        <v>2015</v>
      </c>
      <c r="AK17" s="3">
        <v>1309</v>
      </c>
      <c r="AL17" s="3">
        <v>741</v>
      </c>
      <c r="AM17" s="3">
        <v>665</v>
      </c>
      <c r="AN17" s="3">
        <v>1113</v>
      </c>
      <c r="AO17" s="3">
        <v>839</v>
      </c>
      <c r="AP17" s="3">
        <v>1374</v>
      </c>
      <c r="AQ17" s="3">
        <v>1288</v>
      </c>
      <c r="AR17" s="3">
        <v>2007</v>
      </c>
      <c r="AS17" s="3">
        <v>1538</v>
      </c>
      <c r="AT17" s="3">
        <v>2226</v>
      </c>
      <c r="AU17" s="3">
        <v>1704</v>
      </c>
      <c r="AV17" s="3">
        <v>2356</v>
      </c>
      <c r="AW17" s="3">
        <v>2211</v>
      </c>
      <c r="AX17" s="3">
        <v>1153</v>
      </c>
      <c r="AY17" s="3">
        <v>1468</v>
      </c>
      <c r="AZ17" s="3">
        <v>1749</v>
      </c>
      <c r="BA17" s="3">
        <v>1997</v>
      </c>
      <c r="BB17" s="3">
        <v>2710</v>
      </c>
      <c r="BC17" s="3">
        <v>2233</v>
      </c>
      <c r="BD17" s="3">
        <v>1743</v>
      </c>
      <c r="BE17" s="3">
        <v>1459</v>
      </c>
      <c r="BF17" s="3">
        <v>2516</v>
      </c>
      <c r="BG17" s="3">
        <v>2038</v>
      </c>
      <c r="BH17" s="3">
        <v>2564</v>
      </c>
      <c r="BI17" s="3">
        <v>2468</v>
      </c>
      <c r="BJ17" s="3">
        <v>1571</v>
      </c>
      <c r="BK17" s="3">
        <v>1992</v>
      </c>
      <c r="BL17" s="3">
        <v>2853</v>
      </c>
      <c r="BM17" s="3">
        <v>2276</v>
      </c>
      <c r="BN17" s="3">
        <v>3863</v>
      </c>
      <c r="BO17" s="3">
        <v>3458</v>
      </c>
      <c r="BP17" s="3">
        <v>2048</v>
      </c>
      <c r="BQ17" s="3">
        <v>1388</v>
      </c>
      <c r="BR17" s="3">
        <v>2716</v>
      </c>
      <c r="BS17" s="3">
        <v>2667</v>
      </c>
      <c r="BT17" s="3">
        <v>3437</v>
      </c>
      <c r="BU17" s="3">
        <v>3050</v>
      </c>
      <c r="BV17" s="3">
        <v>381</v>
      </c>
      <c r="BW17" s="3">
        <v>261</v>
      </c>
      <c r="BX17" s="3">
        <v>413</v>
      </c>
      <c r="BY17" s="3">
        <v>434</v>
      </c>
      <c r="BZ17" s="3">
        <v>595</v>
      </c>
      <c r="CA17" s="3">
        <v>573</v>
      </c>
      <c r="CB17" s="3">
        <v>553</v>
      </c>
      <c r="CC17" s="3">
        <v>682</v>
      </c>
      <c r="CD17" s="3">
        <v>1122</v>
      </c>
      <c r="CE17" s="3">
        <v>1098</v>
      </c>
      <c r="CF17" s="3">
        <v>915</v>
      </c>
      <c r="CG17" s="3">
        <v>1027</v>
      </c>
      <c r="CH17" s="3">
        <v>657</v>
      </c>
      <c r="CI17" s="3">
        <v>576</v>
      </c>
      <c r="CJ17" s="3">
        <v>1137</v>
      </c>
      <c r="CK17" s="3">
        <v>971</v>
      </c>
      <c r="CL17" s="3">
        <v>1120</v>
      </c>
      <c r="CM17" s="3">
        <v>900</v>
      </c>
      <c r="CN17" s="3">
        <v>750</v>
      </c>
      <c r="CO17" s="3">
        <v>785</v>
      </c>
      <c r="CP17" s="3">
        <v>1107</v>
      </c>
      <c r="CQ17" s="3">
        <v>1098</v>
      </c>
      <c r="CR17" s="3">
        <v>1426</v>
      </c>
      <c r="CS17" s="3">
        <v>1128</v>
      </c>
      <c r="CT17" s="3">
        <v>1032</v>
      </c>
      <c r="CU17" s="3">
        <v>838</v>
      </c>
      <c r="CV17" s="3">
        <v>1262</v>
      </c>
      <c r="CW17" s="3">
        <v>1125</v>
      </c>
      <c r="CX17" s="3">
        <v>1323</v>
      </c>
      <c r="CY17" s="3">
        <v>1511</v>
      </c>
      <c r="CZ17" s="3">
        <v>1175</v>
      </c>
      <c r="DA17" s="3">
        <v>865</v>
      </c>
      <c r="DB17" s="3">
        <v>1641</v>
      </c>
      <c r="DC17" s="3">
        <v>1328</v>
      </c>
      <c r="DD17" s="3">
        <v>1751</v>
      </c>
      <c r="DE17" s="3">
        <v>1434</v>
      </c>
      <c r="DF17" s="3">
        <v>700</v>
      </c>
      <c r="DG17" s="3">
        <v>644</v>
      </c>
      <c r="DH17" s="3">
        <v>1000</v>
      </c>
      <c r="DI17" s="3">
        <v>1095</v>
      </c>
      <c r="DJ17" s="3">
        <v>1277</v>
      </c>
      <c r="DK17" s="3">
        <v>1296</v>
      </c>
      <c r="DL17" s="3">
        <v>2037</v>
      </c>
      <c r="DM17" s="3">
        <v>1480</v>
      </c>
      <c r="DN17" s="3">
        <v>1939</v>
      </c>
      <c r="DO17" s="3">
        <v>1766</v>
      </c>
      <c r="DP17" s="3">
        <v>2670</v>
      </c>
      <c r="DQ17" s="3">
        <v>2006</v>
      </c>
      <c r="DR17" s="3">
        <v>1214</v>
      </c>
      <c r="DS17" s="3">
        <v>1150</v>
      </c>
      <c r="DT17" s="3">
        <v>1831</v>
      </c>
      <c r="DU17" s="3">
        <v>2071</v>
      </c>
      <c r="DV17" s="3">
        <v>2250</v>
      </c>
      <c r="DW17" s="3">
        <v>2458</v>
      </c>
      <c r="DX17" s="3">
        <v>1797</v>
      </c>
      <c r="DY17" s="3">
        <v>1635</v>
      </c>
      <c r="DZ17" s="3">
        <v>2281</v>
      </c>
      <c r="EA17" s="3">
        <v>1859</v>
      </c>
      <c r="EB17" s="3">
        <v>2780</v>
      </c>
      <c r="EC17" s="3">
        <v>2468</v>
      </c>
      <c r="ED17" s="3">
        <v>1482</v>
      </c>
      <c r="EE17" s="3">
        <v>1625</v>
      </c>
      <c r="EF17" s="3">
        <v>3009</v>
      </c>
      <c r="EG17" s="3">
        <v>2772</v>
      </c>
      <c r="EH17" s="3">
        <v>3851</v>
      </c>
      <c r="EI17" s="3">
        <v>3730</v>
      </c>
      <c r="EJ17" s="3">
        <v>2228</v>
      </c>
      <c r="EK17" s="3">
        <v>1531</v>
      </c>
      <c r="EL17" s="3">
        <v>3396</v>
      </c>
      <c r="EM17" s="3">
        <v>2606</v>
      </c>
      <c r="EN17" s="3">
        <v>3843</v>
      </c>
      <c r="EO17" s="3">
        <v>3276</v>
      </c>
      <c r="EP17" s="3">
        <v>441</v>
      </c>
      <c r="EQ17" s="3">
        <v>304</v>
      </c>
      <c r="ER17" s="3">
        <v>585</v>
      </c>
      <c r="ES17" s="3">
        <v>471</v>
      </c>
      <c r="ET17" s="3">
        <v>640</v>
      </c>
      <c r="EU17" s="3">
        <v>694</v>
      </c>
      <c r="EV17" s="3">
        <v>784</v>
      </c>
      <c r="EW17" s="3">
        <v>952</v>
      </c>
      <c r="EX17" s="3">
        <v>1171</v>
      </c>
      <c r="EY17" s="3">
        <v>826</v>
      </c>
      <c r="EZ17" s="3">
        <v>1061</v>
      </c>
      <c r="FA17" s="3">
        <v>1256</v>
      </c>
      <c r="FB17" s="3">
        <v>373</v>
      </c>
      <c r="FC17" s="3">
        <v>470</v>
      </c>
      <c r="FD17" s="3">
        <v>772</v>
      </c>
      <c r="FE17" s="3">
        <v>1101</v>
      </c>
      <c r="FF17" s="3">
        <v>1179</v>
      </c>
      <c r="FG17" s="3">
        <v>1094</v>
      </c>
      <c r="FH17" s="3">
        <v>614</v>
      </c>
      <c r="FI17" s="3">
        <v>648</v>
      </c>
      <c r="FJ17" s="3">
        <v>1084</v>
      </c>
      <c r="FK17" s="3">
        <v>921</v>
      </c>
      <c r="FL17" s="3">
        <v>1221</v>
      </c>
      <c r="FM17" s="3">
        <v>1243</v>
      </c>
      <c r="FN17" s="3">
        <v>832</v>
      </c>
      <c r="FO17" s="3">
        <v>563</v>
      </c>
      <c r="FP17" s="3">
        <v>1522</v>
      </c>
      <c r="FQ17" s="3">
        <v>1332</v>
      </c>
      <c r="FR17" s="3">
        <v>1811</v>
      </c>
      <c r="FS17" s="3">
        <v>1559</v>
      </c>
      <c r="FT17" s="3">
        <v>1009</v>
      </c>
      <c r="FU17" s="3">
        <v>805</v>
      </c>
      <c r="FV17" s="3">
        <v>1334</v>
      </c>
      <c r="FW17" s="3">
        <v>1263</v>
      </c>
      <c r="FX17" s="3">
        <v>1621</v>
      </c>
      <c r="FY17" s="3">
        <v>1576</v>
      </c>
      <c r="FZ17" s="3">
        <v>561</v>
      </c>
      <c r="GA17" s="3">
        <v>679</v>
      </c>
      <c r="GB17" s="3">
        <v>1162</v>
      </c>
      <c r="GC17" s="3">
        <v>876</v>
      </c>
      <c r="GD17" s="3">
        <v>1342</v>
      </c>
      <c r="GE17" s="3">
        <v>1316</v>
      </c>
      <c r="GF17" s="3">
        <v>1587</v>
      </c>
      <c r="GG17" s="3">
        <v>1278</v>
      </c>
      <c r="GH17" s="3">
        <v>2105</v>
      </c>
      <c r="GI17" s="3">
        <v>1832</v>
      </c>
      <c r="GJ17" s="3">
        <v>2551</v>
      </c>
      <c r="GK17" s="3">
        <v>2178</v>
      </c>
      <c r="GL17" s="3">
        <v>1201</v>
      </c>
      <c r="GM17" s="3">
        <v>1267</v>
      </c>
      <c r="GN17" s="3">
        <v>2095</v>
      </c>
      <c r="GO17" s="3">
        <v>1968</v>
      </c>
      <c r="GP17" s="3">
        <v>2662</v>
      </c>
      <c r="GQ17" s="3">
        <v>2551</v>
      </c>
      <c r="GR17" s="3">
        <v>1961</v>
      </c>
      <c r="GS17" s="3">
        <v>1570</v>
      </c>
      <c r="GT17" s="3">
        <v>2260</v>
      </c>
      <c r="GU17" s="3">
        <v>2013</v>
      </c>
      <c r="GV17" s="3">
        <v>2911</v>
      </c>
      <c r="GW17" s="3">
        <v>2260</v>
      </c>
      <c r="GX17" s="3">
        <v>1755</v>
      </c>
      <c r="GY17" s="3">
        <v>1741</v>
      </c>
      <c r="GZ17" s="3">
        <v>3097</v>
      </c>
      <c r="HA17" s="3">
        <v>2885</v>
      </c>
      <c r="HB17" s="3">
        <v>3546</v>
      </c>
      <c r="HC17" s="3">
        <v>3864</v>
      </c>
      <c r="HD17" s="3">
        <v>2026</v>
      </c>
      <c r="HE17" s="3">
        <v>1762</v>
      </c>
      <c r="HF17" s="3">
        <v>3150</v>
      </c>
      <c r="HG17" s="3">
        <v>2844</v>
      </c>
      <c r="HH17" s="3">
        <v>3973</v>
      </c>
      <c r="HI17" s="3">
        <v>3416</v>
      </c>
      <c r="HJ17" s="3">
        <v>218</v>
      </c>
      <c r="HK17" s="3">
        <v>341</v>
      </c>
      <c r="HL17" s="3">
        <v>464</v>
      </c>
      <c r="HM17" s="3">
        <v>543</v>
      </c>
      <c r="HN17" s="3">
        <v>671</v>
      </c>
      <c r="HO17" s="3">
        <v>607</v>
      </c>
      <c r="HP17" s="3">
        <v>664</v>
      </c>
      <c r="HQ17" s="3">
        <v>740</v>
      </c>
      <c r="HR17" s="3">
        <v>1154</v>
      </c>
      <c r="HS17" s="3">
        <v>1027</v>
      </c>
      <c r="HT17" s="3">
        <v>1242</v>
      </c>
      <c r="HU17" s="3">
        <v>927</v>
      </c>
      <c r="HV17" s="3">
        <v>726</v>
      </c>
      <c r="HW17" s="3">
        <v>663</v>
      </c>
      <c r="HX17" s="3">
        <v>999</v>
      </c>
      <c r="HY17" s="3">
        <v>853</v>
      </c>
      <c r="HZ17" s="3">
        <v>693</v>
      </c>
      <c r="IA17" s="3">
        <v>1445</v>
      </c>
      <c r="IB17" s="3">
        <v>1183</v>
      </c>
      <c r="IC17" s="3">
        <v>948</v>
      </c>
      <c r="ID17" s="3">
        <v>1276</v>
      </c>
      <c r="IE17" s="3">
        <v>846</v>
      </c>
      <c r="IF17" s="3">
        <v>1390</v>
      </c>
      <c r="IG17" s="3">
        <v>1122</v>
      </c>
      <c r="IH17" s="3">
        <v>945</v>
      </c>
      <c r="II17" s="3">
        <v>886</v>
      </c>
      <c r="IJ17" s="3">
        <v>1277</v>
      </c>
      <c r="IK17" s="3">
        <v>1446</v>
      </c>
      <c r="IL17" s="3">
        <v>1787</v>
      </c>
      <c r="IM17" s="3">
        <v>1920</v>
      </c>
      <c r="IN17" s="3">
        <v>1159</v>
      </c>
      <c r="IO17" s="3">
        <v>932</v>
      </c>
      <c r="IP17" s="3">
        <v>1734</v>
      </c>
      <c r="IQ17" s="3">
        <v>1236</v>
      </c>
      <c r="IR17" s="3">
        <v>1742</v>
      </c>
      <c r="IS17" s="3">
        <v>1686</v>
      </c>
      <c r="IT17" s="3">
        <v>719</v>
      </c>
      <c r="IU17" s="3">
        <v>571</v>
      </c>
      <c r="IV17" s="3">
        <v>893</v>
      </c>
      <c r="IW17" s="3">
        <v>860</v>
      </c>
      <c r="IX17" s="3">
        <v>1255</v>
      </c>
      <c r="IY17" s="3">
        <v>1399</v>
      </c>
      <c r="IZ17" s="3">
        <v>1969</v>
      </c>
      <c r="JA17" s="3">
        <v>1200</v>
      </c>
      <c r="JB17" s="3">
        <v>1995</v>
      </c>
      <c r="JC17" s="3">
        <v>1756</v>
      </c>
      <c r="JD17" s="3">
        <v>2019</v>
      </c>
      <c r="JE17" s="3">
        <v>2029</v>
      </c>
      <c r="JF17" s="3">
        <v>1164</v>
      </c>
      <c r="JG17" s="3">
        <v>1181</v>
      </c>
      <c r="JH17" s="3">
        <v>2235</v>
      </c>
      <c r="JI17" s="3">
        <v>1875</v>
      </c>
      <c r="JJ17" s="3">
        <v>2630</v>
      </c>
      <c r="JK17" s="3">
        <v>2298</v>
      </c>
      <c r="JL17" s="3">
        <v>1849</v>
      </c>
      <c r="JM17" s="3">
        <v>1553</v>
      </c>
      <c r="JN17" s="3">
        <v>2520</v>
      </c>
      <c r="JO17" s="3">
        <v>2001</v>
      </c>
      <c r="JP17" s="3">
        <v>2760</v>
      </c>
      <c r="JQ17" s="3">
        <v>2350</v>
      </c>
      <c r="JR17" s="3">
        <v>1560</v>
      </c>
      <c r="JS17" s="3">
        <v>1594</v>
      </c>
      <c r="JT17" s="3">
        <v>2948</v>
      </c>
      <c r="JU17" s="3">
        <v>3157</v>
      </c>
      <c r="JV17" s="3">
        <v>3940</v>
      </c>
      <c r="JW17" s="3">
        <v>3420</v>
      </c>
      <c r="JX17" s="3">
        <v>1765</v>
      </c>
      <c r="JY17" s="3">
        <v>1571</v>
      </c>
      <c r="JZ17" s="3">
        <v>3038</v>
      </c>
      <c r="KA17" s="3">
        <v>2802</v>
      </c>
      <c r="KB17" s="3">
        <v>3701</v>
      </c>
      <c r="KC17" s="3">
        <v>3257</v>
      </c>
      <c r="KD17" s="3">
        <v>289</v>
      </c>
      <c r="KE17" s="3">
        <v>368</v>
      </c>
      <c r="KF17" s="3">
        <v>485</v>
      </c>
      <c r="KG17" s="3">
        <v>461</v>
      </c>
      <c r="KH17" s="3">
        <v>677</v>
      </c>
      <c r="KI17" s="3">
        <v>609</v>
      </c>
      <c r="KJ17" s="3">
        <v>810</v>
      </c>
      <c r="KK17" s="3">
        <v>862</v>
      </c>
      <c r="KL17" s="3">
        <v>1211</v>
      </c>
      <c r="KM17" s="3">
        <v>1021</v>
      </c>
      <c r="KN17" s="3">
        <v>1112</v>
      </c>
      <c r="KO17" s="3">
        <v>1291</v>
      </c>
      <c r="KP17" s="3">
        <v>440</v>
      </c>
      <c r="KQ17" s="3">
        <v>522</v>
      </c>
      <c r="KR17" s="3">
        <v>786</v>
      </c>
      <c r="KS17" s="3">
        <v>908</v>
      </c>
      <c r="KT17" s="3">
        <v>1192</v>
      </c>
      <c r="KU17" s="3">
        <v>1225</v>
      </c>
      <c r="KV17" s="3">
        <v>1011</v>
      </c>
      <c r="KW17" s="3">
        <v>998</v>
      </c>
      <c r="KX17" s="3">
        <v>1253</v>
      </c>
      <c r="KY17" s="3">
        <v>1049</v>
      </c>
      <c r="KZ17" s="3">
        <v>1396</v>
      </c>
      <c r="LA17" s="3">
        <v>1007</v>
      </c>
      <c r="LB17" s="3">
        <v>850</v>
      </c>
      <c r="LC17" s="3">
        <v>967</v>
      </c>
      <c r="LD17" s="3">
        <v>1533</v>
      </c>
      <c r="LE17" s="3">
        <v>1199</v>
      </c>
      <c r="LF17" s="3">
        <v>1617</v>
      </c>
      <c r="LG17" s="3">
        <v>1499</v>
      </c>
      <c r="LH17" s="3">
        <v>1074</v>
      </c>
      <c r="LI17" s="3">
        <v>848</v>
      </c>
      <c r="LJ17" s="3">
        <v>1337</v>
      </c>
      <c r="LK17" s="3">
        <v>1291</v>
      </c>
      <c r="LL17" s="3">
        <v>1776</v>
      </c>
      <c r="LM17" s="3">
        <v>1758</v>
      </c>
      <c r="LN17" s="3">
        <v>579</v>
      </c>
      <c r="LO17" s="3">
        <v>711</v>
      </c>
      <c r="LP17" s="3">
        <v>999</v>
      </c>
      <c r="LQ17" s="3">
        <v>977</v>
      </c>
      <c r="LR17" s="3">
        <v>1200</v>
      </c>
      <c r="LS17" s="3">
        <v>1111</v>
      </c>
      <c r="LT17" s="3">
        <v>1422</v>
      </c>
      <c r="LU17" s="3">
        <v>1156</v>
      </c>
      <c r="LV17" s="3">
        <v>2309</v>
      </c>
      <c r="LW17" s="3">
        <v>1946</v>
      </c>
      <c r="LX17" s="3">
        <v>2240</v>
      </c>
      <c r="LY17" s="3">
        <v>2080</v>
      </c>
      <c r="LZ17" s="3">
        <v>1146</v>
      </c>
      <c r="MA17" s="3">
        <v>1552</v>
      </c>
      <c r="MB17" s="3">
        <v>2097</v>
      </c>
      <c r="MC17" s="3">
        <v>2080</v>
      </c>
      <c r="MD17" s="3">
        <v>2172</v>
      </c>
      <c r="ME17" s="3">
        <v>2499</v>
      </c>
      <c r="MF17" s="3">
        <v>1929</v>
      </c>
      <c r="MG17" s="3">
        <v>1385</v>
      </c>
      <c r="MH17" s="3">
        <v>2316</v>
      </c>
      <c r="MI17" s="3">
        <v>2416</v>
      </c>
      <c r="MJ17" s="3">
        <v>2581</v>
      </c>
      <c r="MK17" s="3">
        <v>2643</v>
      </c>
      <c r="ML17" s="3">
        <v>1831</v>
      </c>
      <c r="MM17" s="3">
        <v>2002</v>
      </c>
      <c r="MN17" s="3">
        <v>3025</v>
      </c>
      <c r="MO17" s="3">
        <v>2768</v>
      </c>
      <c r="MP17" s="3">
        <v>3811</v>
      </c>
      <c r="MQ17" s="3">
        <v>4104</v>
      </c>
      <c r="MR17" s="3">
        <v>2069</v>
      </c>
      <c r="MS17" s="3">
        <v>1719</v>
      </c>
      <c r="MT17" s="3">
        <v>2849</v>
      </c>
      <c r="MU17" s="3">
        <v>2762</v>
      </c>
      <c r="MV17" s="3">
        <v>3901</v>
      </c>
      <c r="MW17" s="3">
        <v>3455</v>
      </c>
    </row>
    <row r="18" spans="1:361" x14ac:dyDescent="0.3">
      <c r="A18" s="3">
        <v>7</v>
      </c>
      <c r="B18" s="3">
        <v>440</v>
      </c>
      <c r="C18" s="3">
        <v>283</v>
      </c>
      <c r="D18" s="3">
        <v>473</v>
      </c>
      <c r="E18" s="3">
        <v>468</v>
      </c>
      <c r="F18" s="3">
        <v>591</v>
      </c>
      <c r="G18" s="3">
        <v>534</v>
      </c>
      <c r="H18" s="3">
        <v>1006</v>
      </c>
      <c r="I18" s="3">
        <v>973</v>
      </c>
      <c r="J18" s="3">
        <v>1067</v>
      </c>
      <c r="K18" s="3">
        <v>800</v>
      </c>
      <c r="L18" s="3">
        <v>1429</v>
      </c>
      <c r="M18" s="3">
        <v>900</v>
      </c>
      <c r="N18" s="3">
        <v>553</v>
      </c>
      <c r="O18" s="3">
        <v>487</v>
      </c>
      <c r="P18" s="3">
        <v>1043</v>
      </c>
      <c r="Q18" s="3">
        <v>1014</v>
      </c>
      <c r="R18" s="3">
        <v>1040</v>
      </c>
      <c r="S18" s="3">
        <v>911</v>
      </c>
      <c r="T18" s="3">
        <v>820</v>
      </c>
      <c r="U18" s="3">
        <v>904</v>
      </c>
      <c r="V18" s="3">
        <v>1035</v>
      </c>
      <c r="W18" s="3">
        <v>1119</v>
      </c>
      <c r="X18" s="3">
        <v>1295</v>
      </c>
      <c r="Y18" s="3">
        <v>1012</v>
      </c>
      <c r="Z18" s="3">
        <v>1056</v>
      </c>
      <c r="AA18" s="3">
        <v>913</v>
      </c>
      <c r="AB18" s="3">
        <v>1180</v>
      </c>
      <c r="AC18" s="3">
        <v>1349</v>
      </c>
      <c r="AD18" s="3">
        <v>1844</v>
      </c>
      <c r="AE18" s="3">
        <v>1841</v>
      </c>
      <c r="AF18" s="3">
        <v>1080</v>
      </c>
      <c r="AG18" s="3">
        <v>1123</v>
      </c>
      <c r="AH18" s="3">
        <v>1852</v>
      </c>
      <c r="AI18" s="3">
        <v>1131</v>
      </c>
      <c r="AJ18" s="3">
        <v>2015</v>
      </c>
      <c r="AK18" s="3">
        <v>1312</v>
      </c>
      <c r="AL18" s="3">
        <v>741</v>
      </c>
      <c r="AM18" s="3">
        <v>665</v>
      </c>
      <c r="AN18" s="3">
        <v>1112</v>
      </c>
      <c r="AO18" s="3">
        <v>839</v>
      </c>
      <c r="AP18" s="3">
        <v>1373</v>
      </c>
      <c r="AQ18" s="3">
        <v>1288</v>
      </c>
      <c r="AR18" s="3">
        <v>2007</v>
      </c>
      <c r="AS18" s="3">
        <v>1538</v>
      </c>
      <c r="AT18" s="3">
        <v>2226</v>
      </c>
      <c r="AU18" s="3">
        <v>1704</v>
      </c>
      <c r="AV18" s="3">
        <v>2356</v>
      </c>
      <c r="AW18" s="3">
        <v>2211</v>
      </c>
      <c r="AX18" s="3">
        <v>1153</v>
      </c>
      <c r="AY18" s="3">
        <v>1478</v>
      </c>
      <c r="AZ18" s="3">
        <v>1748</v>
      </c>
      <c r="BA18" s="3">
        <v>1997</v>
      </c>
      <c r="BB18" s="3">
        <v>2699</v>
      </c>
      <c r="BC18" s="3">
        <v>2237</v>
      </c>
      <c r="BD18" s="3">
        <v>1743</v>
      </c>
      <c r="BE18" s="3">
        <v>1459</v>
      </c>
      <c r="BF18" s="3">
        <v>2516</v>
      </c>
      <c r="BG18" s="3">
        <v>2038</v>
      </c>
      <c r="BH18" s="3">
        <v>2577</v>
      </c>
      <c r="BI18" s="3">
        <v>2502</v>
      </c>
      <c r="BJ18" s="3">
        <v>1572</v>
      </c>
      <c r="BK18" s="3">
        <v>1980</v>
      </c>
      <c r="BL18" s="3">
        <v>2853</v>
      </c>
      <c r="BM18" s="3">
        <v>2291</v>
      </c>
      <c r="BN18" s="3">
        <v>3869</v>
      </c>
      <c r="BO18" s="3">
        <v>3459</v>
      </c>
      <c r="BP18" s="3">
        <v>2055</v>
      </c>
      <c r="BQ18" s="3">
        <v>1388</v>
      </c>
      <c r="BR18" s="3">
        <v>2712</v>
      </c>
      <c r="BS18" s="3">
        <v>2637</v>
      </c>
      <c r="BT18" s="3">
        <v>3433</v>
      </c>
      <c r="BU18" s="3">
        <v>3054</v>
      </c>
      <c r="BV18" s="3">
        <v>381</v>
      </c>
      <c r="BW18" s="3">
        <v>261</v>
      </c>
      <c r="BX18" s="3">
        <v>413</v>
      </c>
      <c r="BY18" s="3">
        <v>434</v>
      </c>
      <c r="BZ18" s="3">
        <v>596</v>
      </c>
      <c r="CA18" s="3">
        <v>573</v>
      </c>
      <c r="CB18" s="3">
        <v>553</v>
      </c>
      <c r="CC18" s="3">
        <v>682</v>
      </c>
      <c r="CD18" s="3">
        <v>1122</v>
      </c>
      <c r="CE18" s="3">
        <v>1098</v>
      </c>
      <c r="CF18" s="3">
        <v>915</v>
      </c>
      <c r="CG18" s="3">
        <v>1027</v>
      </c>
      <c r="CH18" s="3">
        <v>657</v>
      </c>
      <c r="CI18" s="3">
        <v>576</v>
      </c>
      <c r="CJ18" s="3">
        <v>1136</v>
      </c>
      <c r="CK18" s="3">
        <v>981</v>
      </c>
      <c r="CL18" s="3">
        <v>1120</v>
      </c>
      <c r="CM18" s="3">
        <v>900</v>
      </c>
      <c r="CN18" s="3">
        <v>750</v>
      </c>
      <c r="CO18" s="3">
        <v>785</v>
      </c>
      <c r="CP18" s="3">
        <v>1107</v>
      </c>
      <c r="CQ18" s="3">
        <v>1098</v>
      </c>
      <c r="CR18" s="3">
        <v>1425</v>
      </c>
      <c r="CS18" s="3">
        <v>1131</v>
      </c>
      <c r="CT18" s="3">
        <v>1032</v>
      </c>
      <c r="CU18" s="3">
        <v>838</v>
      </c>
      <c r="CV18" s="3">
        <v>1262</v>
      </c>
      <c r="CW18" s="3">
        <v>1125</v>
      </c>
      <c r="CX18" s="3">
        <v>1323</v>
      </c>
      <c r="CY18" s="3">
        <v>1511</v>
      </c>
      <c r="CZ18" s="3">
        <v>1175</v>
      </c>
      <c r="DA18" s="3">
        <v>865</v>
      </c>
      <c r="DB18" s="3">
        <v>1636</v>
      </c>
      <c r="DC18" s="3">
        <v>1330</v>
      </c>
      <c r="DD18" s="3">
        <v>1755</v>
      </c>
      <c r="DE18" s="3">
        <v>1421</v>
      </c>
      <c r="DF18" s="3">
        <v>700</v>
      </c>
      <c r="DG18" s="3">
        <v>643</v>
      </c>
      <c r="DH18" s="3">
        <v>1000</v>
      </c>
      <c r="DI18" s="3">
        <v>1095</v>
      </c>
      <c r="DJ18" s="3">
        <v>1277</v>
      </c>
      <c r="DK18" s="3">
        <v>1294</v>
      </c>
      <c r="DL18" s="3">
        <v>2037</v>
      </c>
      <c r="DM18" s="3">
        <v>1480</v>
      </c>
      <c r="DN18" s="3">
        <v>1939</v>
      </c>
      <c r="DO18" s="3">
        <v>1766</v>
      </c>
      <c r="DP18" s="3">
        <v>2670</v>
      </c>
      <c r="DQ18" s="3">
        <v>2006</v>
      </c>
      <c r="DR18" s="3">
        <v>1214</v>
      </c>
      <c r="DS18" s="3">
        <v>1150</v>
      </c>
      <c r="DT18" s="3">
        <v>1831</v>
      </c>
      <c r="DU18" s="3">
        <v>2073</v>
      </c>
      <c r="DV18" s="3">
        <v>2250</v>
      </c>
      <c r="DW18" s="3">
        <v>2458</v>
      </c>
      <c r="DX18" s="3">
        <v>1797</v>
      </c>
      <c r="DY18" s="3">
        <v>1635</v>
      </c>
      <c r="DZ18" s="3">
        <v>2279</v>
      </c>
      <c r="EA18" s="3">
        <v>1848</v>
      </c>
      <c r="EB18" s="3">
        <v>2794</v>
      </c>
      <c r="EC18" s="3">
        <v>2494</v>
      </c>
      <c r="ED18" s="3">
        <v>1483</v>
      </c>
      <c r="EE18" s="3">
        <v>1625</v>
      </c>
      <c r="EF18" s="3">
        <v>3003</v>
      </c>
      <c r="EG18" s="3">
        <v>2775</v>
      </c>
      <c r="EH18" s="3">
        <v>3853</v>
      </c>
      <c r="EI18" s="3">
        <v>3742</v>
      </c>
      <c r="EJ18" s="3">
        <v>2227</v>
      </c>
      <c r="EK18" s="3">
        <v>1541</v>
      </c>
      <c r="EL18" s="3">
        <v>3387</v>
      </c>
      <c r="EM18" s="3">
        <v>2614</v>
      </c>
      <c r="EN18" s="3">
        <v>3841</v>
      </c>
      <c r="EO18" s="3">
        <v>3278</v>
      </c>
      <c r="EP18" s="3">
        <v>441</v>
      </c>
      <c r="EQ18" s="3">
        <v>304</v>
      </c>
      <c r="ER18" s="3">
        <v>585</v>
      </c>
      <c r="ES18" s="3">
        <v>471</v>
      </c>
      <c r="ET18" s="3">
        <v>640</v>
      </c>
      <c r="EU18" s="3">
        <v>700</v>
      </c>
      <c r="EV18" s="3">
        <v>784</v>
      </c>
      <c r="EW18" s="3">
        <v>952</v>
      </c>
      <c r="EX18" s="3">
        <v>1171</v>
      </c>
      <c r="EY18" s="3">
        <v>826</v>
      </c>
      <c r="EZ18" s="3">
        <v>1061</v>
      </c>
      <c r="FA18" s="3">
        <v>1256</v>
      </c>
      <c r="FB18" s="3">
        <v>373</v>
      </c>
      <c r="FC18" s="3">
        <v>470</v>
      </c>
      <c r="FD18" s="3">
        <v>772</v>
      </c>
      <c r="FE18" s="3">
        <v>1101</v>
      </c>
      <c r="FF18" s="3">
        <v>1178</v>
      </c>
      <c r="FG18" s="3">
        <v>1098</v>
      </c>
      <c r="FH18" s="3">
        <v>614</v>
      </c>
      <c r="FI18" s="3">
        <v>648</v>
      </c>
      <c r="FJ18" s="3">
        <v>1084</v>
      </c>
      <c r="FK18" s="3">
        <v>921</v>
      </c>
      <c r="FL18" s="3">
        <v>1225</v>
      </c>
      <c r="FM18" s="3">
        <v>1259</v>
      </c>
      <c r="FN18" s="3">
        <v>832</v>
      </c>
      <c r="FO18" s="3">
        <v>563</v>
      </c>
      <c r="FP18" s="3">
        <v>1522</v>
      </c>
      <c r="FQ18" s="3">
        <v>1332</v>
      </c>
      <c r="FR18" s="3">
        <v>1813</v>
      </c>
      <c r="FS18" s="3">
        <v>1559</v>
      </c>
      <c r="FT18" s="3">
        <v>1013</v>
      </c>
      <c r="FU18" s="3">
        <v>805</v>
      </c>
      <c r="FV18" s="3">
        <v>1332</v>
      </c>
      <c r="FW18" s="3">
        <v>1270</v>
      </c>
      <c r="FX18" s="3">
        <v>1620</v>
      </c>
      <c r="FY18" s="3">
        <v>1563</v>
      </c>
      <c r="FZ18" s="3">
        <v>561</v>
      </c>
      <c r="GA18" s="3">
        <v>679</v>
      </c>
      <c r="GB18" s="3">
        <v>1162</v>
      </c>
      <c r="GC18" s="3">
        <v>873</v>
      </c>
      <c r="GD18" s="3">
        <v>1342</v>
      </c>
      <c r="GE18" s="3">
        <v>1316</v>
      </c>
      <c r="GF18" s="3">
        <v>1587</v>
      </c>
      <c r="GG18" s="3">
        <v>1278</v>
      </c>
      <c r="GH18" s="3">
        <v>2105</v>
      </c>
      <c r="GI18" s="3">
        <v>1832</v>
      </c>
      <c r="GJ18" s="3">
        <v>2551</v>
      </c>
      <c r="GK18" s="3">
        <v>2178</v>
      </c>
      <c r="GL18" s="3">
        <v>1201</v>
      </c>
      <c r="GM18" s="3">
        <v>1267</v>
      </c>
      <c r="GN18" s="3">
        <v>2098</v>
      </c>
      <c r="GO18" s="3">
        <v>1975</v>
      </c>
      <c r="GP18" s="3">
        <v>2662</v>
      </c>
      <c r="GQ18" s="3">
        <v>2551</v>
      </c>
      <c r="GR18" s="3">
        <v>1961</v>
      </c>
      <c r="GS18" s="3">
        <v>1570</v>
      </c>
      <c r="GT18" s="3">
        <v>2256</v>
      </c>
      <c r="GU18" s="3">
        <v>2013</v>
      </c>
      <c r="GV18" s="3">
        <v>2905</v>
      </c>
      <c r="GW18" s="3">
        <v>2279</v>
      </c>
      <c r="GX18" s="3">
        <v>1755</v>
      </c>
      <c r="GY18" s="3">
        <v>1741</v>
      </c>
      <c r="GZ18" s="3">
        <v>3097</v>
      </c>
      <c r="HA18" s="3">
        <v>2887</v>
      </c>
      <c r="HB18" s="3">
        <v>3544</v>
      </c>
      <c r="HC18" s="3">
        <v>3864</v>
      </c>
      <c r="HD18" s="3">
        <v>2020</v>
      </c>
      <c r="HE18" s="3">
        <v>1758</v>
      </c>
      <c r="HF18" s="3">
        <v>3148</v>
      </c>
      <c r="HG18" s="3">
        <v>2859</v>
      </c>
      <c r="HH18" s="3">
        <v>3986</v>
      </c>
      <c r="HI18" s="3">
        <v>3426</v>
      </c>
      <c r="HJ18" s="3">
        <v>218</v>
      </c>
      <c r="HK18" s="3">
        <v>341</v>
      </c>
      <c r="HL18" s="3">
        <v>464</v>
      </c>
      <c r="HM18" s="3">
        <v>543</v>
      </c>
      <c r="HN18" s="3">
        <v>671</v>
      </c>
      <c r="HO18" s="3">
        <v>607</v>
      </c>
      <c r="HP18" s="3">
        <v>664</v>
      </c>
      <c r="HQ18" s="3">
        <v>740</v>
      </c>
      <c r="HR18" s="3">
        <v>1154</v>
      </c>
      <c r="HS18" s="3">
        <v>1027</v>
      </c>
      <c r="HT18" s="3">
        <v>1242</v>
      </c>
      <c r="HU18" s="3">
        <v>927</v>
      </c>
      <c r="HV18" s="3">
        <v>726</v>
      </c>
      <c r="HW18" s="3">
        <v>663</v>
      </c>
      <c r="HX18" s="3">
        <v>999</v>
      </c>
      <c r="HY18" s="3">
        <v>853</v>
      </c>
      <c r="HZ18" s="3">
        <v>693</v>
      </c>
      <c r="IA18" s="3">
        <v>1445</v>
      </c>
      <c r="IB18" s="3">
        <v>1183</v>
      </c>
      <c r="IC18" s="3">
        <v>948</v>
      </c>
      <c r="ID18" s="3">
        <v>1276</v>
      </c>
      <c r="IE18" s="3">
        <v>854</v>
      </c>
      <c r="IF18" s="3">
        <v>1396</v>
      </c>
      <c r="IG18" s="3">
        <v>1129</v>
      </c>
      <c r="IH18" s="3">
        <v>945</v>
      </c>
      <c r="II18" s="3">
        <v>886</v>
      </c>
      <c r="IJ18" s="3">
        <v>1280</v>
      </c>
      <c r="IK18" s="3">
        <v>1444</v>
      </c>
      <c r="IL18" s="3">
        <v>1787</v>
      </c>
      <c r="IM18" s="3">
        <v>1920</v>
      </c>
      <c r="IN18" s="3">
        <v>1159</v>
      </c>
      <c r="IO18" s="3">
        <v>932</v>
      </c>
      <c r="IP18" s="3">
        <v>1730</v>
      </c>
      <c r="IQ18" s="3">
        <v>1232</v>
      </c>
      <c r="IR18" s="3">
        <v>1741</v>
      </c>
      <c r="IS18" s="3">
        <v>1688</v>
      </c>
      <c r="IT18" s="3">
        <v>719</v>
      </c>
      <c r="IU18" s="3">
        <v>571</v>
      </c>
      <c r="IV18" s="3">
        <v>891</v>
      </c>
      <c r="IW18" s="3">
        <v>860</v>
      </c>
      <c r="IX18" s="3">
        <v>1254</v>
      </c>
      <c r="IY18" s="3">
        <v>1399</v>
      </c>
      <c r="IZ18" s="3">
        <v>1969</v>
      </c>
      <c r="JA18" s="3">
        <v>1200</v>
      </c>
      <c r="JB18" s="3">
        <v>1995</v>
      </c>
      <c r="JC18" s="3">
        <v>1756</v>
      </c>
      <c r="JD18" s="3">
        <v>2020</v>
      </c>
      <c r="JE18" s="3">
        <v>2029</v>
      </c>
      <c r="JF18" s="3">
        <v>1164</v>
      </c>
      <c r="JG18" s="3">
        <v>1181</v>
      </c>
      <c r="JH18" s="3">
        <v>2235</v>
      </c>
      <c r="JI18" s="3">
        <v>1875</v>
      </c>
      <c r="JJ18" s="3">
        <v>2630</v>
      </c>
      <c r="JK18" s="3">
        <v>2295</v>
      </c>
      <c r="JL18" s="3">
        <v>1849</v>
      </c>
      <c r="JM18" s="3">
        <v>1553</v>
      </c>
      <c r="JN18" s="3">
        <v>2521</v>
      </c>
      <c r="JO18" s="3">
        <v>2004</v>
      </c>
      <c r="JP18" s="3">
        <v>2767</v>
      </c>
      <c r="JQ18" s="3">
        <v>2365</v>
      </c>
      <c r="JR18" s="3">
        <v>1560</v>
      </c>
      <c r="JS18" s="3">
        <v>1593</v>
      </c>
      <c r="JT18" s="3">
        <v>2946</v>
      </c>
      <c r="JU18" s="3">
        <v>3157</v>
      </c>
      <c r="JV18" s="3">
        <v>3938</v>
      </c>
      <c r="JW18" s="3">
        <v>3420</v>
      </c>
      <c r="JX18" s="3">
        <v>1767</v>
      </c>
      <c r="JY18" s="3">
        <v>1550</v>
      </c>
      <c r="JZ18" s="3">
        <v>3037</v>
      </c>
      <c r="KA18" s="3">
        <v>2793</v>
      </c>
      <c r="KB18" s="3">
        <v>3687</v>
      </c>
      <c r="KC18" s="3">
        <v>3285</v>
      </c>
      <c r="KD18" s="3">
        <v>289</v>
      </c>
      <c r="KE18" s="3">
        <v>368</v>
      </c>
      <c r="KF18" s="3">
        <v>485</v>
      </c>
      <c r="KG18" s="3">
        <v>461</v>
      </c>
      <c r="KH18" s="3">
        <v>677</v>
      </c>
      <c r="KI18" s="3">
        <v>618</v>
      </c>
      <c r="KJ18" s="3">
        <v>810</v>
      </c>
      <c r="KK18" s="3">
        <v>862</v>
      </c>
      <c r="KL18" s="3">
        <v>1211</v>
      </c>
      <c r="KM18" s="3">
        <v>1021</v>
      </c>
      <c r="KN18" s="3">
        <v>1112</v>
      </c>
      <c r="KO18" s="3">
        <v>1291</v>
      </c>
      <c r="KP18" s="3">
        <v>440</v>
      </c>
      <c r="KQ18" s="3">
        <v>522</v>
      </c>
      <c r="KR18" s="3">
        <v>786</v>
      </c>
      <c r="KS18" s="3">
        <v>908</v>
      </c>
      <c r="KT18" s="3">
        <v>1192</v>
      </c>
      <c r="KU18" s="3">
        <v>1225</v>
      </c>
      <c r="KV18" s="3">
        <v>1011</v>
      </c>
      <c r="KW18" s="3">
        <v>998</v>
      </c>
      <c r="KX18" s="3">
        <v>1253</v>
      </c>
      <c r="KY18" s="3">
        <v>1049</v>
      </c>
      <c r="KZ18" s="3">
        <v>1391</v>
      </c>
      <c r="LA18" s="3">
        <v>1007</v>
      </c>
      <c r="LB18" s="3">
        <v>850</v>
      </c>
      <c r="LC18" s="3">
        <v>967</v>
      </c>
      <c r="LD18" s="3">
        <v>1533</v>
      </c>
      <c r="LE18" s="3">
        <v>1194</v>
      </c>
      <c r="LF18" s="3">
        <v>1617</v>
      </c>
      <c r="LG18" s="3">
        <v>1499</v>
      </c>
      <c r="LH18" s="3">
        <v>1074</v>
      </c>
      <c r="LI18" s="3">
        <v>848</v>
      </c>
      <c r="LJ18" s="3">
        <v>1342</v>
      </c>
      <c r="LK18" s="3">
        <v>1281</v>
      </c>
      <c r="LL18" s="3">
        <v>1772</v>
      </c>
      <c r="LM18" s="3">
        <v>1755</v>
      </c>
      <c r="LN18" s="3">
        <v>579</v>
      </c>
      <c r="LO18" s="3">
        <v>711</v>
      </c>
      <c r="LP18" s="3">
        <v>1003</v>
      </c>
      <c r="LQ18" s="3">
        <v>979</v>
      </c>
      <c r="LR18" s="3">
        <v>1202</v>
      </c>
      <c r="LS18" s="3">
        <v>1113</v>
      </c>
      <c r="LT18" s="3">
        <v>1422</v>
      </c>
      <c r="LU18" s="3">
        <v>1156</v>
      </c>
      <c r="LV18" s="3">
        <v>2309</v>
      </c>
      <c r="LW18" s="3">
        <v>1946</v>
      </c>
      <c r="LX18" s="3">
        <v>2240</v>
      </c>
      <c r="LY18" s="3">
        <v>2080</v>
      </c>
      <c r="LZ18" s="3">
        <v>1146</v>
      </c>
      <c r="MA18" s="3">
        <v>1552</v>
      </c>
      <c r="MB18" s="3">
        <v>2102</v>
      </c>
      <c r="MC18" s="3">
        <v>2080</v>
      </c>
      <c r="MD18" s="3">
        <v>2169</v>
      </c>
      <c r="ME18" s="3">
        <v>2499</v>
      </c>
      <c r="MF18" s="3">
        <v>1929</v>
      </c>
      <c r="MG18" s="3">
        <v>1385</v>
      </c>
      <c r="MH18" s="3">
        <v>2324</v>
      </c>
      <c r="MI18" s="3">
        <v>2416</v>
      </c>
      <c r="MJ18" s="3">
        <v>2569</v>
      </c>
      <c r="MK18" s="3">
        <v>2639</v>
      </c>
      <c r="ML18" s="3">
        <v>1832</v>
      </c>
      <c r="MM18" s="3">
        <v>2002</v>
      </c>
      <c r="MN18" s="3">
        <v>3025</v>
      </c>
      <c r="MO18" s="3">
        <v>2767</v>
      </c>
      <c r="MP18" s="3">
        <v>3811</v>
      </c>
      <c r="MQ18" s="3">
        <v>4104</v>
      </c>
      <c r="MR18" s="3">
        <v>2064</v>
      </c>
      <c r="MS18" s="3">
        <v>1719</v>
      </c>
      <c r="MT18" s="3">
        <v>2852</v>
      </c>
      <c r="MU18" s="3">
        <v>2752</v>
      </c>
      <c r="MV18" s="3">
        <v>3906</v>
      </c>
      <c r="MW18" s="3">
        <v>3418</v>
      </c>
    </row>
    <row r="19" spans="1:361" x14ac:dyDescent="0.3">
      <c r="A19" s="3">
        <v>8</v>
      </c>
      <c r="B19" s="3">
        <v>440</v>
      </c>
      <c r="C19" s="3">
        <v>283</v>
      </c>
      <c r="D19" s="3">
        <v>473</v>
      </c>
      <c r="E19" s="3">
        <v>471</v>
      </c>
      <c r="F19" s="3">
        <v>591</v>
      </c>
      <c r="G19" s="3">
        <v>534</v>
      </c>
      <c r="H19" s="3">
        <v>1006</v>
      </c>
      <c r="I19" s="3">
        <v>973</v>
      </c>
      <c r="J19" s="3">
        <v>1067</v>
      </c>
      <c r="K19" s="3">
        <v>800</v>
      </c>
      <c r="L19" s="3">
        <v>1429</v>
      </c>
      <c r="M19" s="3">
        <v>900</v>
      </c>
      <c r="N19" s="3">
        <v>553</v>
      </c>
      <c r="O19" s="3">
        <v>487</v>
      </c>
      <c r="P19" s="3">
        <v>1043</v>
      </c>
      <c r="Q19" s="3">
        <v>1014</v>
      </c>
      <c r="R19" s="3">
        <v>1038</v>
      </c>
      <c r="S19" s="3">
        <v>910</v>
      </c>
      <c r="T19" s="3">
        <v>820</v>
      </c>
      <c r="U19" s="3">
        <v>904</v>
      </c>
      <c r="V19" s="3">
        <v>1035</v>
      </c>
      <c r="W19" s="3">
        <v>1110</v>
      </c>
      <c r="X19" s="3">
        <v>1303</v>
      </c>
      <c r="Y19" s="3">
        <v>1015</v>
      </c>
      <c r="Z19" s="3">
        <v>1056</v>
      </c>
      <c r="AA19" s="3">
        <v>913</v>
      </c>
      <c r="AB19" s="3">
        <v>1180</v>
      </c>
      <c r="AC19" s="3">
        <v>1346</v>
      </c>
      <c r="AD19" s="3">
        <v>1844</v>
      </c>
      <c r="AE19" s="3">
        <v>1841</v>
      </c>
      <c r="AF19" s="3">
        <v>1080</v>
      </c>
      <c r="AG19" s="3">
        <v>1123</v>
      </c>
      <c r="AH19" s="3">
        <v>1853</v>
      </c>
      <c r="AI19" s="3">
        <v>1136</v>
      </c>
      <c r="AJ19" s="3">
        <v>2015</v>
      </c>
      <c r="AK19" s="3">
        <v>1306</v>
      </c>
      <c r="AL19" s="3">
        <v>741</v>
      </c>
      <c r="AM19" s="3">
        <v>665</v>
      </c>
      <c r="AN19" s="3">
        <v>1111</v>
      </c>
      <c r="AO19" s="3">
        <v>839</v>
      </c>
      <c r="AP19" s="3">
        <v>1375</v>
      </c>
      <c r="AQ19" s="3">
        <v>1288</v>
      </c>
      <c r="AR19" s="3">
        <v>2007</v>
      </c>
      <c r="AS19" s="3">
        <v>1538</v>
      </c>
      <c r="AT19" s="3">
        <v>2226</v>
      </c>
      <c r="AU19" s="3">
        <v>1704</v>
      </c>
      <c r="AV19" s="3">
        <v>2356</v>
      </c>
      <c r="AW19" s="3">
        <v>2211</v>
      </c>
      <c r="AX19" s="3">
        <v>1153</v>
      </c>
      <c r="AY19" s="3">
        <v>1472</v>
      </c>
      <c r="AZ19" s="3">
        <v>1751</v>
      </c>
      <c r="BA19" s="3">
        <v>1997</v>
      </c>
      <c r="BB19" s="3">
        <v>2711</v>
      </c>
      <c r="BC19" s="3">
        <v>2229</v>
      </c>
      <c r="BD19" s="3">
        <v>1743</v>
      </c>
      <c r="BE19" s="3">
        <v>1459</v>
      </c>
      <c r="BF19" s="3">
        <v>2516</v>
      </c>
      <c r="BG19" s="3">
        <v>2038</v>
      </c>
      <c r="BH19" s="3">
        <v>2554</v>
      </c>
      <c r="BI19" s="3">
        <v>2512</v>
      </c>
      <c r="BJ19" s="3">
        <v>1573</v>
      </c>
      <c r="BK19" s="3">
        <v>2010</v>
      </c>
      <c r="BL19" s="3">
        <v>2853</v>
      </c>
      <c r="BM19" s="3">
        <v>2293</v>
      </c>
      <c r="BN19" s="3">
        <v>3870</v>
      </c>
      <c r="BO19" s="3">
        <v>3447</v>
      </c>
      <c r="BP19" s="3">
        <v>2058</v>
      </c>
      <c r="BQ19" s="3">
        <v>1388</v>
      </c>
      <c r="BR19" s="3">
        <v>2715</v>
      </c>
      <c r="BS19" s="3">
        <v>2646</v>
      </c>
      <c r="BT19" s="3">
        <v>3434</v>
      </c>
      <c r="BU19" s="3">
        <v>3032</v>
      </c>
      <c r="BV19" s="3">
        <v>381</v>
      </c>
      <c r="BW19" s="3">
        <v>261</v>
      </c>
      <c r="BX19" s="3">
        <v>413</v>
      </c>
      <c r="BY19" s="3">
        <v>434</v>
      </c>
      <c r="BZ19" s="3">
        <v>596</v>
      </c>
      <c r="CA19" s="3">
        <v>573</v>
      </c>
      <c r="CB19" s="3">
        <v>553</v>
      </c>
      <c r="CC19" s="3">
        <v>682</v>
      </c>
      <c r="CD19" s="3">
        <v>1122</v>
      </c>
      <c r="CE19" s="3">
        <v>1098</v>
      </c>
      <c r="CF19" s="3">
        <v>915</v>
      </c>
      <c r="CG19" s="3">
        <v>1027</v>
      </c>
      <c r="CH19" s="3">
        <v>657</v>
      </c>
      <c r="CI19" s="3">
        <v>576</v>
      </c>
      <c r="CJ19" s="3">
        <v>1137</v>
      </c>
      <c r="CK19" s="3">
        <v>979</v>
      </c>
      <c r="CL19" s="3">
        <v>1120</v>
      </c>
      <c r="CM19" s="3">
        <v>900</v>
      </c>
      <c r="CN19" s="3">
        <v>750</v>
      </c>
      <c r="CO19" s="3">
        <v>785</v>
      </c>
      <c r="CP19" s="3">
        <v>1107</v>
      </c>
      <c r="CQ19" s="3">
        <v>1098</v>
      </c>
      <c r="CR19" s="3">
        <v>1427</v>
      </c>
      <c r="CS19" s="3">
        <v>1140</v>
      </c>
      <c r="CT19" s="3">
        <v>1032</v>
      </c>
      <c r="CU19" s="3">
        <v>838</v>
      </c>
      <c r="CV19" s="3">
        <v>1262</v>
      </c>
      <c r="CW19" s="3">
        <v>1125</v>
      </c>
      <c r="CX19" s="3">
        <v>1323</v>
      </c>
      <c r="CY19" s="3">
        <v>1511</v>
      </c>
      <c r="CZ19" s="3">
        <v>1175</v>
      </c>
      <c r="DA19" s="3">
        <v>865</v>
      </c>
      <c r="DB19" s="3">
        <v>1637</v>
      </c>
      <c r="DC19" s="3">
        <v>1321</v>
      </c>
      <c r="DD19" s="3">
        <v>1754</v>
      </c>
      <c r="DE19" s="3">
        <v>1425</v>
      </c>
      <c r="DF19" s="3">
        <v>700</v>
      </c>
      <c r="DG19" s="3">
        <v>646</v>
      </c>
      <c r="DH19" s="3">
        <v>1000</v>
      </c>
      <c r="DI19" s="3">
        <v>1099</v>
      </c>
      <c r="DJ19" s="3">
        <v>1277</v>
      </c>
      <c r="DK19" s="3">
        <v>1288</v>
      </c>
      <c r="DL19" s="3">
        <v>2037</v>
      </c>
      <c r="DM19" s="3">
        <v>1480</v>
      </c>
      <c r="DN19" s="3">
        <v>1939</v>
      </c>
      <c r="DO19" s="3">
        <v>1766</v>
      </c>
      <c r="DP19" s="3">
        <v>2670</v>
      </c>
      <c r="DQ19" s="3">
        <v>2006</v>
      </c>
      <c r="DR19" s="3">
        <v>1214</v>
      </c>
      <c r="DS19" s="3">
        <v>1150</v>
      </c>
      <c r="DT19" s="3">
        <v>1829</v>
      </c>
      <c r="DU19" s="3">
        <v>2066</v>
      </c>
      <c r="DV19" s="3">
        <v>2250</v>
      </c>
      <c r="DW19" s="3">
        <v>2458</v>
      </c>
      <c r="DX19" s="3">
        <v>1797</v>
      </c>
      <c r="DY19" s="3">
        <v>1635</v>
      </c>
      <c r="DZ19" s="3">
        <v>2282</v>
      </c>
      <c r="EA19" s="3">
        <v>1861</v>
      </c>
      <c r="EB19" s="3">
        <v>2784</v>
      </c>
      <c r="EC19" s="3">
        <v>2485</v>
      </c>
      <c r="ED19" s="3">
        <v>1485</v>
      </c>
      <c r="EE19" s="3">
        <v>1625</v>
      </c>
      <c r="EF19" s="3">
        <v>3002</v>
      </c>
      <c r="EG19" s="3">
        <v>2763</v>
      </c>
      <c r="EH19" s="3">
        <v>3840</v>
      </c>
      <c r="EI19" s="3">
        <v>3745</v>
      </c>
      <c r="EJ19" s="3">
        <v>2228</v>
      </c>
      <c r="EK19" s="3">
        <v>1538</v>
      </c>
      <c r="EL19" s="3">
        <v>3385</v>
      </c>
      <c r="EM19" s="3">
        <v>2615</v>
      </c>
      <c r="EN19" s="3">
        <v>3841</v>
      </c>
      <c r="EO19" s="3">
        <v>3279</v>
      </c>
      <c r="EP19" s="3">
        <v>441</v>
      </c>
      <c r="EQ19" s="3">
        <v>304</v>
      </c>
      <c r="ER19" s="3">
        <v>585</v>
      </c>
      <c r="ES19" s="3">
        <v>471</v>
      </c>
      <c r="ET19" s="3">
        <v>640</v>
      </c>
      <c r="EU19" s="3">
        <v>694</v>
      </c>
      <c r="EV19" s="3">
        <v>784</v>
      </c>
      <c r="EW19" s="3">
        <v>952</v>
      </c>
      <c r="EX19" s="3">
        <v>1171</v>
      </c>
      <c r="EY19" s="3">
        <v>826</v>
      </c>
      <c r="EZ19" s="3">
        <v>1061</v>
      </c>
      <c r="FA19" s="3">
        <v>1256</v>
      </c>
      <c r="FB19" s="3">
        <v>373</v>
      </c>
      <c r="FC19" s="3">
        <v>470</v>
      </c>
      <c r="FD19" s="3">
        <v>773</v>
      </c>
      <c r="FE19" s="3">
        <v>1101</v>
      </c>
      <c r="FF19" s="3">
        <v>1180</v>
      </c>
      <c r="FG19" s="3">
        <v>1100</v>
      </c>
      <c r="FH19" s="3">
        <v>614</v>
      </c>
      <c r="FI19" s="3">
        <v>648</v>
      </c>
      <c r="FJ19" s="3">
        <v>1084</v>
      </c>
      <c r="FK19" s="3">
        <v>921</v>
      </c>
      <c r="FL19" s="3">
        <v>1218</v>
      </c>
      <c r="FM19" s="3">
        <v>1245</v>
      </c>
      <c r="FN19" s="3">
        <v>832</v>
      </c>
      <c r="FO19" s="3">
        <v>563</v>
      </c>
      <c r="FP19" s="3">
        <v>1522</v>
      </c>
      <c r="FQ19" s="3">
        <v>1334</v>
      </c>
      <c r="FR19" s="3">
        <v>1816</v>
      </c>
      <c r="FS19" s="3">
        <v>1559</v>
      </c>
      <c r="FT19" s="3">
        <v>1013</v>
      </c>
      <c r="FU19" s="3">
        <v>805</v>
      </c>
      <c r="FV19" s="3">
        <v>1334</v>
      </c>
      <c r="FW19" s="3">
        <v>1271</v>
      </c>
      <c r="FX19" s="3">
        <v>1621</v>
      </c>
      <c r="FY19" s="3">
        <v>1580</v>
      </c>
      <c r="FZ19" s="3">
        <v>561</v>
      </c>
      <c r="GA19" s="3">
        <v>679</v>
      </c>
      <c r="GB19" s="3">
        <v>1166</v>
      </c>
      <c r="GC19" s="3">
        <v>880</v>
      </c>
      <c r="GD19" s="3">
        <v>1342</v>
      </c>
      <c r="GE19" s="3">
        <v>1316</v>
      </c>
      <c r="GF19" s="3">
        <v>1587</v>
      </c>
      <c r="GG19" s="3">
        <v>1278</v>
      </c>
      <c r="GH19" s="3">
        <v>2105</v>
      </c>
      <c r="GI19" s="3">
        <v>1832</v>
      </c>
      <c r="GJ19" s="3">
        <v>2551</v>
      </c>
      <c r="GK19" s="3">
        <v>2178</v>
      </c>
      <c r="GL19" s="3">
        <v>1202</v>
      </c>
      <c r="GM19" s="3">
        <v>1267</v>
      </c>
      <c r="GN19" s="3">
        <v>2092</v>
      </c>
      <c r="GO19" s="3">
        <v>1972</v>
      </c>
      <c r="GP19" s="3">
        <v>2662</v>
      </c>
      <c r="GQ19" s="3">
        <v>2551</v>
      </c>
      <c r="GR19" s="3">
        <v>1961</v>
      </c>
      <c r="GS19" s="3">
        <v>1570</v>
      </c>
      <c r="GT19" s="3">
        <v>2261</v>
      </c>
      <c r="GU19" s="3">
        <v>2014</v>
      </c>
      <c r="GV19" s="3">
        <v>2924</v>
      </c>
      <c r="GW19" s="3">
        <v>2297</v>
      </c>
      <c r="GX19" s="3">
        <v>1757</v>
      </c>
      <c r="GY19" s="3">
        <v>1741</v>
      </c>
      <c r="GZ19" s="3">
        <v>3097</v>
      </c>
      <c r="HA19" s="3">
        <v>2880</v>
      </c>
      <c r="HB19" s="3">
        <v>3550</v>
      </c>
      <c r="HC19" s="3">
        <v>3864</v>
      </c>
      <c r="HD19" s="3">
        <v>2020</v>
      </c>
      <c r="HE19" s="3">
        <v>1768</v>
      </c>
      <c r="HF19" s="3">
        <v>3143</v>
      </c>
      <c r="HG19" s="3">
        <v>2858</v>
      </c>
      <c r="HH19" s="3">
        <v>3987</v>
      </c>
      <c r="HI19" s="3">
        <v>3404</v>
      </c>
      <c r="HJ19" s="3">
        <v>218</v>
      </c>
      <c r="HK19" s="3">
        <v>341</v>
      </c>
      <c r="HL19" s="3">
        <v>464</v>
      </c>
      <c r="HM19" s="3">
        <v>543</v>
      </c>
      <c r="HN19" s="3">
        <v>671</v>
      </c>
      <c r="HO19" s="3">
        <v>607</v>
      </c>
      <c r="HP19" s="3">
        <v>664</v>
      </c>
      <c r="HQ19" s="3">
        <v>740</v>
      </c>
      <c r="HR19" s="3">
        <v>1154</v>
      </c>
      <c r="HS19" s="3">
        <v>1027</v>
      </c>
      <c r="HT19" s="3">
        <v>1242</v>
      </c>
      <c r="HU19" s="3">
        <v>927</v>
      </c>
      <c r="HV19" s="3">
        <v>726</v>
      </c>
      <c r="HW19" s="3">
        <v>663</v>
      </c>
      <c r="HX19" s="3">
        <v>999</v>
      </c>
      <c r="HY19" s="3">
        <v>853</v>
      </c>
      <c r="HZ19" s="3">
        <v>693</v>
      </c>
      <c r="IA19" s="3">
        <v>1445</v>
      </c>
      <c r="IB19" s="3">
        <v>1183</v>
      </c>
      <c r="IC19" s="3">
        <v>948</v>
      </c>
      <c r="ID19" s="3">
        <v>1276</v>
      </c>
      <c r="IE19" s="3">
        <v>842</v>
      </c>
      <c r="IF19" s="3">
        <v>1396</v>
      </c>
      <c r="IG19" s="3">
        <v>1124</v>
      </c>
      <c r="IH19" s="3">
        <v>945</v>
      </c>
      <c r="II19" s="3">
        <v>886</v>
      </c>
      <c r="IJ19" s="3">
        <v>1278</v>
      </c>
      <c r="IK19" s="3">
        <v>1446</v>
      </c>
      <c r="IL19" s="3">
        <v>1787</v>
      </c>
      <c r="IM19" s="3">
        <v>1920</v>
      </c>
      <c r="IN19" s="3">
        <v>1159</v>
      </c>
      <c r="IO19" s="3">
        <v>932</v>
      </c>
      <c r="IP19" s="3">
        <v>1734</v>
      </c>
      <c r="IQ19" s="3">
        <v>1195</v>
      </c>
      <c r="IR19" s="3">
        <v>1739</v>
      </c>
      <c r="IS19" s="3">
        <v>1675</v>
      </c>
      <c r="IT19" s="3">
        <v>719</v>
      </c>
      <c r="IU19" s="3">
        <v>571</v>
      </c>
      <c r="IV19" s="3">
        <v>891</v>
      </c>
      <c r="IW19" s="3">
        <v>860</v>
      </c>
      <c r="IX19" s="3">
        <v>1258</v>
      </c>
      <c r="IY19" s="3">
        <v>1399</v>
      </c>
      <c r="IZ19" s="3">
        <v>1969</v>
      </c>
      <c r="JA19" s="3">
        <v>1200</v>
      </c>
      <c r="JB19" s="3">
        <v>1995</v>
      </c>
      <c r="JC19" s="3">
        <v>1756</v>
      </c>
      <c r="JD19" s="3">
        <v>2020</v>
      </c>
      <c r="JE19" s="3">
        <v>2029</v>
      </c>
      <c r="JF19" s="3">
        <v>1166</v>
      </c>
      <c r="JG19" s="3">
        <v>1181</v>
      </c>
      <c r="JH19" s="3">
        <v>2235</v>
      </c>
      <c r="JI19" s="3">
        <v>1875</v>
      </c>
      <c r="JJ19" s="3">
        <v>2630</v>
      </c>
      <c r="JK19" s="3">
        <v>2310</v>
      </c>
      <c r="JL19" s="3">
        <v>1849</v>
      </c>
      <c r="JM19" s="3">
        <v>1553</v>
      </c>
      <c r="JN19" s="3">
        <v>2516</v>
      </c>
      <c r="JO19" s="3">
        <v>2001</v>
      </c>
      <c r="JP19" s="3">
        <v>2756</v>
      </c>
      <c r="JQ19" s="3">
        <v>2331</v>
      </c>
      <c r="JR19" s="3">
        <v>1560</v>
      </c>
      <c r="JS19" s="3">
        <v>1591</v>
      </c>
      <c r="JT19" s="3">
        <v>2952</v>
      </c>
      <c r="JU19" s="3">
        <v>3157</v>
      </c>
      <c r="JV19" s="3">
        <v>3928</v>
      </c>
      <c r="JW19" s="3">
        <v>3420</v>
      </c>
      <c r="JX19" s="3">
        <v>1772</v>
      </c>
      <c r="JY19" s="3">
        <v>1553</v>
      </c>
      <c r="JZ19" s="3">
        <v>3042</v>
      </c>
      <c r="KA19" s="3">
        <v>2808</v>
      </c>
      <c r="KB19" s="3">
        <v>3699</v>
      </c>
      <c r="KC19" s="3">
        <v>3295</v>
      </c>
      <c r="KD19" s="3">
        <v>289</v>
      </c>
      <c r="KE19" s="3">
        <v>368</v>
      </c>
      <c r="KF19" s="3">
        <v>485</v>
      </c>
      <c r="KG19" s="3">
        <v>454</v>
      </c>
      <c r="KH19" s="3">
        <v>677</v>
      </c>
      <c r="KI19" s="3">
        <v>621</v>
      </c>
      <c r="KJ19" s="3">
        <v>810</v>
      </c>
      <c r="KK19" s="3">
        <v>862</v>
      </c>
      <c r="KL19" s="3">
        <v>1211</v>
      </c>
      <c r="KM19" s="3">
        <v>1021</v>
      </c>
      <c r="KN19" s="3">
        <v>1112</v>
      </c>
      <c r="KO19" s="3">
        <v>1291</v>
      </c>
      <c r="KP19" s="3">
        <v>440</v>
      </c>
      <c r="KQ19" s="3">
        <v>522</v>
      </c>
      <c r="KR19" s="3">
        <v>786</v>
      </c>
      <c r="KS19" s="3">
        <v>908</v>
      </c>
      <c r="KT19" s="3">
        <v>1192</v>
      </c>
      <c r="KU19" s="3">
        <v>1225</v>
      </c>
      <c r="KV19" s="3">
        <v>1011</v>
      </c>
      <c r="KW19" s="3">
        <v>998</v>
      </c>
      <c r="KX19" s="3">
        <v>1253</v>
      </c>
      <c r="KY19" s="3">
        <v>1049</v>
      </c>
      <c r="KZ19" s="3">
        <v>1394</v>
      </c>
      <c r="LA19" s="3">
        <v>1002</v>
      </c>
      <c r="LB19" s="3">
        <v>850</v>
      </c>
      <c r="LC19" s="3">
        <v>967</v>
      </c>
      <c r="LD19" s="3">
        <v>1534</v>
      </c>
      <c r="LE19" s="3">
        <v>1199</v>
      </c>
      <c r="LF19" s="3">
        <v>1617</v>
      </c>
      <c r="LG19" s="3">
        <v>1499</v>
      </c>
      <c r="LH19" s="3">
        <v>1074</v>
      </c>
      <c r="LI19" s="3">
        <v>848</v>
      </c>
      <c r="LJ19" s="3">
        <v>1340</v>
      </c>
      <c r="LK19" s="3">
        <v>1300</v>
      </c>
      <c r="LL19" s="3">
        <v>1775</v>
      </c>
      <c r="LM19" s="3">
        <v>1752</v>
      </c>
      <c r="LN19" s="3">
        <v>579</v>
      </c>
      <c r="LO19" s="3">
        <v>711</v>
      </c>
      <c r="LP19" s="3">
        <v>1000</v>
      </c>
      <c r="LQ19" s="3">
        <v>981</v>
      </c>
      <c r="LR19" s="3">
        <v>1200</v>
      </c>
      <c r="LS19" s="3">
        <v>1117</v>
      </c>
      <c r="LT19" s="3">
        <v>1422</v>
      </c>
      <c r="LU19" s="3">
        <v>1156</v>
      </c>
      <c r="LV19" s="3">
        <v>2309</v>
      </c>
      <c r="LW19" s="3">
        <v>1946</v>
      </c>
      <c r="LX19" s="3">
        <v>2240</v>
      </c>
      <c r="LY19" s="3">
        <v>2080</v>
      </c>
      <c r="LZ19" s="3">
        <v>1147</v>
      </c>
      <c r="MA19" s="3">
        <v>1552</v>
      </c>
      <c r="MB19" s="3">
        <v>2097</v>
      </c>
      <c r="MC19" s="3">
        <v>2080</v>
      </c>
      <c r="MD19" s="3">
        <v>2167</v>
      </c>
      <c r="ME19" s="3">
        <v>2499</v>
      </c>
      <c r="MF19" s="3">
        <v>1929</v>
      </c>
      <c r="MG19" s="3">
        <v>1385</v>
      </c>
      <c r="MH19" s="3">
        <v>2322</v>
      </c>
      <c r="MI19" s="3">
        <v>2416</v>
      </c>
      <c r="MJ19" s="3">
        <v>2585</v>
      </c>
      <c r="MK19" s="3">
        <v>2637</v>
      </c>
      <c r="ML19" s="3">
        <v>1832</v>
      </c>
      <c r="MM19" s="3">
        <v>2002</v>
      </c>
      <c r="MN19" s="3">
        <v>3021</v>
      </c>
      <c r="MO19" s="3">
        <v>2779</v>
      </c>
      <c r="MP19" s="3">
        <v>3811</v>
      </c>
      <c r="MQ19" s="3">
        <v>4104</v>
      </c>
      <c r="MR19" s="3">
        <v>2069</v>
      </c>
      <c r="MS19" s="3">
        <v>1719</v>
      </c>
      <c r="MT19" s="3">
        <v>2849</v>
      </c>
      <c r="MU19" s="3">
        <v>2740</v>
      </c>
      <c r="MV19" s="3">
        <v>3910</v>
      </c>
      <c r="MW19" s="3">
        <v>3449</v>
      </c>
    </row>
    <row r="20" spans="1:361" x14ac:dyDescent="0.3">
      <c r="A20" s="3">
        <v>9</v>
      </c>
      <c r="B20" s="3">
        <v>440</v>
      </c>
      <c r="C20" s="3">
        <v>283</v>
      </c>
      <c r="D20" s="3">
        <v>473</v>
      </c>
      <c r="E20" s="3">
        <v>466</v>
      </c>
      <c r="F20" s="3">
        <v>591</v>
      </c>
      <c r="G20" s="3">
        <v>534</v>
      </c>
      <c r="H20" s="3">
        <v>1006</v>
      </c>
      <c r="I20" s="3">
        <v>973</v>
      </c>
      <c r="J20" s="3">
        <v>1067</v>
      </c>
      <c r="K20" s="3">
        <v>800</v>
      </c>
      <c r="L20" s="3">
        <v>1429</v>
      </c>
      <c r="M20" s="3">
        <v>900</v>
      </c>
      <c r="N20" s="3">
        <v>553</v>
      </c>
      <c r="O20" s="3">
        <v>487</v>
      </c>
      <c r="P20" s="3">
        <v>1043</v>
      </c>
      <c r="Q20" s="3">
        <v>1014</v>
      </c>
      <c r="R20" s="3">
        <v>1039</v>
      </c>
      <c r="S20" s="3">
        <v>911</v>
      </c>
      <c r="T20" s="3">
        <v>820</v>
      </c>
      <c r="U20" s="3">
        <v>904</v>
      </c>
      <c r="V20" s="3">
        <v>1035</v>
      </c>
      <c r="W20" s="3">
        <v>1110</v>
      </c>
      <c r="X20" s="3">
        <v>1300</v>
      </c>
      <c r="Y20" s="3">
        <v>1000</v>
      </c>
      <c r="Z20" s="3">
        <v>1056</v>
      </c>
      <c r="AA20" s="3">
        <v>913</v>
      </c>
      <c r="AB20" s="3">
        <v>1180</v>
      </c>
      <c r="AC20" s="3">
        <v>1337</v>
      </c>
      <c r="AD20" s="3">
        <v>1845</v>
      </c>
      <c r="AE20" s="3">
        <v>1841</v>
      </c>
      <c r="AF20" s="3">
        <v>1080</v>
      </c>
      <c r="AG20" s="3">
        <v>1123</v>
      </c>
      <c r="AH20" s="3">
        <v>1849</v>
      </c>
      <c r="AI20" s="3">
        <v>1145</v>
      </c>
      <c r="AJ20" s="3">
        <v>2017</v>
      </c>
      <c r="AK20" s="3">
        <v>1311</v>
      </c>
      <c r="AL20" s="3">
        <v>741</v>
      </c>
      <c r="AM20" s="3">
        <v>665</v>
      </c>
      <c r="AN20" s="3">
        <v>1112</v>
      </c>
      <c r="AO20" s="3">
        <v>839</v>
      </c>
      <c r="AP20" s="3">
        <v>1376</v>
      </c>
      <c r="AQ20" s="3">
        <v>1288</v>
      </c>
      <c r="AR20" s="3">
        <v>2007</v>
      </c>
      <c r="AS20" s="3">
        <v>1538</v>
      </c>
      <c r="AT20" s="3">
        <v>2226</v>
      </c>
      <c r="AU20" s="3">
        <v>1704</v>
      </c>
      <c r="AV20" s="3">
        <v>2356</v>
      </c>
      <c r="AW20" s="3">
        <v>2211</v>
      </c>
      <c r="AX20" s="3">
        <v>1153</v>
      </c>
      <c r="AY20" s="3">
        <v>1473</v>
      </c>
      <c r="AZ20" s="3">
        <v>1750</v>
      </c>
      <c r="BA20" s="3">
        <v>1997</v>
      </c>
      <c r="BB20" s="3">
        <v>2713</v>
      </c>
      <c r="BC20" s="3">
        <v>2223</v>
      </c>
      <c r="BD20" s="3">
        <v>1743</v>
      </c>
      <c r="BE20" s="3">
        <v>1459</v>
      </c>
      <c r="BF20" s="3">
        <v>2516</v>
      </c>
      <c r="BG20" s="3">
        <v>2038</v>
      </c>
      <c r="BH20" s="3">
        <v>2571</v>
      </c>
      <c r="BI20" s="3">
        <v>2494</v>
      </c>
      <c r="BJ20" s="3">
        <v>1573</v>
      </c>
      <c r="BK20" s="3">
        <v>1992</v>
      </c>
      <c r="BL20" s="3">
        <v>2853</v>
      </c>
      <c r="BM20" s="3">
        <v>2282</v>
      </c>
      <c r="BN20" s="3">
        <v>3863</v>
      </c>
      <c r="BO20" s="3">
        <v>3469</v>
      </c>
      <c r="BP20" s="3">
        <v>2057</v>
      </c>
      <c r="BQ20" s="3">
        <v>1388</v>
      </c>
      <c r="BR20" s="3">
        <v>2711</v>
      </c>
      <c r="BS20" s="3">
        <v>2652</v>
      </c>
      <c r="BT20" s="3">
        <v>3427</v>
      </c>
      <c r="BU20" s="3">
        <v>3057</v>
      </c>
      <c r="BV20" s="3">
        <v>381</v>
      </c>
      <c r="BW20" s="3">
        <v>261</v>
      </c>
      <c r="BX20" s="3">
        <v>413</v>
      </c>
      <c r="BY20" s="3">
        <v>434</v>
      </c>
      <c r="BZ20" s="3">
        <v>596</v>
      </c>
      <c r="CA20" s="3">
        <v>573</v>
      </c>
      <c r="CB20" s="3">
        <v>553</v>
      </c>
      <c r="CC20" s="3">
        <v>682</v>
      </c>
      <c r="CD20" s="3">
        <v>1122</v>
      </c>
      <c r="CE20" s="3">
        <v>1098</v>
      </c>
      <c r="CF20" s="3">
        <v>915</v>
      </c>
      <c r="CG20" s="3">
        <v>1027</v>
      </c>
      <c r="CH20" s="3">
        <v>656</v>
      </c>
      <c r="CI20" s="3">
        <v>576</v>
      </c>
      <c r="CJ20" s="3">
        <v>1137</v>
      </c>
      <c r="CK20" s="3">
        <v>971</v>
      </c>
      <c r="CL20" s="3">
        <v>1120</v>
      </c>
      <c r="CM20" s="3">
        <v>900</v>
      </c>
      <c r="CN20" s="3">
        <v>750</v>
      </c>
      <c r="CO20" s="3">
        <v>785</v>
      </c>
      <c r="CP20" s="3">
        <v>1108</v>
      </c>
      <c r="CQ20" s="3">
        <v>1098</v>
      </c>
      <c r="CR20" s="3">
        <v>1426</v>
      </c>
      <c r="CS20" s="3">
        <v>1135</v>
      </c>
      <c r="CT20" s="3">
        <v>1032</v>
      </c>
      <c r="CU20" s="3">
        <v>838</v>
      </c>
      <c r="CV20" s="3">
        <v>1262</v>
      </c>
      <c r="CW20" s="3">
        <v>1125</v>
      </c>
      <c r="CX20" s="3">
        <v>1323</v>
      </c>
      <c r="CY20" s="3">
        <v>1511</v>
      </c>
      <c r="CZ20" s="3">
        <v>1175</v>
      </c>
      <c r="DA20" s="3">
        <v>865</v>
      </c>
      <c r="DB20" s="3">
        <v>1638</v>
      </c>
      <c r="DC20" s="3">
        <v>1314</v>
      </c>
      <c r="DD20" s="3">
        <v>1754</v>
      </c>
      <c r="DE20" s="3">
        <v>1435</v>
      </c>
      <c r="DF20" s="3">
        <v>700</v>
      </c>
      <c r="DG20" s="3">
        <v>643</v>
      </c>
      <c r="DH20" s="3">
        <v>1000</v>
      </c>
      <c r="DI20" s="3">
        <v>1087</v>
      </c>
      <c r="DJ20" s="3">
        <v>1277</v>
      </c>
      <c r="DK20" s="3">
        <v>1291</v>
      </c>
      <c r="DL20" s="3">
        <v>2037</v>
      </c>
      <c r="DM20" s="3">
        <v>1480</v>
      </c>
      <c r="DN20" s="3">
        <v>1939</v>
      </c>
      <c r="DO20" s="3">
        <v>1766</v>
      </c>
      <c r="DP20" s="3">
        <v>2670</v>
      </c>
      <c r="DQ20" s="3">
        <v>2006</v>
      </c>
      <c r="DR20" s="3">
        <v>1214</v>
      </c>
      <c r="DS20" s="3">
        <v>1150</v>
      </c>
      <c r="DT20" s="3">
        <v>1832</v>
      </c>
      <c r="DU20" s="3">
        <v>2069</v>
      </c>
      <c r="DV20" s="3">
        <v>2250</v>
      </c>
      <c r="DW20" s="3">
        <v>2458</v>
      </c>
      <c r="DX20" s="3">
        <v>1797</v>
      </c>
      <c r="DY20" s="3">
        <v>1635</v>
      </c>
      <c r="DZ20" s="3">
        <v>2283</v>
      </c>
      <c r="EA20" s="3">
        <v>1857</v>
      </c>
      <c r="EB20" s="3">
        <v>2803</v>
      </c>
      <c r="EC20" s="3">
        <v>2484</v>
      </c>
      <c r="ED20" s="3">
        <v>1488</v>
      </c>
      <c r="EE20" s="3">
        <v>1625</v>
      </c>
      <c r="EF20" s="3">
        <v>3006</v>
      </c>
      <c r="EG20" s="3">
        <v>2771</v>
      </c>
      <c r="EH20" s="3">
        <v>3851</v>
      </c>
      <c r="EI20" s="3">
        <v>3726</v>
      </c>
      <c r="EJ20" s="3">
        <v>2230</v>
      </c>
      <c r="EK20" s="3">
        <v>1519</v>
      </c>
      <c r="EL20" s="3">
        <v>3393</v>
      </c>
      <c r="EM20" s="3">
        <v>2620</v>
      </c>
      <c r="EN20" s="3">
        <v>3833</v>
      </c>
      <c r="EO20" s="3">
        <v>3281</v>
      </c>
      <c r="EP20" s="3">
        <v>441</v>
      </c>
      <c r="EQ20" s="3">
        <v>304</v>
      </c>
      <c r="ER20" s="3">
        <v>585</v>
      </c>
      <c r="ES20" s="3">
        <v>471</v>
      </c>
      <c r="ET20" s="3">
        <v>640</v>
      </c>
      <c r="EU20" s="3">
        <v>699</v>
      </c>
      <c r="EV20" s="3">
        <v>784</v>
      </c>
      <c r="EW20" s="3">
        <v>952</v>
      </c>
      <c r="EX20" s="3">
        <v>1171</v>
      </c>
      <c r="EY20" s="3">
        <v>826</v>
      </c>
      <c r="EZ20" s="3">
        <v>1061</v>
      </c>
      <c r="FA20" s="3">
        <v>1256</v>
      </c>
      <c r="FB20" s="3">
        <v>373</v>
      </c>
      <c r="FC20" s="3">
        <v>470</v>
      </c>
      <c r="FD20" s="3">
        <v>771</v>
      </c>
      <c r="FE20" s="3">
        <v>1101</v>
      </c>
      <c r="FF20" s="3">
        <v>1179</v>
      </c>
      <c r="FG20" s="3">
        <v>1094</v>
      </c>
      <c r="FH20" s="3">
        <v>614</v>
      </c>
      <c r="FI20" s="3">
        <v>648</v>
      </c>
      <c r="FJ20" s="3">
        <v>1084</v>
      </c>
      <c r="FK20" s="3">
        <v>921</v>
      </c>
      <c r="FL20" s="3">
        <v>1220</v>
      </c>
      <c r="FM20" s="3">
        <v>1256</v>
      </c>
      <c r="FN20" s="3">
        <v>832</v>
      </c>
      <c r="FO20" s="3">
        <v>563</v>
      </c>
      <c r="FP20" s="3">
        <v>1522</v>
      </c>
      <c r="FQ20" s="3">
        <v>1327</v>
      </c>
      <c r="FR20" s="3">
        <v>1808</v>
      </c>
      <c r="FS20" s="3">
        <v>1559</v>
      </c>
      <c r="FT20" s="3">
        <v>1012</v>
      </c>
      <c r="FU20" s="3">
        <v>805</v>
      </c>
      <c r="FV20" s="3">
        <v>1329</v>
      </c>
      <c r="FW20" s="3">
        <v>1271</v>
      </c>
      <c r="FX20" s="3">
        <v>1616</v>
      </c>
      <c r="FY20" s="3">
        <v>1561</v>
      </c>
      <c r="FZ20" s="3">
        <v>561</v>
      </c>
      <c r="GA20" s="3">
        <v>679</v>
      </c>
      <c r="GB20" s="3">
        <v>1160</v>
      </c>
      <c r="GC20" s="3">
        <v>879</v>
      </c>
      <c r="GD20" s="3">
        <v>1342</v>
      </c>
      <c r="GE20" s="3">
        <v>1316</v>
      </c>
      <c r="GF20" s="3">
        <v>1587</v>
      </c>
      <c r="GG20" s="3">
        <v>1278</v>
      </c>
      <c r="GH20" s="3">
        <v>2105</v>
      </c>
      <c r="GI20" s="3">
        <v>1832</v>
      </c>
      <c r="GJ20" s="3">
        <v>2551</v>
      </c>
      <c r="GK20" s="3">
        <v>2178</v>
      </c>
      <c r="GL20" s="3">
        <v>1201</v>
      </c>
      <c r="GM20" s="3">
        <v>1267</v>
      </c>
      <c r="GN20" s="3">
        <v>2092</v>
      </c>
      <c r="GO20" s="3">
        <v>1972</v>
      </c>
      <c r="GP20" s="3">
        <v>2662</v>
      </c>
      <c r="GQ20" s="3">
        <v>2551</v>
      </c>
      <c r="GR20" s="3">
        <v>1961</v>
      </c>
      <c r="GS20" s="3">
        <v>1570</v>
      </c>
      <c r="GT20" s="3">
        <v>2258</v>
      </c>
      <c r="GU20" s="3">
        <v>2013</v>
      </c>
      <c r="GV20" s="3">
        <v>2915</v>
      </c>
      <c r="GW20" s="3">
        <v>2269</v>
      </c>
      <c r="GX20" s="3">
        <v>1758</v>
      </c>
      <c r="GY20" s="3">
        <v>1741</v>
      </c>
      <c r="GZ20" s="3">
        <v>3097</v>
      </c>
      <c r="HA20" s="3">
        <v>2874</v>
      </c>
      <c r="HB20" s="3">
        <v>3544</v>
      </c>
      <c r="HC20" s="3">
        <v>3864</v>
      </c>
      <c r="HD20" s="3">
        <v>2023</v>
      </c>
      <c r="HE20" s="3">
        <v>1741</v>
      </c>
      <c r="HF20" s="3">
        <v>3149</v>
      </c>
      <c r="HG20" s="3">
        <v>2877</v>
      </c>
      <c r="HH20" s="3">
        <v>3985</v>
      </c>
      <c r="HI20" s="3">
        <v>3436</v>
      </c>
      <c r="HJ20" s="3">
        <v>218</v>
      </c>
      <c r="HK20" s="3">
        <v>341</v>
      </c>
      <c r="HL20" s="3">
        <v>464</v>
      </c>
      <c r="HM20" s="3">
        <v>545</v>
      </c>
      <c r="HN20" s="3">
        <v>671</v>
      </c>
      <c r="HO20" s="3">
        <v>607</v>
      </c>
      <c r="HP20" s="3">
        <v>664</v>
      </c>
      <c r="HQ20" s="3">
        <v>740</v>
      </c>
      <c r="HR20" s="3">
        <v>1154</v>
      </c>
      <c r="HS20" s="3">
        <v>1027</v>
      </c>
      <c r="HT20" s="3">
        <v>1242</v>
      </c>
      <c r="HU20" s="3">
        <v>927</v>
      </c>
      <c r="HV20" s="3">
        <v>726</v>
      </c>
      <c r="HW20" s="3">
        <v>663</v>
      </c>
      <c r="HX20" s="3">
        <v>999</v>
      </c>
      <c r="HY20" s="3">
        <v>853</v>
      </c>
      <c r="HZ20" s="3">
        <v>696</v>
      </c>
      <c r="IA20" s="3">
        <v>1445</v>
      </c>
      <c r="IB20" s="3">
        <v>1183</v>
      </c>
      <c r="IC20" s="3">
        <v>948</v>
      </c>
      <c r="ID20" s="3">
        <v>1276</v>
      </c>
      <c r="IE20" s="3">
        <v>847</v>
      </c>
      <c r="IF20" s="3">
        <v>1393</v>
      </c>
      <c r="IG20" s="3">
        <v>1128</v>
      </c>
      <c r="IH20" s="3">
        <v>945</v>
      </c>
      <c r="II20" s="3">
        <v>886</v>
      </c>
      <c r="IJ20" s="3">
        <v>1278</v>
      </c>
      <c r="IK20" s="3">
        <v>1453</v>
      </c>
      <c r="IL20" s="3">
        <v>1787</v>
      </c>
      <c r="IM20" s="3">
        <v>1920</v>
      </c>
      <c r="IN20" s="3">
        <v>1159</v>
      </c>
      <c r="IO20" s="3">
        <v>932</v>
      </c>
      <c r="IP20" s="3">
        <v>1727</v>
      </c>
      <c r="IQ20" s="3">
        <v>1235</v>
      </c>
      <c r="IR20" s="3">
        <v>1741</v>
      </c>
      <c r="IS20" s="3">
        <v>1697</v>
      </c>
      <c r="IT20" s="3">
        <v>719</v>
      </c>
      <c r="IU20" s="3">
        <v>571</v>
      </c>
      <c r="IV20" s="3">
        <v>890</v>
      </c>
      <c r="IW20" s="3">
        <v>860</v>
      </c>
      <c r="IX20" s="3">
        <v>1256</v>
      </c>
      <c r="IY20" s="3">
        <v>1399</v>
      </c>
      <c r="IZ20" s="3">
        <v>1969</v>
      </c>
      <c r="JA20" s="3">
        <v>1200</v>
      </c>
      <c r="JB20" s="3">
        <v>1995</v>
      </c>
      <c r="JC20" s="3">
        <v>1756</v>
      </c>
      <c r="JD20" s="3">
        <v>2020</v>
      </c>
      <c r="JE20" s="3">
        <v>2029</v>
      </c>
      <c r="JF20" s="3">
        <v>1164</v>
      </c>
      <c r="JG20" s="3">
        <v>1181</v>
      </c>
      <c r="JH20" s="3">
        <v>2235</v>
      </c>
      <c r="JI20" s="3">
        <v>1875</v>
      </c>
      <c r="JJ20" s="3">
        <v>2630</v>
      </c>
      <c r="JK20" s="3">
        <v>2293</v>
      </c>
      <c r="JL20" s="3">
        <v>1849</v>
      </c>
      <c r="JM20" s="3">
        <v>1553</v>
      </c>
      <c r="JN20" s="3">
        <v>2520</v>
      </c>
      <c r="JO20" s="3">
        <v>2016</v>
      </c>
      <c r="JP20" s="3">
        <v>2778</v>
      </c>
      <c r="JQ20" s="3">
        <v>2340</v>
      </c>
      <c r="JR20" s="3">
        <v>1560</v>
      </c>
      <c r="JS20" s="3">
        <v>1585</v>
      </c>
      <c r="JT20" s="3">
        <v>2950</v>
      </c>
      <c r="JU20" s="3">
        <v>3157</v>
      </c>
      <c r="JV20" s="3">
        <v>3943</v>
      </c>
      <c r="JW20" s="3">
        <v>3420</v>
      </c>
      <c r="JX20" s="3">
        <v>1768</v>
      </c>
      <c r="JY20" s="3">
        <v>1560</v>
      </c>
      <c r="JZ20" s="3">
        <v>3032</v>
      </c>
      <c r="KA20" s="3">
        <v>2821</v>
      </c>
      <c r="KB20" s="3">
        <v>3709</v>
      </c>
      <c r="KC20" s="3">
        <v>3250</v>
      </c>
      <c r="KD20" s="3">
        <v>289</v>
      </c>
      <c r="KE20" s="3">
        <v>368</v>
      </c>
      <c r="KF20" s="3">
        <v>485</v>
      </c>
      <c r="KG20" s="3">
        <v>459</v>
      </c>
      <c r="KH20" s="3">
        <v>676</v>
      </c>
      <c r="KI20" s="3">
        <v>617</v>
      </c>
      <c r="KJ20" s="3">
        <v>810</v>
      </c>
      <c r="KK20" s="3">
        <v>862</v>
      </c>
      <c r="KL20" s="3">
        <v>1211</v>
      </c>
      <c r="KM20" s="3">
        <v>1021</v>
      </c>
      <c r="KN20" s="3">
        <v>1112</v>
      </c>
      <c r="KO20" s="3">
        <v>1291</v>
      </c>
      <c r="KP20" s="3">
        <v>440</v>
      </c>
      <c r="KQ20" s="3">
        <v>522</v>
      </c>
      <c r="KR20" s="3">
        <v>786</v>
      </c>
      <c r="KS20" s="3">
        <v>908</v>
      </c>
      <c r="KT20" s="3">
        <v>1192</v>
      </c>
      <c r="KU20" s="3">
        <v>1225</v>
      </c>
      <c r="KV20" s="3">
        <v>1011</v>
      </c>
      <c r="KW20" s="3">
        <v>998</v>
      </c>
      <c r="KX20" s="3">
        <v>1253</v>
      </c>
      <c r="KY20" s="3">
        <v>1049</v>
      </c>
      <c r="KZ20" s="3">
        <v>1392</v>
      </c>
      <c r="LA20" s="3">
        <v>1009</v>
      </c>
      <c r="LB20" s="3">
        <v>850</v>
      </c>
      <c r="LC20" s="3">
        <v>967</v>
      </c>
      <c r="LD20" s="3">
        <v>1535</v>
      </c>
      <c r="LE20" s="3">
        <v>1192</v>
      </c>
      <c r="LF20" s="3">
        <v>1617</v>
      </c>
      <c r="LG20" s="3">
        <v>1499</v>
      </c>
      <c r="LH20" s="3">
        <v>1074</v>
      </c>
      <c r="LI20" s="3">
        <v>848</v>
      </c>
      <c r="LJ20" s="3">
        <v>1342</v>
      </c>
      <c r="LK20" s="3">
        <v>1285</v>
      </c>
      <c r="LL20" s="3">
        <v>1775</v>
      </c>
      <c r="LM20" s="3">
        <v>1757</v>
      </c>
      <c r="LN20" s="3">
        <v>579</v>
      </c>
      <c r="LO20" s="3">
        <v>711</v>
      </c>
      <c r="LP20" s="3">
        <v>1005</v>
      </c>
      <c r="LQ20" s="3">
        <v>977</v>
      </c>
      <c r="LR20" s="3">
        <v>1200</v>
      </c>
      <c r="LS20" s="3">
        <v>1104</v>
      </c>
      <c r="LT20" s="3">
        <v>1422</v>
      </c>
      <c r="LU20" s="3">
        <v>1156</v>
      </c>
      <c r="LV20" s="3">
        <v>2309</v>
      </c>
      <c r="LW20" s="3">
        <v>1946</v>
      </c>
      <c r="LX20" s="3">
        <v>2240</v>
      </c>
      <c r="LY20" s="3">
        <v>2080</v>
      </c>
      <c r="LZ20" s="3">
        <v>1147</v>
      </c>
      <c r="MA20" s="3">
        <v>1552</v>
      </c>
      <c r="MB20" s="3">
        <v>2096</v>
      </c>
      <c r="MC20" s="3">
        <v>2080</v>
      </c>
      <c r="MD20" s="3">
        <v>2160</v>
      </c>
      <c r="ME20" s="3">
        <v>2499</v>
      </c>
      <c r="MF20" s="3">
        <v>1929</v>
      </c>
      <c r="MG20" s="3">
        <v>1385</v>
      </c>
      <c r="MH20" s="3">
        <v>2325</v>
      </c>
      <c r="MI20" s="3">
        <v>2416</v>
      </c>
      <c r="MJ20" s="3">
        <v>2584</v>
      </c>
      <c r="MK20" s="3">
        <v>2630</v>
      </c>
      <c r="ML20" s="3">
        <v>1828</v>
      </c>
      <c r="MM20" s="3">
        <v>2002</v>
      </c>
      <c r="MN20" s="3">
        <v>3025</v>
      </c>
      <c r="MO20" s="3">
        <v>2780</v>
      </c>
      <c r="MP20" s="3">
        <v>3811</v>
      </c>
      <c r="MQ20" s="3">
        <v>4104</v>
      </c>
      <c r="MR20" s="3">
        <v>2068</v>
      </c>
      <c r="MS20" s="3">
        <v>1719</v>
      </c>
      <c r="MT20" s="3">
        <v>2844</v>
      </c>
      <c r="MU20" s="3">
        <v>2753</v>
      </c>
      <c r="MV20" s="3">
        <v>3900</v>
      </c>
      <c r="MW20" s="3">
        <v>3449</v>
      </c>
    </row>
    <row r="21" spans="1:361" x14ac:dyDescent="0.3">
      <c r="A21" s="3">
        <v>10</v>
      </c>
      <c r="B21" s="3">
        <v>440</v>
      </c>
      <c r="C21" s="3">
        <v>283</v>
      </c>
      <c r="D21" s="3">
        <v>473</v>
      </c>
      <c r="E21" s="3">
        <v>466</v>
      </c>
      <c r="F21" s="3">
        <v>591</v>
      </c>
      <c r="G21" s="3">
        <v>534</v>
      </c>
      <c r="H21" s="3">
        <v>1006</v>
      </c>
      <c r="I21" s="3">
        <v>973</v>
      </c>
      <c r="J21" s="3">
        <v>1067</v>
      </c>
      <c r="K21" s="3">
        <v>800</v>
      </c>
      <c r="L21" s="3">
        <v>1429</v>
      </c>
      <c r="M21" s="3">
        <v>900</v>
      </c>
      <c r="N21" s="3">
        <v>553</v>
      </c>
      <c r="O21" s="3">
        <v>487</v>
      </c>
      <c r="P21" s="3">
        <v>1043</v>
      </c>
      <c r="Q21" s="3">
        <v>1014</v>
      </c>
      <c r="R21" s="3">
        <v>1040</v>
      </c>
      <c r="S21" s="3">
        <v>911</v>
      </c>
      <c r="T21" s="3">
        <v>820</v>
      </c>
      <c r="U21" s="3">
        <v>904</v>
      </c>
      <c r="V21" s="3">
        <v>1035</v>
      </c>
      <c r="W21" s="3">
        <v>1110</v>
      </c>
      <c r="X21" s="3">
        <v>1298</v>
      </c>
      <c r="Y21" s="3">
        <v>1001</v>
      </c>
      <c r="Z21" s="3">
        <v>1056</v>
      </c>
      <c r="AA21" s="3">
        <v>913</v>
      </c>
      <c r="AB21" s="3">
        <v>1178</v>
      </c>
      <c r="AC21" s="3">
        <v>1346</v>
      </c>
      <c r="AD21" s="3">
        <v>1840</v>
      </c>
      <c r="AE21" s="3">
        <v>1841</v>
      </c>
      <c r="AF21" s="3">
        <v>1080</v>
      </c>
      <c r="AG21" s="3">
        <v>1123</v>
      </c>
      <c r="AH21" s="3">
        <v>1850</v>
      </c>
      <c r="AI21" s="3">
        <v>1126</v>
      </c>
      <c r="AJ21" s="3">
        <v>2016</v>
      </c>
      <c r="AK21" s="3">
        <v>1308</v>
      </c>
      <c r="AL21" s="3">
        <v>741</v>
      </c>
      <c r="AM21" s="3">
        <v>665</v>
      </c>
      <c r="AN21" s="3">
        <v>1108</v>
      </c>
      <c r="AO21" s="3">
        <v>839</v>
      </c>
      <c r="AP21" s="3">
        <v>1371</v>
      </c>
      <c r="AQ21" s="3">
        <v>1288</v>
      </c>
      <c r="AR21" s="3">
        <v>2007</v>
      </c>
      <c r="AS21" s="3">
        <v>1538</v>
      </c>
      <c r="AT21" s="3">
        <v>2226</v>
      </c>
      <c r="AU21" s="3">
        <v>1704</v>
      </c>
      <c r="AV21" s="3">
        <v>2356</v>
      </c>
      <c r="AW21" s="3">
        <v>2211</v>
      </c>
      <c r="AX21" s="3">
        <v>1153</v>
      </c>
      <c r="AY21" s="3">
        <v>1470</v>
      </c>
      <c r="AZ21" s="3">
        <v>1752</v>
      </c>
      <c r="BA21" s="3">
        <v>1997</v>
      </c>
      <c r="BB21" s="3">
        <v>2703</v>
      </c>
      <c r="BC21" s="3">
        <v>2230</v>
      </c>
      <c r="BD21" s="3">
        <v>1743</v>
      </c>
      <c r="BE21" s="3">
        <v>1459</v>
      </c>
      <c r="BF21" s="3">
        <v>2516</v>
      </c>
      <c r="BG21" s="3">
        <v>2038</v>
      </c>
      <c r="BH21" s="3">
        <v>2578</v>
      </c>
      <c r="BI21" s="3">
        <v>2492</v>
      </c>
      <c r="BJ21" s="3">
        <v>1573</v>
      </c>
      <c r="BK21" s="3">
        <v>1984</v>
      </c>
      <c r="BL21" s="3">
        <v>2853</v>
      </c>
      <c r="BM21" s="3">
        <v>2280</v>
      </c>
      <c r="BN21" s="3">
        <v>3867</v>
      </c>
      <c r="BO21" s="3">
        <v>3470</v>
      </c>
      <c r="BP21" s="3">
        <v>2059</v>
      </c>
      <c r="BQ21" s="3">
        <v>1388</v>
      </c>
      <c r="BR21" s="3">
        <v>2719</v>
      </c>
      <c r="BS21" s="3">
        <v>2677</v>
      </c>
      <c r="BT21" s="3">
        <v>3439</v>
      </c>
      <c r="BU21" s="3">
        <v>3055</v>
      </c>
      <c r="BV21" s="3">
        <v>381</v>
      </c>
      <c r="BW21" s="3">
        <v>261</v>
      </c>
      <c r="BX21" s="3">
        <v>413</v>
      </c>
      <c r="BY21" s="3">
        <v>434</v>
      </c>
      <c r="BZ21" s="3">
        <v>597</v>
      </c>
      <c r="CA21" s="3">
        <v>573</v>
      </c>
      <c r="CB21" s="3">
        <v>553</v>
      </c>
      <c r="CC21" s="3">
        <v>682</v>
      </c>
      <c r="CD21" s="3">
        <v>1122</v>
      </c>
      <c r="CE21" s="3">
        <v>1098</v>
      </c>
      <c r="CF21" s="3">
        <v>915</v>
      </c>
      <c r="CG21" s="3">
        <v>1027</v>
      </c>
      <c r="CH21" s="3">
        <v>657</v>
      </c>
      <c r="CI21" s="3">
        <v>576</v>
      </c>
      <c r="CJ21" s="3">
        <v>1137</v>
      </c>
      <c r="CK21" s="3">
        <v>971</v>
      </c>
      <c r="CL21" s="3">
        <v>1120</v>
      </c>
      <c r="CM21" s="3">
        <v>900</v>
      </c>
      <c r="CN21" s="3">
        <v>750</v>
      </c>
      <c r="CO21" s="3">
        <v>785</v>
      </c>
      <c r="CP21" s="3">
        <v>1107</v>
      </c>
      <c r="CQ21" s="3">
        <v>1098</v>
      </c>
      <c r="CR21" s="3">
        <v>1427</v>
      </c>
      <c r="CS21" s="3">
        <v>1129</v>
      </c>
      <c r="CT21" s="3">
        <v>1032</v>
      </c>
      <c r="CU21" s="3">
        <v>838</v>
      </c>
      <c r="CV21" s="3">
        <v>1262</v>
      </c>
      <c r="CW21" s="3">
        <v>1125</v>
      </c>
      <c r="CX21" s="3">
        <v>1323</v>
      </c>
      <c r="CY21" s="3">
        <v>1511</v>
      </c>
      <c r="CZ21" s="3">
        <v>1175</v>
      </c>
      <c r="DA21" s="3">
        <v>865</v>
      </c>
      <c r="DB21" s="3">
        <v>1638</v>
      </c>
      <c r="DC21" s="3">
        <v>1331</v>
      </c>
      <c r="DD21" s="3">
        <v>1755</v>
      </c>
      <c r="DE21" s="3">
        <v>1419</v>
      </c>
      <c r="DF21" s="3">
        <v>700</v>
      </c>
      <c r="DG21" s="3">
        <v>646</v>
      </c>
      <c r="DH21" s="3">
        <v>1000</v>
      </c>
      <c r="DI21" s="3">
        <v>1092</v>
      </c>
      <c r="DJ21" s="3">
        <v>1277</v>
      </c>
      <c r="DK21" s="3">
        <v>1294</v>
      </c>
      <c r="DL21" s="3">
        <v>2037</v>
      </c>
      <c r="DM21" s="3">
        <v>1480</v>
      </c>
      <c r="DN21" s="3">
        <v>1939</v>
      </c>
      <c r="DO21" s="3">
        <v>1766</v>
      </c>
      <c r="DP21" s="3">
        <v>2670</v>
      </c>
      <c r="DQ21" s="3">
        <v>2006</v>
      </c>
      <c r="DR21" s="3">
        <v>1214</v>
      </c>
      <c r="DS21" s="3">
        <v>1150</v>
      </c>
      <c r="DT21" s="3">
        <v>1832</v>
      </c>
      <c r="DU21" s="3">
        <v>2070</v>
      </c>
      <c r="DV21" s="3">
        <v>2250</v>
      </c>
      <c r="DW21" s="3">
        <v>2458</v>
      </c>
      <c r="DX21" s="3">
        <v>1797</v>
      </c>
      <c r="DY21" s="3">
        <v>1635</v>
      </c>
      <c r="DZ21" s="3">
        <v>2280</v>
      </c>
      <c r="EA21" s="3">
        <v>1859</v>
      </c>
      <c r="EB21" s="3">
        <v>2792</v>
      </c>
      <c r="EC21" s="3">
        <v>2493</v>
      </c>
      <c r="ED21" s="3">
        <v>1484</v>
      </c>
      <c r="EE21" s="3">
        <v>1625</v>
      </c>
      <c r="EF21" s="3">
        <v>2997</v>
      </c>
      <c r="EG21" s="3">
        <v>2780</v>
      </c>
      <c r="EH21" s="3">
        <v>3855</v>
      </c>
      <c r="EI21" s="3">
        <v>3750</v>
      </c>
      <c r="EJ21" s="3">
        <v>2221</v>
      </c>
      <c r="EK21" s="3">
        <v>1530</v>
      </c>
      <c r="EL21" s="3">
        <v>3384</v>
      </c>
      <c r="EM21" s="3">
        <v>2618</v>
      </c>
      <c r="EN21" s="3">
        <v>3833</v>
      </c>
      <c r="EO21" s="3">
        <v>3286</v>
      </c>
      <c r="EP21" s="3">
        <v>441</v>
      </c>
      <c r="EQ21" s="3">
        <v>304</v>
      </c>
      <c r="ER21" s="3">
        <v>585</v>
      </c>
      <c r="ES21" s="3">
        <v>471</v>
      </c>
      <c r="ET21" s="3">
        <v>640</v>
      </c>
      <c r="EU21" s="3">
        <v>694</v>
      </c>
      <c r="EV21" s="3">
        <v>784</v>
      </c>
      <c r="EW21" s="3">
        <v>952</v>
      </c>
      <c r="EX21" s="3">
        <v>1171</v>
      </c>
      <c r="EY21" s="3">
        <v>826</v>
      </c>
      <c r="EZ21" s="3">
        <v>1061</v>
      </c>
      <c r="FA21" s="3">
        <v>1256</v>
      </c>
      <c r="FB21" s="3">
        <v>373</v>
      </c>
      <c r="FC21" s="3">
        <v>470</v>
      </c>
      <c r="FD21" s="3">
        <v>772</v>
      </c>
      <c r="FE21" s="3">
        <v>1101</v>
      </c>
      <c r="FF21" s="3">
        <v>1179</v>
      </c>
      <c r="FG21" s="3">
        <v>1100</v>
      </c>
      <c r="FH21" s="3">
        <v>614</v>
      </c>
      <c r="FI21" s="3">
        <v>648</v>
      </c>
      <c r="FJ21" s="3">
        <v>1084</v>
      </c>
      <c r="FK21" s="3">
        <v>921</v>
      </c>
      <c r="FL21" s="3">
        <v>1219</v>
      </c>
      <c r="FM21" s="3">
        <v>1243</v>
      </c>
      <c r="FN21" s="3">
        <v>832</v>
      </c>
      <c r="FO21" s="3">
        <v>563</v>
      </c>
      <c r="FP21" s="3">
        <v>1522</v>
      </c>
      <c r="FQ21" s="3">
        <v>1334</v>
      </c>
      <c r="FR21" s="3">
        <v>1807</v>
      </c>
      <c r="FS21" s="3">
        <v>1559</v>
      </c>
      <c r="FT21" s="3">
        <v>1009</v>
      </c>
      <c r="FU21" s="3">
        <v>805</v>
      </c>
      <c r="FV21" s="3">
        <v>1331</v>
      </c>
      <c r="FW21" s="3">
        <v>1273</v>
      </c>
      <c r="FX21" s="3">
        <v>1618</v>
      </c>
      <c r="FY21" s="3">
        <v>1567</v>
      </c>
      <c r="FZ21" s="3">
        <v>561</v>
      </c>
      <c r="GA21" s="3">
        <v>679</v>
      </c>
      <c r="GB21" s="3">
        <v>1163</v>
      </c>
      <c r="GC21" s="3">
        <v>872</v>
      </c>
      <c r="GD21" s="3">
        <v>1342</v>
      </c>
      <c r="GE21" s="3">
        <v>1316</v>
      </c>
      <c r="GF21" s="3">
        <v>1587</v>
      </c>
      <c r="GG21" s="3">
        <v>1278</v>
      </c>
      <c r="GH21" s="3">
        <v>2105</v>
      </c>
      <c r="GI21" s="3">
        <v>1832</v>
      </c>
      <c r="GJ21" s="3">
        <v>2551</v>
      </c>
      <c r="GK21" s="3">
        <v>2178</v>
      </c>
      <c r="GL21" s="3">
        <v>1201</v>
      </c>
      <c r="GM21" s="3">
        <v>1271</v>
      </c>
      <c r="GN21" s="3">
        <v>2092</v>
      </c>
      <c r="GO21" s="3">
        <v>1980</v>
      </c>
      <c r="GP21" s="3">
        <v>2662</v>
      </c>
      <c r="GQ21" s="3">
        <v>2551</v>
      </c>
      <c r="GR21" s="3">
        <v>1961</v>
      </c>
      <c r="GS21" s="3">
        <v>1570</v>
      </c>
      <c r="GT21" s="3">
        <v>2263</v>
      </c>
      <c r="GU21" s="3">
        <v>2013</v>
      </c>
      <c r="GV21" s="3">
        <v>2916</v>
      </c>
      <c r="GW21" s="3">
        <v>2289</v>
      </c>
      <c r="GX21" s="3">
        <v>1753</v>
      </c>
      <c r="GY21" s="3">
        <v>1741</v>
      </c>
      <c r="GZ21" s="3">
        <v>3097</v>
      </c>
      <c r="HA21" s="3">
        <v>2878</v>
      </c>
      <c r="HB21" s="3">
        <v>3553</v>
      </c>
      <c r="HC21" s="3">
        <v>3864</v>
      </c>
      <c r="HD21" s="3">
        <v>2021</v>
      </c>
      <c r="HE21" s="3">
        <v>1756</v>
      </c>
      <c r="HF21" s="3">
        <v>3150</v>
      </c>
      <c r="HG21" s="3">
        <v>2869</v>
      </c>
      <c r="HH21" s="3">
        <v>3985</v>
      </c>
      <c r="HI21" s="3">
        <v>3417</v>
      </c>
      <c r="HJ21" s="3">
        <v>218</v>
      </c>
      <c r="HK21" s="3">
        <v>341</v>
      </c>
      <c r="HL21" s="3">
        <v>464</v>
      </c>
      <c r="HM21" s="3">
        <v>543</v>
      </c>
      <c r="HN21" s="3">
        <v>671</v>
      </c>
      <c r="HO21" s="3">
        <v>607</v>
      </c>
      <c r="HP21" s="3">
        <v>664</v>
      </c>
      <c r="HQ21" s="3">
        <v>740</v>
      </c>
      <c r="HR21" s="3">
        <v>1154</v>
      </c>
      <c r="HS21" s="3">
        <v>1027</v>
      </c>
      <c r="HT21" s="3">
        <v>1242</v>
      </c>
      <c r="HU21" s="3">
        <v>927</v>
      </c>
      <c r="HV21" s="3">
        <v>726</v>
      </c>
      <c r="HW21" s="3">
        <v>663</v>
      </c>
      <c r="HX21" s="3">
        <v>999</v>
      </c>
      <c r="HY21" s="3">
        <v>853</v>
      </c>
      <c r="HZ21" s="3">
        <v>694</v>
      </c>
      <c r="IA21" s="3">
        <v>1445</v>
      </c>
      <c r="IB21" s="3">
        <v>1183</v>
      </c>
      <c r="IC21" s="3">
        <v>948</v>
      </c>
      <c r="ID21" s="3">
        <v>1276</v>
      </c>
      <c r="IE21" s="3">
        <v>850</v>
      </c>
      <c r="IF21" s="3">
        <v>1393</v>
      </c>
      <c r="IG21" s="3">
        <v>1131</v>
      </c>
      <c r="IH21" s="3">
        <v>945</v>
      </c>
      <c r="II21" s="3">
        <v>886</v>
      </c>
      <c r="IJ21" s="3">
        <v>1278</v>
      </c>
      <c r="IK21" s="3">
        <v>1443</v>
      </c>
      <c r="IL21" s="3">
        <v>1787</v>
      </c>
      <c r="IM21" s="3">
        <v>1920</v>
      </c>
      <c r="IN21" s="3">
        <v>1159</v>
      </c>
      <c r="IO21" s="3">
        <v>932</v>
      </c>
      <c r="IP21" s="3">
        <v>1732</v>
      </c>
      <c r="IQ21" s="3">
        <v>1244</v>
      </c>
      <c r="IR21" s="3">
        <v>1742</v>
      </c>
      <c r="IS21" s="3">
        <v>1685</v>
      </c>
      <c r="IT21" s="3">
        <v>719</v>
      </c>
      <c r="IU21" s="3">
        <v>571</v>
      </c>
      <c r="IV21" s="3">
        <v>892</v>
      </c>
      <c r="IW21" s="3">
        <v>860</v>
      </c>
      <c r="IX21" s="3">
        <v>1256</v>
      </c>
      <c r="IY21" s="3">
        <v>1399</v>
      </c>
      <c r="IZ21" s="3">
        <v>1969</v>
      </c>
      <c r="JA21" s="3">
        <v>1200</v>
      </c>
      <c r="JB21" s="3">
        <v>1995</v>
      </c>
      <c r="JC21" s="3">
        <v>1756</v>
      </c>
      <c r="JD21" s="3">
        <v>2019</v>
      </c>
      <c r="JE21" s="3">
        <v>2029</v>
      </c>
      <c r="JF21" s="3">
        <v>1166</v>
      </c>
      <c r="JG21" s="3">
        <v>1181</v>
      </c>
      <c r="JH21" s="3">
        <v>2235</v>
      </c>
      <c r="JI21" s="3">
        <v>1875</v>
      </c>
      <c r="JJ21" s="3">
        <v>2630</v>
      </c>
      <c r="JK21" s="3">
        <v>2303</v>
      </c>
      <c r="JL21" s="3">
        <v>1849</v>
      </c>
      <c r="JM21" s="3">
        <v>1553</v>
      </c>
      <c r="JN21" s="3">
        <v>2518</v>
      </c>
      <c r="JO21" s="3">
        <v>1996</v>
      </c>
      <c r="JP21" s="3">
        <v>2770</v>
      </c>
      <c r="JQ21" s="3">
        <v>2340</v>
      </c>
      <c r="JR21" s="3">
        <v>1560</v>
      </c>
      <c r="JS21" s="3">
        <v>1591</v>
      </c>
      <c r="JT21" s="3">
        <v>2954</v>
      </c>
      <c r="JU21" s="3">
        <v>3157</v>
      </c>
      <c r="JV21" s="3">
        <v>3924</v>
      </c>
      <c r="JW21" s="3">
        <v>3420</v>
      </c>
      <c r="JX21" s="3">
        <v>1770</v>
      </c>
      <c r="JY21" s="3">
        <v>1539</v>
      </c>
      <c r="JZ21" s="3">
        <v>3033</v>
      </c>
      <c r="KA21" s="3">
        <v>2794</v>
      </c>
      <c r="KB21" s="3">
        <v>3701</v>
      </c>
      <c r="KC21" s="3">
        <v>3257</v>
      </c>
      <c r="KD21" s="3">
        <v>289</v>
      </c>
      <c r="KE21" s="3">
        <v>368</v>
      </c>
      <c r="KF21" s="3">
        <v>485</v>
      </c>
      <c r="KG21" s="3">
        <v>453</v>
      </c>
      <c r="KH21" s="3">
        <v>676</v>
      </c>
      <c r="KI21" s="3">
        <v>626</v>
      </c>
      <c r="KJ21" s="3">
        <v>810</v>
      </c>
      <c r="KK21" s="3">
        <v>862</v>
      </c>
      <c r="KL21" s="3">
        <v>1211</v>
      </c>
      <c r="KM21" s="3">
        <v>1021</v>
      </c>
      <c r="KN21" s="3">
        <v>1112</v>
      </c>
      <c r="KO21" s="3">
        <v>1291</v>
      </c>
      <c r="KP21" s="3">
        <v>440</v>
      </c>
      <c r="KQ21" s="3">
        <v>522</v>
      </c>
      <c r="KR21" s="3">
        <v>786</v>
      </c>
      <c r="KS21" s="3">
        <v>908</v>
      </c>
      <c r="KT21" s="3">
        <v>1192</v>
      </c>
      <c r="KU21" s="3">
        <v>1225</v>
      </c>
      <c r="KV21" s="3">
        <v>1011</v>
      </c>
      <c r="KW21" s="3">
        <v>998</v>
      </c>
      <c r="KX21" s="3">
        <v>1253</v>
      </c>
      <c r="KY21" s="3">
        <v>1049</v>
      </c>
      <c r="KZ21" s="3">
        <v>1395</v>
      </c>
      <c r="LA21" s="3">
        <v>995</v>
      </c>
      <c r="LB21" s="3">
        <v>850</v>
      </c>
      <c r="LC21" s="3">
        <v>967</v>
      </c>
      <c r="LD21" s="3">
        <v>1533</v>
      </c>
      <c r="LE21" s="3">
        <v>1195</v>
      </c>
      <c r="LF21" s="3">
        <v>1617</v>
      </c>
      <c r="LG21" s="3">
        <v>1499</v>
      </c>
      <c r="LH21" s="3">
        <v>1074</v>
      </c>
      <c r="LI21" s="3">
        <v>848</v>
      </c>
      <c r="LJ21" s="3">
        <v>1340</v>
      </c>
      <c r="LK21" s="3">
        <v>1285</v>
      </c>
      <c r="LL21" s="3">
        <v>1774</v>
      </c>
      <c r="LM21" s="3">
        <v>1766</v>
      </c>
      <c r="LN21" s="3">
        <v>579</v>
      </c>
      <c r="LO21" s="3">
        <v>711</v>
      </c>
      <c r="LP21" s="3">
        <v>1005</v>
      </c>
      <c r="LQ21" s="3">
        <v>981</v>
      </c>
      <c r="LR21" s="3">
        <v>1200</v>
      </c>
      <c r="LS21" s="3">
        <v>1118</v>
      </c>
      <c r="LT21" s="3">
        <v>1422</v>
      </c>
      <c r="LU21" s="3">
        <v>1156</v>
      </c>
      <c r="LV21" s="3">
        <v>2309</v>
      </c>
      <c r="LW21" s="3">
        <v>1946</v>
      </c>
      <c r="LX21" s="3">
        <v>2240</v>
      </c>
      <c r="LY21" s="3">
        <v>2080</v>
      </c>
      <c r="LZ21" s="3">
        <v>1146</v>
      </c>
      <c r="MA21" s="3">
        <v>1552</v>
      </c>
      <c r="MB21" s="3">
        <v>2096</v>
      </c>
      <c r="MC21" s="3">
        <v>2080</v>
      </c>
      <c r="MD21" s="3">
        <v>2164</v>
      </c>
      <c r="ME21" s="3">
        <v>2499</v>
      </c>
      <c r="MF21" s="3">
        <v>1929</v>
      </c>
      <c r="MG21" s="3">
        <v>1385</v>
      </c>
      <c r="MH21" s="3">
        <v>2324</v>
      </c>
      <c r="MI21" s="3">
        <v>2416</v>
      </c>
      <c r="MJ21" s="3">
        <v>2582</v>
      </c>
      <c r="MK21" s="3">
        <v>2638</v>
      </c>
      <c r="ML21" s="3">
        <v>1834</v>
      </c>
      <c r="MM21" s="3">
        <v>2002</v>
      </c>
      <c r="MN21" s="3">
        <v>3019</v>
      </c>
      <c r="MO21" s="3">
        <v>2769</v>
      </c>
      <c r="MP21" s="3">
        <v>3811</v>
      </c>
      <c r="MQ21" s="3">
        <v>4104</v>
      </c>
      <c r="MR21" s="3">
        <v>2071</v>
      </c>
      <c r="MS21" s="3">
        <v>1719</v>
      </c>
      <c r="MT21" s="3">
        <v>2852</v>
      </c>
      <c r="MU21" s="3">
        <v>2773</v>
      </c>
      <c r="MV21" s="3">
        <v>3910</v>
      </c>
      <c r="MW21" s="3">
        <v>3452</v>
      </c>
    </row>
    <row r="22" spans="1:361" x14ac:dyDescent="0.3">
      <c r="A22" s="3">
        <v>11</v>
      </c>
      <c r="B22" s="3">
        <v>440</v>
      </c>
      <c r="C22" s="3">
        <v>283</v>
      </c>
      <c r="D22" s="3">
        <v>473</v>
      </c>
      <c r="E22" s="3">
        <v>472</v>
      </c>
      <c r="F22" s="3">
        <v>591</v>
      </c>
      <c r="G22" s="3">
        <v>534</v>
      </c>
      <c r="H22" s="3">
        <v>1006</v>
      </c>
      <c r="I22" s="3">
        <v>973</v>
      </c>
      <c r="J22" s="3">
        <v>1067</v>
      </c>
      <c r="K22" s="3">
        <v>800</v>
      </c>
      <c r="L22" s="3">
        <v>1429</v>
      </c>
      <c r="M22" s="3">
        <v>900</v>
      </c>
      <c r="N22" s="3">
        <v>553</v>
      </c>
      <c r="O22" s="3">
        <v>487</v>
      </c>
      <c r="P22" s="3">
        <v>1043</v>
      </c>
      <c r="Q22" s="3">
        <v>1014</v>
      </c>
      <c r="R22" s="3">
        <v>1040</v>
      </c>
      <c r="S22" s="3">
        <v>913</v>
      </c>
      <c r="T22" s="3">
        <v>820</v>
      </c>
      <c r="U22" s="3">
        <v>904</v>
      </c>
      <c r="V22" s="3">
        <v>1035</v>
      </c>
      <c r="W22" s="3">
        <v>1110</v>
      </c>
      <c r="X22" s="3">
        <v>1295</v>
      </c>
      <c r="Y22" s="3">
        <v>1005</v>
      </c>
      <c r="Z22" s="3">
        <v>1058</v>
      </c>
      <c r="AA22" s="3">
        <v>913</v>
      </c>
      <c r="AB22" s="3">
        <v>1178</v>
      </c>
      <c r="AC22" s="3">
        <v>1348</v>
      </c>
      <c r="AD22" s="3">
        <v>1841</v>
      </c>
      <c r="AE22" s="3">
        <v>1841</v>
      </c>
      <c r="AF22" s="3">
        <v>1080</v>
      </c>
      <c r="AG22" s="3">
        <v>1123</v>
      </c>
      <c r="AH22" s="3">
        <v>1854</v>
      </c>
      <c r="AI22" s="3">
        <v>1136</v>
      </c>
      <c r="AJ22" s="3">
        <v>2015</v>
      </c>
      <c r="AK22" s="3">
        <v>1323</v>
      </c>
      <c r="AL22" s="3">
        <v>741</v>
      </c>
      <c r="AM22" s="3">
        <v>665</v>
      </c>
      <c r="AN22" s="3">
        <v>1111</v>
      </c>
      <c r="AO22" s="3">
        <v>839</v>
      </c>
      <c r="AP22" s="3">
        <v>1373</v>
      </c>
      <c r="AQ22" s="3">
        <v>1288</v>
      </c>
      <c r="AR22" s="3">
        <v>2007</v>
      </c>
      <c r="AS22" s="3">
        <v>1538</v>
      </c>
      <c r="AT22" s="3">
        <v>2226</v>
      </c>
      <c r="AU22" s="3">
        <v>1704</v>
      </c>
      <c r="AV22" s="3">
        <v>2356</v>
      </c>
      <c r="AW22" s="3">
        <v>2211</v>
      </c>
      <c r="AX22" s="3">
        <v>1153</v>
      </c>
      <c r="AY22" s="3">
        <v>1460</v>
      </c>
      <c r="AZ22" s="3">
        <v>1752</v>
      </c>
      <c r="BA22" s="3">
        <v>1997</v>
      </c>
      <c r="BB22" s="3">
        <v>2706</v>
      </c>
      <c r="BC22" s="3">
        <v>2237</v>
      </c>
      <c r="BD22" s="3">
        <v>1743</v>
      </c>
      <c r="BE22" s="3">
        <v>1459</v>
      </c>
      <c r="BF22" s="3">
        <v>2517</v>
      </c>
      <c r="BG22" s="3">
        <v>2041</v>
      </c>
      <c r="BH22" s="3">
        <v>2585</v>
      </c>
      <c r="BI22" s="3">
        <v>2508</v>
      </c>
      <c r="BJ22" s="3">
        <v>1574</v>
      </c>
      <c r="BK22" s="3">
        <v>1980</v>
      </c>
      <c r="BL22" s="3">
        <v>2853</v>
      </c>
      <c r="BM22" s="3">
        <v>2290</v>
      </c>
      <c r="BN22" s="3">
        <v>3866</v>
      </c>
      <c r="BO22" s="3">
        <v>3471</v>
      </c>
      <c r="BP22" s="3">
        <v>2058</v>
      </c>
      <c r="BQ22" s="3">
        <v>1388</v>
      </c>
      <c r="BR22" s="3">
        <v>2709</v>
      </c>
      <c r="BS22" s="3">
        <v>2646</v>
      </c>
      <c r="BT22" s="3">
        <v>3433</v>
      </c>
      <c r="BU22" s="3">
        <v>3054</v>
      </c>
      <c r="BV22" s="3">
        <v>381</v>
      </c>
      <c r="BW22" s="3">
        <v>261</v>
      </c>
      <c r="BX22" s="3">
        <v>413</v>
      </c>
      <c r="BY22" s="3">
        <v>434</v>
      </c>
      <c r="BZ22" s="3">
        <v>598</v>
      </c>
      <c r="CA22" s="3">
        <v>573</v>
      </c>
      <c r="CB22" s="3">
        <v>553</v>
      </c>
      <c r="CC22" s="3">
        <v>682</v>
      </c>
      <c r="CD22" s="3">
        <v>1122</v>
      </c>
      <c r="CE22" s="3">
        <v>1098</v>
      </c>
      <c r="CF22" s="3">
        <v>915</v>
      </c>
      <c r="CG22" s="3">
        <v>1027</v>
      </c>
      <c r="CH22" s="3">
        <v>656</v>
      </c>
      <c r="CI22" s="3">
        <v>576</v>
      </c>
      <c r="CJ22" s="3">
        <v>1137</v>
      </c>
      <c r="CK22" s="3">
        <v>971</v>
      </c>
      <c r="CL22" s="3">
        <v>1120</v>
      </c>
      <c r="CM22" s="3">
        <v>900</v>
      </c>
      <c r="CN22" s="3">
        <v>750</v>
      </c>
      <c r="CO22" s="3">
        <v>785</v>
      </c>
      <c r="CP22" s="3">
        <v>1108</v>
      </c>
      <c r="CQ22" s="3">
        <v>1098</v>
      </c>
      <c r="CR22" s="3">
        <v>1423</v>
      </c>
      <c r="CS22" s="3">
        <v>1143</v>
      </c>
      <c r="CT22" s="3">
        <v>1032</v>
      </c>
      <c r="CU22" s="3">
        <v>838</v>
      </c>
      <c r="CV22" s="3">
        <v>1262</v>
      </c>
      <c r="CW22" s="3">
        <v>1125</v>
      </c>
      <c r="CX22" s="3">
        <v>1323</v>
      </c>
      <c r="CY22" s="3">
        <v>1511</v>
      </c>
      <c r="CZ22" s="3">
        <v>1175</v>
      </c>
      <c r="DA22" s="3">
        <v>865</v>
      </c>
      <c r="DB22" s="3">
        <v>1641</v>
      </c>
      <c r="DC22" s="3">
        <v>1323</v>
      </c>
      <c r="DD22" s="3">
        <v>1758</v>
      </c>
      <c r="DE22" s="3">
        <v>1419</v>
      </c>
      <c r="DF22" s="3">
        <v>700</v>
      </c>
      <c r="DG22" s="3">
        <v>643</v>
      </c>
      <c r="DH22" s="3">
        <v>1000</v>
      </c>
      <c r="DI22" s="3">
        <v>1087</v>
      </c>
      <c r="DJ22" s="3">
        <v>1277</v>
      </c>
      <c r="DK22" s="3">
        <v>1289</v>
      </c>
      <c r="DL22" s="3">
        <v>2037</v>
      </c>
      <c r="DM22" s="3">
        <v>1480</v>
      </c>
      <c r="DN22" s="3">
        <v>1939</v>
      </c>
      <c r="DO22" s="3">
        <v>1766</v>
      </c>
      <c r="DP22" s="3">
        <v>2670</v>
      </c>
      <c r="DQ22" s="3">
        <v>2006</v>
      </c>
      <c r="DR22" s="3">
        <v>1214</v>
      </c>
      <c r="DS22" s="3">
        <v>1150</v>
      </c>
      <c r="DT22" s="3">
        <v>1834</v>
      </c>
      <c r="DU22" s="3">
        <v>2070</v>
      </c>
      <c r="DV22" s="3">
        <v>2250</v>
      </c>
      <c r="DW22" s="3">
        <v>2458</v>
      </c>
      <c r="DX22" s="3">
        <v>1797</v>
      </c>
      <c r="DY22" s="3">
        <v>1635</v>
      </c>
      <c r="DZ22" s="3">
        <v>2279</v>
      </c>
      <c r="EA22" s="3">
        <v>1849</v>
      </c>
      <c r="EB22" s="3">
        <v>2786</v>
      </c>
      <c r="EC22" s="3">
        <v>2490</v>
      </c>
      <c r="ED22" s="3">
        <v>1485</v>
      </c>
      <c r="EE22" s="3">
        <v>1625</v>
      </c>
      <c r="EF22" s="3">
        <v>3005</v>
      </c>
      <c r="EG22" s="3">
        <v>2749</v>
      </c>
      <c r="EH22" s="3">
        <v>3848</v>
      </c>
      <c r="EI22" s="3">
        <v>3746</v>
      </c>
      <c r="EJ22" s="3">
        <v>2231</v>
      </c>
      <c r="EK22" s="3">
        <v>1541</v>
      </c>
      <c r="EL22" s="3">
        <v>3392</v>
      </c>
      <c r="EM22" s="3">
        <v>2633</v>
      </c>
      <c r="EN22" s="3">
        <v>3844</v>
      </c>
      <c r="EO22" s="3">
        <v>3270</v>
      </c>
      <c r="EP22" s="3">
        <v>441</v>
      </c>
      <c r="EQ22" s="3">
        <v>304</v>
      </c>
      <c r="ER22" s="3">
        <v>585</v>
      </c>
      <c r="ES22" s="3">
        <v>471</v>
      </c>
      <c r="ET22" s="3">
        <v>640</v>
      </c>
      <c r="EU22" s="3">
        <v>695</v>
      </c>
      <c r="EV22" s="3">
        <v>784</v>
      </c>
      <c r="EW22" s="3">
        <v>952</v>
      </c>
      <c r="EX22" s="3">
        <v>1171</v>
      </c>
      <c r="EY22" s="3">
        <v>826</v>
      </c>
      <c r="EZ22" s="3">
        <v>1061</v>
      </c>
      <c r="FA22" s="3">
        <v>1256</v>
      </c>
      <c r="FB22" s="3">
        <v>373</v>
      </c>
      <c r="FC22" s="3">
        <v>470</v>
      </c>
      <c r="FD22" s="3">
        <v>771</v>
      </c>
      <c r="FE22" s="3">
        <v>1101</v>
      </c>
      <c r="FF22" s="3">
        <v>1179</v>
      </c>
      <c r="FG22" s="3">
        <v>1094</v>
      </c>
      <c r="FH22" s="3">
        <v>614</v>
      </c>
      <c r="FI22" s="3">
        <v>648</v>
      </c>
      <c r="FJ22" s="3">
        <v>1084</v>
      </c>
      <c r="FK22" s="3">
        <v>921</v>
      </c>
      <c r="FL22" s="3">
        <v>1221</v>
      </c>
      <c r="FM22" s="3">
        <v>1256</v>
      </c>
      <c r="FN22" s="3">
        <v>832</v>
      </c>
      <c r="FO22" s="3">
        <v>563</v>
      </c>
      <c r="FP22" s="3">
        <v>1522</v>
      </c>
      <c r="FQ22" s="3">
        <v>1332</v>
      </c>
      <c r="FR22" s="3">
        <v>1808</v>
      </c>
      <c r="FS22" s="3">
        <v>1559</v>
      </c>
      <c r="FT22" s="3">
        <v>1014</v>
      </c>
      <c r="FU22" s="3">
        <v>805</v>
      </c>
      <c r="FV22" s="3">
        <v>1332</v>
      </c>
      <c r="FW22" s="3">
        <v>1270</v>
      </c>
      <c r="FX22" s="3">
        <v>1619</v>
      </c>
      <c r="FY22" s="3">
        <v>1567</v>
      </c>
      <c r="FZ22" s="3">
        <v>561</v>
      </c>
      <c r="GA22" s="3">
        <v>679</v>
      </c>
      <c r="GB22" s="3">
        <v>1165</v>
      </c>
      <c r="GC22" s="3">
        <v>873</v>
      </c>
      <c r="GD22" s="3">
        <v>1342</v>
      </c>
      <c r="GE22" s="3">
        <v>1316</v>
      </c>
      <c r="GF22" s="3">
        <v>1587</v>
      </c>
      <c r="GG22" s="3">
        <v>1278</v>
      </c>
      <c r="GH22" s="3">
        <v>2105</v>
      </c>
      <c r="GI22" s="3">
        <v>1832</v>
      </c>
      <c r="GJ22" s="3">
        <v>2551</v>
      </c>
      <c r="GK22" s="3">
        <v>2178</v>
      </c>
      <c r="GL22" s="3">
        <v>1202</v>
      </c>
      <c r="GM22" s="3">
        <v>1270</v>
      </c>
      <c r="GN22" s="3">
        <v>2089</v>
      </c>
      <c r="GO22" s="3">
        <v>1983</v>
      </c>
      <c r="GP22" s="3">
        <v>2662</v>
      </c>
      <c r="GQ22" s="3">
        <v>2551</v>
      </c>
      <c r="GR22" s="3">
        <v>1961</v>
      </c>
      <c r="GS22" s="3">
        <v>1570</v>
      </c>
      <c r="GT22" s="3">
        <v>2257</v>
      </c>
      <c r="GU22" s="3">
        <v>2013</v>
      </c>
      <c r="GV22" s="3">
        <v>2878</v>
      </c>
      <c r="GW22" s="3">
        <v>2301</v>
      </c>
      <c r="GX22" s="3">
        <v>1753</v>
      </c>
      <c r="GY22" s="3">
        <v>1741</v>
      </c>
      <c r="GZ22" s="3">
        <v>3097</v>
      </c>
      <c r="HA22" s="3">
        <v>2915</v>
      </c>
      <c r="HB22" s="3">
        <v>3539</v>
      </c>
      <c r="HC22" s="3">
        <v>3864</v>
      </c>
      <c r="HD22" s="3">
        <v>2023</v>
      </c>
      <c r="HE22" s="3">
        <v>1748</v>
      </c>
      <c r="HF22" s="3">
        <v>3152</v>
      </c>
      <c r="HG22" s="3">
        <v>2853</v>
      </c>
      <c r="HH22" s="3">
        <v>3983</v>
      </c>
      <c r="HI22" s="3">
        <v>3443</v>
      </c>
      <c r="HJ22" s="3">
        <v>218</v>
      </c>
      <c r="HK22" s="3">
        <v>341</v>
      </c>
      <c r="HL22" s="3">
        <v>464</v>
      </c>
      <c r="HM22" s="3">
        <v>543</v>
      </c>
      <c r="HN22" s="3">
        <v>671</v>
      </c>
      <c r="HO22" s="3">
        <v>607</v>
      </c>
      <c r="HP22" s="3">
        <v>664</v>
      </c>
      <c r="HQ22" s="3">
        <v>740</v>
      </c>
      <c r="HR22" s="3">
        <v>1154</v>
      </c>
      <c r="HS22" s="3">
        <v>1027</v>
      </c>
      <c r="HT22" s="3">
        <v>1242</v>
      </c>
      <c r="HU22" s="3">
        <v>927</v>
      </c>
      <c r="HV22" s="3">
        <v>726</v>
      </c>
      <c r="HW22" s="3">
        <v>663</v>
      </c>
      <c r="HX22" s="3">
        <v>999</v>
      </c>
      <c r="HY22" s="3">
        <v>853</v>
      </c>
      <c r="HZ22" s="3">
        <v>694</v>
      </c>
      <c r="IA22" s="3">
        <v>1445</v>
      </c>
      <c r="IB22" s="3">
        <v>1183</v>
      </c>
      <c r="IC22" s="3">
        <v>948</v>
      </c>
      <c r="ID22" s="3">
        <v>1276</v>
      </c>
      <c r="IE22" s="3">
        <v>849</v>
      </c>
      <c r="IF22" s="3">
        <v>1397</v>
      </c>
      <c r="IG22" s="3">
        <v>1131</v>
      </c>
      <c r="IH22" s="3">
        <v>945</v>
      </c>
      <c r="II22" s="3">
        <v>888</v>
      </c>
      <c r="IJ22" s="3">
        <v>1280</v>
      </c>
      <c r="IK22" s="3">
        <v>1449</v>
      </c>
      <c r="IL22" s="3">
        <v>1787</v>
      </c>
      <c r="IM22" s="3">
        <v>1920</v>
      </c>
      <c r="IN22" s="3">
        <v>1159</v>
      </c>
      <c r="IO22" s="3">
        <v>932</v>
      </c>
      <c r="IP22" s="3">
        <v>1731</v>
      </c>
      <c r="IQ22" s="3">
        <v>1223</v>
      </c>
      <c r="IR22" s="3">
        <v>1741</v>
      </c>
      <c r="IS22" s="3">
        <v>1694</v>
      </c>
      <c r="IT22" s="3">
        <v>719</v>
      </c>
      <c r="IU22" s="3">
        <v>571</v>
      </c>
      <c r="IV22" s="3">
        <v>894</v>
      </c>
      <c r="IW22" s="3">
        <v>860</v>
      </c>
      <c r="IX22" s="3">
        <v>1258</v>
      </c>
      <c r="IY22" s="3">
        <v>1399</v>
      </c>
      <c r="IZ22" s="3">
        <v>1969</v>
      </c>
      <c r="JA22" s="3">
        <v>1200</v>
      </c>
      <c r="JB22" s="3">
        <v>1995</v>
      </c>
      <c r="JC22" s="3">
        <v>1756</v>
      </c>
      <c r="JD22" s="3">
        <v>2019</v>
      </c>
      <c r="JE22" s="3">
        <v>2029</v>
      </c>
      <c r="JF22" s="3">
        <v>1164</v>
      </c>
      <c r="JG22" s="3">
        <v>1181</v>
      </c>
      <c r="JH22" s="3">
        <v>2235</v>
      </c>
      <c r="JI22" s="3">
        <v>1875</v>
      </c>
      <c r="JJ22" s="3">
        <v>2630</v>
      </c>
      <c r="JK22" s="3">
        <v>2292</v>
      </c>
      <c r="JL22" s="3">
        <v>1849</v>
      </c>
      <c r="JM22" s="3">
        <v>1553</v>
      </c>
      <c r="JN22" s="3">
        <v>2517</v>
      </c>
      <c r="JO22" s="3">
        <v>1995</v>
      </c>
      <c r="JP22" s="3">
        <v>2769</v>
      </c>
      <c r="JQ22" s="3">
        <v>2328</v>
      </c>
      <c r="JR22" s="3">
        <v>1560</v>
      </c>
      <c r="JS22" s="3">
        <v>1595</v>
      </c>
      <c r="JT22" s="3">
        <v>2945</v>
      </c>
      <c r="JU22" s="3">
        <v>3157</v>
      </c>
      <c r="JV22" s="3">
        <v>3933</v>
      </c>
      <c r="JW22" s="3">
        <v>3422</v>
      </c>
      <c r="JX22" s="3">
        <v>1770</v>
      </c>
      <c r="JY22" s="3">
        <v>1559</v>
      </c>
      <c r="JZ22" s="3">
        <v>3040</v>
      </c>
      <c r="KA22" s="3">
        <v>2786</v>
      </c>
      <c r="KB22" s="3">
        <v>3701</v>
      </c>
      <c r="KC22" s="3">
        <v>3294</v>
      </c>
      <c r="KD22" s="3">
        <v>289</v>
      </c>
      <c r="KE22" s="3">
        <v>368</v>
      </c>
      <c r="KF22" s="3">
        <v>485</v>
      </c>
      <c r="KG22" s="3">
        <v>454</v>
      </c>
      <c r="KH22" s="3">
        <v>677</v>
      </c>
      <c r="KI22" s="3">
        <v>617</v>
      </c>
      <c r="KJ22" s="3">
        <v>810</v>
      </c>
      <c r="KK22" s="3">
        <v>862</v>
      </c>
      <c r="KL22" s="3">
        <v>1211</v>
      </c>
      <c r="KM22" s="3">
        <v>1021</v>
      </c>
      <c r="KN22" s="3">
        <v>1112</v>
      </c>
      <c r="KO22" s="3">
        <v>1291</v>
      </c>
      <c r="KP22" s="3">
        <v>440</v>
      </c>
      <c r="KQ22" s="3">
        <v>522</v>
      </c>
      <c r="KR22" s="3">
        <v>786</v>
      </c>
      <c r="KS22" s="3">
        <v>908</v>
      </c>
      <c r="KT22" s="3">
        <v>1192</v>
      </c>
      <c r="KU22" s="3">
        <v>1225</v>
      </c>
      <c r="KV22" s="3">
        <v>1011</v>
      </c>
      <c r="KW22" s="3">
        <v>998</v>
      </c>
      <c r="KX22" s="3">
        <v>1253</v>
      </c>
      <c r="KY22" s="3">
        <v>1049</v>
      </c>
      <c r="KZ22" s="3">
        <v>1397</v>
      </c>
      <c r="LA22" s="3">
        <v>1002</v>
      </c>
      <c r="LB22" s="3">
        <v>850</v>
      </c>
      <c r="LC22" s="3">
        <v>967</v>
      </c>
      <c r="LD22" s="3">
        <v>1537</v>
      </c>
      <c r="LE22" s="3">
        <v>1199</v>
      </c>
      <c r="LF22" s="3">
        <v>1617</v>
      </c>
      <c r="LG22" s="3">
        <v>1499</v>
      </c>
      <c r="LH22" s="3">
        <v>1074</v>
      </c>
      <c r="LI22" s="3">
        <v>848</v>
      </c>
      <c r="LJ22" s="3">
        <v>1345</v>
      </c>
      <c r="LK22" s="3">
        <v>1285</v>
      </c>
      <c r="LL22" s="3">
        <v>1771</v>
      </c>
      <c r="LM22" s="3">
        <v>1751</v>
      </c>
      <c r="LN22" s="3">
        <v>579</v>
      </c>
      <c r="LO22" s="3">
        <v>711</v>
      </c>
      <c r="LP22" s="3">
        <v>1003</v>
      </c>
      <c r="LQ22" s="3">
        <v>977</v>
      </c>
      <c r="LR22" s="3">
        <v>1197</v>
      </c>
      <c r="LS22" s="3">
        <v>1111</v>
      </c>
      <c r="LT22" s="3">
        <v>1422</v>
      </c>
      <c r="LU22" s="3">
        <v>1156</v>
      </c>
      <c r="LV22" s="3">
        <v>2309</v>
      </c>
      <c r="LW22" s="3">
        <v>1946</v>
      </c>
      <c r="LX22" s="3">
        <v>2240</v>
      </c>
      <c r="LY22" s="3">
        <v>2080</v>
      </c>
      <c r="LZ22" s="3">
        <v>1146</v>
      </c>
      <c r="MA22" s="3">
        <v>1552</v>
      </c>
      <c r="MB22" s="3">
        <v>2105</v>
      </c>
      <c r="MC22" s="3">
        <v>2080</v>
      </c>
      <c r="MD22" s="3">
        <v>2170</v>
      </c>
      <c r="ME22" s="3">
        <v>2499</v>
      </c>
      <c r="MF22" s="3">
        <v>1929</v>
      </c>
      <c r="MG22" s="3">
        <v>1385</v>
      </c>
      <c r="MH22" s="3">
        <v>2326</v>
      </c>
      <c r="MI22" s="3">
        <v>2416</v>
      </c>
      <c r="MJ22" s="3">
        <v>2583</v>
      </c>
      <c r="MK22" s="3">
        <v>2636</v>
      </c>
      <c r="ML22" s="3">
        <v>1833</v>
      </c>
      <c r="MM22" s="3">
        <v>2002</v>
      </c>
      <c r="MN22" s="3">
        <v>3022</v>
      </c>
      <c r="MO22" s="3">
        <v>2746</v>
      </c>
      <c r="MP22" s="3">
        <v>3811</v>
      </c>
      <c r="MQ22" s="3">
        <v>4104</v>
      </c>
      <c r="MR22" s="3">
        <v>2071</v>
      </c>
      <c r="MS22" s="3">
        <v>1719</v>
      </c>
      <c r="MT22" s="3">
        <v>2843</v>
      </c>
      <c r="MU22" s="3">
        <v>2732</v>
      </c>
      <c r="MV22" s="3">
        <v>3905</v>
      </c>
      <c r="MW22" s="3">
        <v>3474</v>
      </c>
    </row>
    <row r="23" spans="1:361" x14ac:dyDescent="0.3">
      <c r="A23" s="3">
        <v>12</v>
      </c>
      <c r="B23" s="3">
        <v>440</v>
      </c>
      <c r="C23" s="3">
        <v>283</v>
      </c>
      <c r="D23" s="3">
        <v>473</v>
      </c>
      <c r="E23" s="3">
        <v>464</v>
      </c>
      <c r="F23" s="3">
        <v>591</v>
      </c>
      <c r="G23" s="3">
        <v>534</v>
      </c>
      <c r="H23" s="3">
        <v>1006</v>
      </c>
      <c r="I23" s="3">
        <v>973</v>
      </c>
      <c r="J23" s="3">
        <v>1067</v>
      </c>
      <c r="K23" s="3">
        <v>800</v>
      </c>
      <c r="L23" s="3">
        <v>1429</v>
      </c>
      <c r="M23" s="3">
        <v>900</v>
      </c>
      <c r="N23" s="3">
        <v>553</v>
      </c>
      <c r="O23" s="3">
        <v>487</v>
      </c>
      <c r="P23" s="3">
        <v>1042</v>
      </c>
      <c r="Q23" s="3">
        <v>1014</v>
      </c>
      <c r="R23" s="3">
        <v>1039</v>
      </c>
      <c r="S23" s="3">
        <v>909</v>
      </c>
      <c r="T23" s="3">
        <v>820</v>
      </c>
      <c r="U23" s="3">
        <v>904</v>
      </c>
      <c r="V23" s="3">
        <v>1035</v>
      </c>
      <c r="W23" s="3">
        <v>1110</v>
      </c>
      <c r="X23" s="3">
        <v>1294</v>
      </c>
      <c r="Y23" s="3">
        <v>1003</v>
      </c>
      <c r="Z23" s="3">
        <v>1056</v>
      </c>
      <c r="AA23" s="3">
        <v>913</v>
      </c>
      <c r="AB23" s="3">
        <v>1179</v>
      </c>
      <c r="AC23" s="3">
        <v>1348</v>
      </c>
      <c r="AD23" s="3">
        <v>1843</v>
      </c>
      <c r="AE23" s="3">
        <v>1841</v>
      </c>
      <c r="AF23" s="3">
        <v>1080</v>
      </c>
      <c r="AG23" s="3">
        <v>1123</v>
      </c>
      <c r="AH23" s="3">
        <v>1849</v>
      </c>
      <c r="AI23" s="3">
        <v>1137</v>
      </c>
      <c r="AJ23" s="3">
        <v>2017</v>
      </c>
      <c r="AK23" s="3">
        <v>1318</v>
      </c>
      <c r="AL23" s="3">
        <v>741</v>
      </c>
      <c r="AM23" s="3">
        <v>665</v>
      </c>
      <c r="AN23" s="3">
        <v>1108</v>
      </c>
      <c r="AO23" s="3">
        <v>839</v>
      </c>
      <c r="AP23" s="3">
        <v>1376</v>
      </c>
      <c r="AQ23" s="3">
        <v>1288</v>
      </c>
      <c r="AR23" s="3">
        <v>2007</v>
      </c>
      <c r="AS23" s="3">
        <v>1538</v>
      </c>
      <c r="AT23" s="3">
        <v>2226</v>
      </c>
      <c r="AU23" s="3">
        <v>1704</v>
      </c>
      <c r="AV23" s="3">
        <v>2356</v>
      </c>
      <c r="AW23" s="3">
        <v>2211</v>
      </c>
      <c r="AX23" s="3">
        <v>1153</v>
      </c>
      <c r="AY23" s="3">
        <v>1478</v>
      </c>
      <c r="AZ23" s="3">
        <v>1755</v>
      </c>
      <c r="BA23" s="3">
        <v>1997</v>
      </c>
      <c r="BB23" s="3">
        <v>2696</v>
      </c>
      <c r="BC23" s="3">
        <v>2215</v>
      </c>
      <c r="BD23" s="3">
        <v>1743</v>
      </c>
      <c r="BE23" s="3">
        <v>1459</v>
      </c>
      <c r="BF23" s="3">
        <v>2516</v>
      </c>
      <c r="BG23" s="3">
        <v>2038</v>
      </c>
      <c r="BH23" s="3">
        <v>2591</v>
      </c>
      <c r="BI23" s="3">
        <v>2521</v>
      </c>
      <c r="BJ23" s="3">
        <v>1576</v>
      </c>
      <c r="BK23" s="3">
        <v>1996</v>
      </c>
      <c r="BL23" s="3">
        <v>2853</v>
      </c>
      <c r="BM23" s="3">
        <v>2283</v>
      </c>
      <c r="BN23" s="3">
        <v>3868</v>
      </c>
      <c r="BO23" s="3">
        <v>3468</v>
      </c>
      <c r="BP23" s="3">
        <v>2058</v>
      </c>
      <c r="BQ23" s="3">
        <v>1388</v>
      </c>
      <c r="BR23" s="3">
        <v>2717</v>
      </c>
      <c r="BS23" s="3">
        <v>2678</v>
      </c>
      <c r="BT23" s="3">
        <v>3434</v>
      </c>
      <c r="BU23" s="3">
        <v>3053</v>
      </c>
      <c r="BV23" s="3">
        <v>381</v>
      </c>
      <c r="BW23" s="3">
        <v>261</v>
      </c>
      <c r="BX23" s="3">
        <v>413</v>
      </c>
      <c r="BY23" s="3">
        <v>434</v>
      </c>
      <c r="BZ23" s="3">
        <v>597</v>
      </c>
      <c r="CA23" s="3">
        <v>573</v>
      </c>
      <c r="CB23" s="3">
        <v>553</v>
      </c>
      <c r="CC23" s="3">
        <v>682</v>
      </c>
      <c r="CD23" s="3">
        <v>1122</v>
      </c>
      <c r="CE23" s="3">
        <v>1098</v>
      </c>
      <c r="CF23" s="3">
        <v>915</v>
      </c>
      <c r="CG23" s="3">
        <v>1027</v>
      </c>
      <c r="CH23" s="3">
        <v>656</v>
      </c>
      <c r="CI23" s="3">
        <v>576</v>
      </c>
      <c r="CJ23" s="3">
        <v>1137</v>
      </c>
      <c r="CK23" s="3">
        <v>971</v>
      </c>
      <c r="CL23" s="3">
        <v>1120</v>
      </c>
      <c r="CM23" s="3">
        <v>900</v>
      </c>
      <c r="CN23" s="3">
        <v>750</v>
      </c>
      <c r="CO23" s="3">
        <v>785</v>
      </c>
      <c r="CP23" s="3">
        <v>1107</v>
      </c>
      <c r="CQ23" s="3">
        <v>1098</v>
      </c>
      <c r="CR23" s="3">
        <v>1425</v>
      </c>
      <c r="CS23" s="3">
        <v>1128</v>
      </c>
      <c r="CT23" s="3">
        <v>1032</v>
      </c>
      <c r="CU23" s="3">
        <v>838</v>
      </c>
      <c r="CV23" s="3">
        <v>1262</v>
      </c>
      <c r="CW23" s="3">
        <v>1125</v>
      </c>
      <c r="CX23" s="3">
        <v>1323</v>
      </c>
      <c r="CY23" s="3">
        <v>1511</v>
      </c>
      <c r="CZ23" s="3">
        <v>1175</v>
      </c>
      <c r="DA23" s="3">
        <v>865</v>
      </c>
      <c r="DB23" s="3">
        <v>1642</v>
      </c>
      <c r="DC23" s="3">
        <v>1314</v>
      </c>
      <c r="DD23" s="3">
        <v>1756</v>
      </c>
      <c r="DE23" s="3">
        <v>1422</v>
      </c>
      <c r="DF23" s="3">
        <v>700</v>
      </c>
      <c r="DG23" s="3">
        <v>644</v>
      </c>
      <c r="DH23" s="3">
        <v>1000</v>
      </c>
      <c r="DI23" s="3">
        <v>1097</v>
      </c>
      <c r="DJ23" s="3">
        <v>1277</v>
      </c>
      <c r="DK23" s="3">
        <v>1297</v>
      </c>
      <c r="DL23" s="3">
        <v>2037</v>
      </c>
      <c r="DM23" s="3">
        <v>1480</v>
      </c>
      <c r="DN23" s="3">
        <v>1939</v>
      </c>
      <c r="DO23" s="3">
        <v>1766</v>
      </c>
      <c r="DP23" s="3">
        <v>2670</v>
      </c>
      <c r="DQ23" s="3">
        <v>2006</v>
      </c>
      <c r="DR23" s="3">
        <v>1214</v>
      </c>
      <c r="DS23" s="3">
        <v>1150</v>
      </c>
      <c r="DT23" s="3">
        <v>1834</v>
      </c>
      <c r="DU23" s="3">
        <v>2062</v>
      </c>
      <c r="DV23" s="3">
        <v>2250</v>
      </c>
      <c r="DW23" s="3">
        <v>2458</v>
      </c>
      <c r="DX23" s="3">
        <v>1797</v>
      </c>
      <c r="DY23" s="3">
        <v>1635</v>
      </c>
      <c r="DZ23" s="3">
        <v>2284</v>
      </c>
      <c r="EA23" s="3">
        <v>1823</v>
      </c>
      <c r="EB23" s="3">
        <v>2807</v>
      </c>
      <c r="EC23" s="3">
        <v>2457</v>
      </c>
      <c r="ED23" s="3">
        <v>1489</v>
      </c>
      <c r="EE23" s="3">
        <v>1625</v>
      </c>
      <c r="EF23" s="3">
        <v>3006</v>
      </c>
      <c r="EG23" s="3">
        <v>2765</v>
      </c>
      <c r="EH23" s="3">
        <v>3850</v>
      </c>
      <c r="EI23" s="3">
        <v>3726</v>
      </c>
      <c r="EJ23" s="3">
        <v>2225</v>
      </c>
      <c r="EK23" s="3">
        <v>1525</v>
      </c>
      <c r="EL23" s="3">
        <v>3388</v>
      </c>
      <c r="EM23" s="3">
        <v>2611</v>
      </c>
      <c r="EN23" s="3">
        <v>3834</v>
      </c>
      <c r="EO23" s="3">
        <v>3297</v>
      </c>
      <c r="EP23" s="3">
        <v>441</v>
      </c>
      <c r="EQ23" s="3">
        <v>304</v>
      </c>
      <c r="ER23" s="3">
        <v>585</v>
      </c>
      <c r="ES23" s="3">
        <v>471</v>
      </c>
      <c r="ET23" s="3">
        <v>640</v>
      </c>
      <c r="EU23" s="3">
        <v>694</v>
      </c>
      <c r="EV23" s="3">
        <v>784</v>
      </c>
      <c r="EW23" s="3">
        <v>952</v>
      </c>
      <c r="EX23" s="3">
        <v>1171</v>
      </c>
      <c r="EY23" s="3">
        <v>826</v>
      </c>
      <c r="EZ23" s="3">
        <v>1061</v>
      </c>
      <c r="FA23" s="3">
        <v>1256</v>
      </c>
      <c r="FB23" s="3">
        <v>373</v>
      </c>
      <c r="FC23" s="3">
        <v>470</v>
      </c>
      <c r="FD23" s="3">
        <v>772</v>
      </c>
      <c r="FE23" s="3">
        <v>1101</v>
      </c>
      <c r="FF23" s="3">
        <v>1179</v>
      </c>
      <c r="FG23" s="3">
        <v>1098</v>
      </c>
      <c r="FH23" s="3">
        <v>614</v>
      </c>
      <c r="FI23" s="3">
        <v>648</v>
      </c>
      <c r="FJ23" s="3">
        <v>1084</v>
      </c>
      <c r="FK23" s="3">
        <v>921</v>
      </c>
      <c r="FL23" s="3">
        <v>1223</v>
      </c>
      <c r="FM23" s="3">
        <v>1250</v>
      </c>
      <c r="FN23" s="3">
        <v>832</v>
      </c>
      <c r="FO23" s="3">
        <v>563</v>
      </c>
      <c r="FP23" s="3">
        <v>1522</v>
      </c>
      <c r="FQ23" s="3">
        <v>1326</v>
      </c>
      <c r="FR23" s="3">
        <v>1808</v>
      </c>
      <c r="FS23" s="3">
        <v>1559</v>
      </c>
      <c r="FT23" s="3">
        <v>1012</v>
      </c>
      <c r="FU23" s="3">
        <v>805</v>
      </c>
      <c r="FV23" s="3">
        <v>1334</v>
      </c>
      <c r="FW23" s="3">
        <v>1276</v>
      </c>
      <c r="FX23" s="3">
        <v>1620</v>
      </c>
      <c r="FY23" s="3">
        <v>1586</v>
      </c>
      <c r="FZ23" s="3">
        <v>561</v>
      </c>
      <c r="GA23" s="3">
        <v>679</v>
      </c>
      <c r="GB23" s="3">
        <v>1164</v>
      </c>
      <c r="GC23" s="3">
        <v>868</v>
      </c>
      <c r="GD23" s="3">
        <v>1342</v>
      </c>
      <c r="GE23" s="3">
        <v>1316</v>
      </c>
      <c r="GF23" s="3">
        <v>1587</v>
      </c>
      <c r="GG23" s="3">
        <v>1278</v>
      </c>
      <c r="GH23" s="3">
        <v>2105</v>
      </c>
      <c r="GI23" s="3">
        <v>1832</v>
      </c>
      <c r="GJ23" s="3">
        <v>2551</v>
      </c>
      <c r="GK23" s="3">
        <v>2178</v>
      </c>
      <c r="GL23" s="3">
        <v>1202</v>
      </c>
      <c r="GM23" s="3">
        <v>1271</v>
      </c>
      <c r="GN23" s="3">
        <v>2095</v>
      </c>
      <c r="GO23" s="3">
        <v>1973</v>
      </c>
      <c r="GP23" s="3">
        <v>2662</v>
      </c>
      <c r="GQ23" s="3">
        <v>2551</v>
      </c>
      <c r="GR23" s="3">
        <v>1961</v>
      </c>
      <c r="GS23" s="3">
        <v>1570</v>
      </c>
      <c r="GT23" s="3">
        <v>2259</v>
      </c>
      <c r="GU23" s="3">
        <v>2013</v>
      </c>
      <c r="GV23" s="3">
        <v>2912</v>
      </c>
      <c r="GW23" s="3">
        <v>2275</v>
      </c>
      <c r="GX23" s="3">
        <v>1756</v>
      </c>
      <c r="GY23" s="3">
        <v>1741</v>
      </c>
      <c r="GZ23" s="3">
        <v>3097</v>
      </c>
      <c r="HA23" s="3">
        <v>2883</v>
      </c>
      <c r="HB23" s="3">
        <v>3537</v>
      </c>
      <c r="HC23" s="3">
        <v>3864</v>
      </c>
      <c r="HD23" s="3">
        <v>2021</v>
      </c>
      <c r="HE23" s="3">
        <v>1762</v>
      </c>
      <c r="HF23" s="3">
        <v>3136</v>
      </c>
      <c r="HG23" s="3">
        <v>2865</v>
      </c>
      <c r="HH23" s="3">
        <v>3987</v>
      </c>
      <c r="HI23" s="3">
        <v>3426</v>
      </c>
      <c r="HJ23" s="3">
        <v>218</v>
      </c>
      <c r="HK23" s="3">
        <v>341</v>
      </c>
      <c r="HL23" s="3">
        <v>464</v>
      </c>
      <c r="HM23" s="3">
        <v>543</v>
      </c>
      <c r="HN23" s="3">
        <v>671</v>
      </c>
      <c r="HO23" s="3">
        <v>607</v>
      </c>
      <c r="HP23" s="3">
        <v>664</v>
      </c>
      <c r="HQ23" s="3">
        <v>740</v>
      </c>
      <c r="HR23" s="3">
        <v>1154</v>
      </c>
      <c r="HS23" s="3">
        <v>1027</v>
      </c>
      <c r="HT23" s="3">
        <v>1242</v>
      </c>
      <c r="HU23" s="3">
        <v>927</v>
      </c>
      <c r="HV23" s="3">
        <v>726</v>
      </c>
      <c r="HW23" s="3">
        <v>663</v>
      </c>
      <c r="HX23" s="3">
        <v>999</v>
      </c>
      <c r="HY23" s="3">
        <v>853</v>
      </c>
      <c r="HZ23" s="3">
        <v>694</v>
      </c>
      <c r="IA23" s="3">
        <v>1445</v>
      </c>
      <c r="IB23" s="3">
        <v>1183</v>
      </c>
      <c r="IC23" s="3">
        <v>948</v>
      </c>
      <c r="ID23" s="3">
        <v>1276</v>
      </c>
      <c r="IE23" s="3">
        <v>841</v>
      </c>
      <c r="IF23" s="3">
        <v>1395</v>
      </c>
      <c r="IG23" s="3">
        <v>1131</v>
      </c>
      <c r="IH23" s="3">
        <v>945</v>
      </c>
      <c r="II23" s="3">
        <v>885</v>
      </c>
      <c r="IJ23" s="3">
        <v>1280</v>
      </c>
      <c r="IK23" s="3">
        <v>1439</v>
      </c>
      <c r="IL23" s="3">
        <v>1787</v>
      </c>
      <c r="IM23" s="3">
        <v>1920</v>
      </c>
      <c r="IN23" s="3">
        <v>1159</v>
      </c>
      <c r="IO23" s="3">
        <v>932</v>
      </c>
      <c r="IP23" s="3">
        <v>1727</v>
      </c>
      <c r="IQ23" s="3">
        <v>1237</v>
      </c>
      <c r="IR23" s="3">
        <v>1748</v>
      </c>
      <c r="IS23" s="3">
        <v>1700</v>
      </c>
      <c r="IT23" s="3">
        <v>719</v>
      </c>
      <c r="IU23" s="3">
        <v>571</v>
      </c>
      <c r="IV23" s="3">
        <v>891</v>
      </c>
      <c r="IW23" s="3">
        <v>860</v>
      </c>
      <c r="IX23" s="3">
        <v>1254</v>
      </c>
      <c r="IY23" s="3">
        <v>1399</v>
      </c>
      <c r="IZ23" s="3">
        <v>1969</v>
      </c>
      <c r="JA23" s="3">
        <v>1200</v>
      </c>
      <c r="JB23" s="3">
        <v>1995</v>
      </c>
      <c r="JC23" s="3">
        <v>1756</v>
      </c>
      <c r="JD23" s="3">
        <v>2023</v>
      </c>
      <c r="JE23" s="3">
        <v>2029</v>
      </c>
      <c r="JF23" s="3">
        <v>1164</v>
      </c>
      <c r="JG23" s="3">
        <v>1181</v>
      </c>
      <c r="JH23" s="3">
        <v>2235</v>
      </c>
      <c r="JI23" s="3">
        <v>1875</v>
      </c>
      <c r="JJ23" s="3">
        <v>2630</v>
      </c>
      <c r="JK23" s="3">
        <v>2311</v>
      </c>
      <c r="JL23" s="3">
        <v>1849</v>
      </c>
      <c r="JM23" s="3">
        <v>1553</v>
      </c>
      <c r="JN23" s="3">
        <v>2516</v>
      </c>
      <c r="JO23" s="3">
        <v>2004</v>
      </c>
      <c r="JP23" s="3">
        <v>2765</v>
      </c>
      <c r="JQ23" s="3">
        <v>2362</v>
      </c>
      <c r="JR23" s="3">
        <v>1560</v>
      </c>
      <c r="JS23" s="3">
        <v>1594</v>
      </c>
      <c r="JT23" s="3">
        <v>2953</v>
      </c>
      <c r="JU23" s="3">
        <v>3157</v>
      </c>
      <c r="JV23" s="3">
        <v>3936</v>
      </c>
      <c r="JW23" s="3">
        <v>3420</v>
      </c>
      <c r="JX23" s="3">
        <v>1771</v>
      </c>
      <c r="JY23" s="3">
        <v>1565</v>
      </c>
      <c r="JZ23" s="3">
        <v>3040</v>
      </c>
      <c r="KA23" s="3">
        <v>2820</v>
      </c>
      <c r="KB23" s="3">
        <v>3701</v>
      </c>
      <c r="KC23" s="3">
        <v>3255</v>
      </c>
      <c r="KD23" s="3">
        <v>289</v>
      </c>
      <c r="KE23" s="3">
        <v>368</v>
      </c>
      <c r="KF23" s="3">
        <v>485</v>
      </c>
      <c r="KG23" s="3">
        <v>459</v>
      </c>
      <c r="KH23" s="3">
        <v>676</v>
      </c>
      <c r="KI23" s="3">
        <v>628</v>
      </c>
      <c r="KJ23" s="3">
        <v>810</v>
      </c>
      <c r="KK23" s="3">
        <v>862</v>
      </c>
      <c r="KL23" s="3">
        <v>1211</v>
      </c>
      <c r="KM23" s="3">
        <v>1021</v>
      </c>
      <c r="KN23" s="3">
        <v>1112</v>
      </c>
      <c r="KO23" s="3">
        <v>1291</v>
      </c>
      <c r="KP23" s="3">
        <v>440</v>
      </c>
      <c r="KQ23" s="3">
        <v>522</v>
      </c>
      <c r="KR23" s="3">
        <v>786</v>
      </c>
      <c r="KS23" s="3">
        <v>908</v>
      </c>
      <c r="KT23" s="3">
        <v>1192</v>
      </c>
      <c r="KU23" s="3">
        <v>1225</v>
      </c>
      <c r="KV23" s="3">
        <v>1011</v>
      </c>
      <c r="KW23" s="3">
        <v>998</v>
      </c>
      <c r="KX23" s="3">
        <v>1253</v>
      </c>
      <c r="KY23" s="3">
        <v>1049</v>
      </c>
      <c r="KZ23" s="3">
        <v>1396</v>
      </c>
      <c r="LA23" s="3">
        <v>1001</v>
      </c>
      <c r="LB23" s="3">
        <v>850</v>
      </c>
      <c r="LC23" s="3">
        <v>967</v>
      </c>
      <c r="LD23" s="3">
        <v>1534</v>
      </c>
      <c r="LE23" s="3">
        <v>1194</v>
      </c>
      <c r="LF23" s="3">
        <v>1617</v>
      </c>
      <c r="LG23" s="3">
        <v>1499</v>
      </c>
      <c r="LH23" s="3">
        <v>1074</v>
      </c>
      <c r="LI23" s="3">
        <v>848</v>
      </c>
      <c r="LJ23" s="3">
        <v>1341</v>
      </c>
      <c r="LK23" s="3">
        <v>1281</v>
      </c>
      <c r="LL23" s="3">
        <v>1772</v>
      </c>
      <c r="LM23" s="3">
        <v>1760</v>
      </c>
      <c r="LN23" s="3">
        <v>579</v>
      </c>
      <c r="LO23" s="3">
        <v>711</v>
      </c>
      <c r="LP23" s="3">
        <v>1004</v>
      </c>
      <c r="LQ23" s="3">
        <v>977</v>
      </c>
      <c r="LR23" s="3">
        <v>1195</v>
      </c>
      <c r="LS23" s="3">
        <v>1104</v>
      </c>
      <c r="LT23" s="3">
        <v>1422</v>
      </c>
      <c r="LU23" s="3">
        <v>1156</v>
      </c>
      <c r="LV23" s="3">
        <v>2309</v>
      </c>
      <c r="LW23" s="3">
        <v>1946</v>
      </c>
      <c r="LX23" s="3">
        <v>2240</v>
      </c>
      <c r="LY23" s="3">
        <v>2080</v>
      </c>
      <c r="LZ23" s="3">
        <v>1147</v>
      </c>
      <c r="MA23" s="3">
        <v>1552</v>
      </c>
      <c r="MB23" s="3">
        <v>2107</v>
      </c>
      <c r="MC23" s="3">
        <v>2080</v>
      </c>
      <c r="MD23" s="3">
        <v>2174</v>
      </c>
      <c r="ME23" s="3">
        <v>2499</v>
      </c>
      <c r="MF23" s="3">
        <v>1929</v>
      </c>
      <c r="MG23" s="3">
        <v>1385</v>
      </c>
      <c r="MH23" s="3">
        <v>2314</v>
      </c>
      <c r="MI23" s="3">
        <v>2416</v>
      </c>
      <c r="MJ23" s="3">
        <v>2587</v>
      </c>
      <c r="MK23" s="3">
        <v>2636</v>
      </c>
      <c r="ML23" s="3">
        <v>1835</v>
      </c>
      <c r="MM23" s="3">
        <v>2002</v>
      </c>
      <c r="MN23" s="3">
        <v>3020</v>
      </c>
      <c r="MO23" s="3">
        <v>2757</v>
      </c>
      <c r="MP23" s="3">
        <v>3811</v>
      </c>
      <c r="MQ23" s="3">
        <v>4104</v>
      </c>
      <c r="MR23" s="3">
        <v>2070</v>
      </c>
      <c r="MS23" s="3">
        <v>1719</v>
      </c>
      <c r="MT23" s="3">
        <v>2848</v>
      </c>
      <c r="MU23" s="3">
        <v>2780</v>
      </c>
      <c r="MV23" s="3">
        <v>3900</v>
      </c>
      <c r="MW23" s="3">
        <v>3431</v>
      </c>
    </row>
    <row r="24" spans="1:361" x14ac:dyDescent="0.3">
      <c r="A24" s="3">
        <v>13</v>
      </c>
      <c r="B24" s="3">
        <v>440</v>
      </c>
      <c r="C24" s="3">
        <v>283</v>
      </c>
      <c r="D24" s="3">
        <v>473</v>
      </c>
      <c r="E24" s="3">
        <v>467</v>
      </c>
      <c r="F24" s="3">
        <v>591</v>
      </c>
      <c r="G24" s="3">
        <v>534</v>
      </c>
      <c r="H24" s="3">
        <v>1006</v>
      </c>
      <c r="I24" s="3">
        <v>973</v>
      </c>
      <c r="J24" s="3">
        <v>1067</v>
      </c>
      <c r="K24" s="3">
        <v>800</v>
      </c>
      <c r="L24" s="3">
        <v>1429</v>
      </c>
      <c r="M24" s="3">
        <v>900</v>
      </c>
      <c r="N24" s="3">
        <v>553</v>
      </c>
      <c r="O24" s="3">
        <v>487</v>
      </c>
      <c r="P24" s="3">
        <v>1040</v>
      </c>
      <c r="Q24" s="3">
        <v>1014</v>
      </c>
      <c r="R24" s="3">
        <v>1041</v>
      </c>
      <c r="S24" s="3">
        <v>911</v>
      </c>
      <c r="T24" s="3">
        <v>820</v>
      </c>
      <c r="U24" s="3">
        <v>904</v>
      </c>
      <c r="V24" s="3">
        <v>1035</v>
      </c>
      <c r="W24" s="3">
        <v>1121</v>
      </c>
      <c r="X24" s="3">
        <v>1300</v>
      </c>
      <c r="Y24" s="3">
        <v>1008</v>
      </c>
      <c r="Z24" s="3">
        <v>1056</v>
      </c>
      <c r="AA24" s="3">
        <v>913</v>
      </c>
      <c r="AB24" s="3">
        <v>1178</v>
      </c>
      <c r="AC24" s="3">
        <v>1346</v>
      </c>
      <c r="AD24" s="3">
        <v>1844</v>
      </c>
      <c r="AE24" s="3">
        <v>1841</v>
      </c>
      <c r="AF24" s="3">
        <v>1080</v>
      </c>
      <c r="AG24" s="3">
        <v>1123</v>
      </c>
      <c r="AH24" s="3">
        <v>1854</v>
      </c>
      <c r="AI24" s="3">
        <v>1139</v>
      </c>
      <c r="AJ24" s="3">
        <v>2018</v>
      </c>
      <c r="AK24" s="3">
        <v>1310</v>
      </c>
      <c r="AL24" s="3">
        <v>741</v>
      </c>
      <c r="AM24" s="3">
        <v>665</v>
      </c>
      <c r="AN24" s="3">
        <v>1109</v>
      </c>
      <c r="AO24" s="3">
        <v>839</v>
      </c>
      <c r="AP24" s="3">
        <v>1374</v>
      </c>
      <c r="AQ24" s="3">
        <v>1288</v>
      </c>
      <c r="AR24" s="3">
        <v>2007</v>
      </c>
      <c r="AS24" s="3">
        <v>1538</v>
      </c>
      <c r="AT24" s="3">
        <v>2226</v>
      </c>
      <c r="AU24" s="3">
        <v>1704</v>
      </c>
      <c r="AV24" s="3">
        <v>2356</v>
      </c>
      <c r="AW24" s="3">
        <v>2211</v>
      </c>
      <c r="AX24" s="3">
        <v>1153</v>
      </c>
      <c r="AY24" s="3">
        <v>1462</v>
      </c>
      <c r="AZ24" s="3">
        <v>1752</v>
      </c>
      <c r="BA24" s="3">
        <v>1997</v>
      </c>
      <c r="BB24" s="3">
        <v>2706</v>
      </c>
      <c r="BC24" s="3">
        <v>2234</v>
      </c>
      <c r="BD24" s="3">
        <v>1743</v>
      </c>
      <c r="BE24" s="3">
        <v>1459</v>
      </c>
      <c r="BF24" s="3">
        <v>2516</v>
      </c>
      <c r="BG24" s="3">
        <v>2038</v>
      </c>
      <c r="BH24" s="3">
        <v>2590</v>
      </c>
      <c r="BI24" s="3">
        <v>2534</v>
      </c>
      <c r="BJ24" s="3">
        <v>1574</v>
      </c>
      <c r="BK24" s="3">
        <v>1976</v>
      </c>
      <c r="BL24" s="3">
        <v>2853</v>
      </c>
      <c r="BM24" s="3">
        <v>2294</v>
      </c>
      <c r="BN24" s="3">
        <v>3871</v>
      </c>
      <c r="BO24" s="3">
        <v>3467</v>
      </c>
      <c r="BP24" s="3">
        <v>2045</v>
      </c>
      <c r="BQ24" s="3">
        <v>1388</v>
      </c>
      <c r="BR24" s="3">
        <v>2708</v>
      </c>
      <c r="BS24" s="3">
        <v>2659</v>
      </c>
      <c r="BT24" s="3">
        <v>3435</v>
      </c>
      <c r="BU24" s="3">
        <v>3055</v>
      </c>
      <c r="BV24" s="3">
        <v>381</v>
      </c>
      <c r="BW24" s="3">
        <v>261</v>
      </c>
      <c r="BX24" s="3">
        <v>413</v>
      </c>
      <c r="BY24" s="3">
        <v>434</v>
      </c>
      <c r="BZ24" s="3">
        <v>596</v>
      </c>
      <c r="CA24" s="3">
        <v>573</v>
      </c>
      <c r="CB24" s="3">
        <v>553</v>
      </c>
      <c r="CC24" s="3">
        <v>682</v>
      </c>
      <c r="CD24" s="3">
        <v>1122</v>
      </c>
      <c r="CE24" s="3">
        <v>1098</v>
      </c>
      <c r="CF24" s="3">
        <v>915</v>
      </c>
      <c r="CG24" s="3">
        <v>1027</v>
      </c>
      <c r="CH24" s="3">
        <v>656</v>
      </c>
      <c r="CI24" s="3">
        <v>576</v>
      </c>
      <c r="CJ24" s="3">
        <v>1137</v>
      </c>
      <c r="CK24" s="3">
        <v>979</v>
      </c>
      <c r="CL24" s="3">
        <v>1120</v>
      </c>
      <c r="CM24" s="3">
        <v>900</v>
      </c>
      <c r="CN24" s="3">
        <v>750</v>
      </c>
      <c r="CO24" s="3">
        <v>785</v>
      </c>
      <c r="CP24" s="3">
        <v>1107</v>
      </c>
      <c r="CQ24" s="3">
        <v>1098</v>
      </c>
      <c r="CR24" s="3">
        <v>1426</v>
      </c>
      <c r="CS24" s="3">
        <v>1148</v>
      </c>
      <c r="CT24" s="3">
        <v>1032</v>
      </c>
      <c r="CU24" s="3">
        <v>838</v>
      </c>
      <c r="CV24" s="3">
        <v>1262</v>
      </c>
      <c r="CW24" s="3">
        <v>1125</v>
      </c>
      <c r="CX24" s="3">
        <v>1323</v>
      </c>
      <c r="CY24" s="3">
        <v>1511</v>
      </c>
      <c r="CZ24" s="3">
        <v>1175</v>
      </c>
      <c r="DA24" s="3">
        <v>865</v>
      </c>
      <c r="DB24" s="3">
        <v>1638</v>
      </c>
      <c r="DC24" s="3">
        <v>1323</v>
      </c>
      <c r="DD24" s="3">
        <v>1755</v>
      </c>
      <c r="DE24" s="3">
        <v>1425</v>
      </c>
      <c r="DF24" s="3">
        <v>700</v>
      </c>
      <c r="DG24" s="3">
        <v>644</v>
      </c>
      <c r="DH24" s="3">
        <v>1000</v>
      </c>
      <c r="DI24" s="3">
        <v>1091</v>
      </c>
      <c r="DJ24" s="3">
        <v>1277</v>
      </c>
      <c r="DK24" s="3">
        <v>1285</v>
      </c>
      <c r="DL24" s="3">
        <v>2037</v>
      </c>
      <c r="DM24" s="3">
        <v>1480</v>
      </c>
      <c r="DN24" s="3">
        <v>1939</v>
      </c>
      <c r="DO24" s="3">
        <v>1766</v>
      </c>
      <c r="DP24" s="3">
        <v>2670</v>
      </c>
      <c r="DQ24" s="3">
        <v>2006</v>
      </c>
      <c r="DR24" s="3">
        <v>1214</v>
      </c>
      <c r="DS24" s="3">
        <v>1150</v>
      </c>
      <c r="DT24" s="3">
        <v>1831</v>
      </c>
      <c r="DU24" s="3">
        <v>2053</v>
      </c>
      <c r="DV24" s="3">
        <v>2250</v>
      </c>
      <c r="DW24" s="3">
        <v>2458</v>
      </c>
      <c r="DX24" s="3">
        <v>1797</v>
      </c>
      <c r="DY24" s="3">
        <v>1635</v>
      </c>
      <c r="DZ24" s="3">
        <v>2282</v>
      </c>
      <c r="EA24" s="3">
        <v>1842</v>
      </c>
      <c r="EB24" s="3">
        <v>2791</v>
      </c>
      <c r="EC24" s="3">
        <v>2454</v>
      </c>
      <c r="ED24" s="3">
        <v>1489</v>
      </c>
      <c r="EE24" s="3">
        <v>1625</v>
      </c>
      <c r="EF24" s="3">
        <v>3002</v>
      </c>
      <c r="EG24" s="3">
        <v>2755</v>
      </c>
      <c r="EH24" s="3">
        <v>3841</v>
      </c>
      <c r="EI24" s="3">
        <v>3747</v>
      </c>
      <c r="EJ24" s="3">
        <v>2224</v>
      </c>
      <c r="EK24" s="3">
        <v>1536</v>
      </c>
      <c r="EL24" s="3">
        <v>3392</v>
      </c>
      <c r="EM24" s="3">
        <v>2608</v>
      </c>
      <c r="EN24" s="3">
        <v>3843</v>
      </c>
      <c r="EO24" s="3">
        <v>3294</v>
      </c>
      <c r="EP24" s="3">
        <v>441</v>
      </c>
      <c r="EQ24" s="3">
        <v>304</v>
      </c>
      <c r="ER24" s="3">
        <v>585</v>
      </c>
      <c r="ES24" s="3">
        <v>471</v>
      </c>
      <c r="ET24" s="3">
        <v>640</v>
      </c>
      <c r="EU24" s="3">
        <v>694</v>
      </c>
      <c r="EV24" s="3">
        <v>784</v>
      </c>
      <c r="EW24" s="3">
        <v>952</v>
      </c>
      <c r="EX24" s="3">
        <v>1171</v>
      </c>
      <c r="EY24" s="3">
        <v>826</v>
      </c>
      <c r="EZ24" s="3">
        <v>1061</v>
      </c>
      <c r="FA24" s="3">
        <v>1256</v>
      </c>
      <c r="FB24" s="3">
        <v>373</v>
      </c>
      <c r="FC24" s="3">
        <v>470</v>
      </c>
      <c r="FD24" s="3">
        <v>772</v>
      </c>
      <c r="FE24" s="3">
        <v>1101</v>
      </c>
      <c r="FF24" s="3">
        <v>1181</v>
      </c>
      <c r="FG24" s="3">
        <v>1094</v>
      </c>
      <c r="FH24" s="3">
        <v>614</v>
      </c>
      <c r="FI24" s="3">
        <v>648</v>
      </c>
      <c r="FJ24" s="3">
        <v>1084</v>
      </c>
      <c r="FK24" s="3">
        <v>921</v>
      </c>
      <c r="FL24" s="3">
        <v>1222</v>
      </c>
      <c r="FM24" s="3">
        <v>1252</v>
      </c>
      <c r="FN24" s="3">
        <v>832</v>
      </c>
      <c r="FO24" s="3">
        <v>563</v>
      </c>
      <c r="FP24" s="3">
        <v>1522</v>
      </c>
      <c r="FQ24" s="3">
        <v>1335</v>
      </c>
      <c r="FR24" s="3">
        <v>1813</v>
      </c>
      <c r="FS24" s="3">
        <v>1559</v>
      </c>
      <c r="FT24" s="3">
        <v>1012</v>
      </c>
      <c r="FU24" s="3">
        <v>805</v>
      </c>
      <c r="FV24" s="3">
        <v>1333</v>
      </c>
      <c r="FW24" s="3">
        <v>1271</v>
      </c>
      <c r="FX24" s="3">
        <v>1622</v>
      </c>
      <c r="FY24" s="3">
        <v>1586</v>
      </c>
      <c r="FZ24" s="3">
        <v>561</v>
      </c>
      <c r="GA24" s="3">
        <v>679</v>
      </c>
      <c r="GB24" s="3">
        <v>1164</v>
      </c>
      <c r="GC24" s="3">
        <v>876</v>
      </c>
      <c r="GD24" s="3">
        <v>1342</v>
      </c>
      <c r="GE24" s="3">
        <v>1316</v>
      </c>
      <c r="GF24" s="3">
        <v>1587</v>
      </c>
      <c r="GG24" s="3">
        <v>1278</v>
      </c>
      <c r="GH24" s="3">
        <v>2105</v>
      </c>
      <c r="GI24" s="3">
        <v>1832</v>
      </c>
      <c r="GJ24" s="3">
        <v>2551</v>
      </c>
      <c r="GK24" s="3">
        <v>2178</v>
      </c>
      <c r="GL24" s="3">
        <v>1201</v>
      </c>
      <c r="GM24" s="3">
        <v>1274</v>
      </c>
      <c r="GN24" s="3">
        <v>2096</v>
      </c>
      <c r="GO24" s="3">
        <v>1981</v>
      </c>
      <c r="GP24" s="3">
        <v>2662</v>
      </c>
      <c r="GQ24" s="3">
        <v>2551</v>
      </c>
      <c r="GR24" s="3">
        <v>1961</v>
      </c>
      <c r="GS24" s="3">
        <v>1570</v>
      </c>
      <c r="GT24" s="3">
        <v>2257</v>
      </c>
      <c r="GU24" s="3">
        <v>2013</v>
      </c>
      <c r="GV24" s="3">
        <v>2935</v>
      </c>
      <c r="GW24" s="3">
        <v>2307</v>
      </c>
      <c r="GX24" s="3">
        <v>1758</v>
      </c>
      <c r="GY24" s="3">
        <v>1741</v>
      </c>
      <c r="GZ24" s="3">
        <v>3097</v>
      </c>
      <c r="HA24" s="3">
        <v>2897</v>
      </c>
      <c r="HB24" s="3">
        <v>3549</v>
      </c>
      <c r="HC24" s="3">
        <v>3864</v>
      </c>
      <c r="HD24" s="3">
        <v>2025</v>
      </c>
      <c r="HE24" s="3">
        <v>1752</v>
      </c>
      <c r="HF24" s="3">
        <v>3150</v>
      </c>
      <c r="HG24" s="3">
        <v>2865</v>
      </c>
      <c r="HH24" s="3">
        <v>3992</v>
      </c>
      <c r="HI24" s="3">
        <v>3427</v>
      </c>
      <c r="HJ24" s="3">
        <v>218</v>
      </c>
      <c r="HK24" s="3">
        <v>341</v>
      </c>
      <c r="HL24" s="3">
        <v>464</v>
      </c>
      <c r="HM24" s="3">
        <v>549</v>
      </c>
      <c r="HN24" s="3">
        <v>671</v>
      </c>
      <c r="HO24" s="3">
        <v>607</v>
      </c>
      <c r="HP24" s="3">
        <v>664</v>
      </c>
      <c r="HQ24" s="3">
        <v>740</v>
      </c>
      <c r="HR24" s="3">
        <v>1154</v>
      </c>
      <c r="HS24" s="3">
        <v>1027</v>
      </c>
      <c r="HT24" s="3">
        <v>1242</v>
      </c>
      <c r="HU24" s="3">
        <v>927</v>
      </c>
      <c r="HV24" s="3">
        <v>726</v>
      </c>
      <c r="HW24" s="3">
        <v>663</v>
      </c>
      <c r="HX24" s="3">
        <v>999</v>
      </c>
      <c r="HY24" s="3">
        <v>853</v>
      </c>
      <c r="HZ24" s="3">
        <v>693</v>
      </c>
      <c r="IA24" s="3">
        <v>1445</v>
      </c>
      <c r="IB24" s="3">
        <v>1183</v>
      </c>
      <c r="IC24" s="3">
        <v>948</v>
      </c>
      <c r="ID24" s="3">
        <v>1276</v>
      </c>
      <c r="IE24" s="3">
        <v>841</v>
      </c>
      <c r="IF24" s="3">
        <v>1395</v>
      </c>
      <c r="IG24" s="3">
        <v>1131</v>
      </c>
      <c r="IH24" s="3">
        <v>945</v>
      </c>
      <c r="II24" s="3">
        <v>886</v>
      </c>
      <c r="IJ24" s="3">
        <v>1278</v>
      </c>
      <c r="IK24" s="3">
        <v>1438</v>
      </c>
      <c r="IL24" s="3">
        <v>1787</v>
      </c>
      <c r="IM24" s="3">
        <v>1920</v>
      </c>
      <c r="IN24" s="3">
        <v>1159</v>
      </c>
      <c r="IO24" s="3">
        <v>932</v>
      </c>
      <c r="IP24" s="3">
        <v>1728</v>
      </c>
      <c r="IQ24" s="3">
        <v>1215</v>
      </c>
      <c r="IR24" s="3">
        <v>1741</v>
      </c>
      <c r="IS24" s="3">
        <v>1679</v>
      </c>
      <c r="IT24" s="3">
        <v>719</v>
      </c>
      <c r="IU24" s="3">
        <v>571</v>
      </c>
      <c r="IV24" s="3">
        <v>894</v>
      </c>
      <c r="IW24" s="3">
        <v>860</v>
      </c>
      <c r="IX24" s="3">
        <v>1254</v>
      </c>
      <c r="IY24" s="3">
        <v>1399</v>
      </c>
      <c r="IZ24" s="3">
        <v>1969</v>
      </c>
      <c r="JA24" s="3">
        <v>1200</v>
      </c>
      <c r="JB24" s="3">
        <v>1995</v>
      </c>
      <c r="JC24" s="3">
        <v>1756</v>
      </c>
      <c r="JD24" s="3">
        <v>2020</v>
      </c>
      <c r="JE24" s="3">
        <v>2029</v>
      </c>
      <c r="JF24" s="3">
        <v>1166</v>
      </c>
      <c r="JG24" s="3">
        <v>1181</v>
      </c>
      <c r="JH24" s="3">
        <v>2235</v>
      </c>
      <c r="JI24" s="3">
        <v>1875</v>
      </c>
      <c r="JJ24" s="3">
        <v>2630</v>
      </c>
      <c r="JK24" s="3">
        <v>2307</v>
      </c>
      <c r="JL24" s="3">
        <v>1849</v>
      </c>
      <c r="JM24" s="3">
        <v>1553</v>
      </c>
      <c r="JN24" s="3">
        <v>2517</v>
      </c>
      <c r="JO24" s="3">
        <v>1997</v>
      </c>
      <c r="JP24" s="3">
        <v>2769</v>
      </c>
      <c r="JQ24" s="3">
        <v>2327</v>
      </c>
      <c r="JR24" s="3">
        <v>1560</v>
      </c>
      <c r="JS24" s="3">
        <v>1591</v>
      </c>
      <c r="JT24" s="3">
        <v>2952</v>
      </c>
      <c r="JU24" s="3">
        <v>3157</v>
      </c>
      <c r="JV24" s="3">
        <v>3940</v>
      </c>
      <c r="JW24" s="3">
        <v>3420</v>
      </c>
      <c r="JX24" s="3">
        <v>1766</v>
      </c>
      <c r="JY24" s="3">
        <v>1553</v>
      </c>
      <c r="JZ24" s="3">
        <v>3037</v>
      </c>
      <c r="KA24" s="3">
        <v>2804</v>
      </c>
      <c r="KB24" s="3">
        <v>3691</v>
      </c>
      <c r="KC24" s="3">
        <v>3301</v>
      </c>
      <c r="KD24" s="3">
        <v>289</v>
      </c>
      <c r="KE24" s="3">
        <v>368</v>
      </c>
      <c r="KF24" s="3">
        <v>485</v>
      </c>
      <c r="KG24" s="3">
        <v>452</v>
      </c>
      <c r="KH24" s="3">
        <v>677</v>
      </c>
      <c r="KI24" s="3">
        <v>618</v>
      </c>
      <c r="KJ24" s="3">
        <v>810</v>
      </c>
      <c r="KK24" s="3">
        <v>862</v>
      </c>
      <c r="KL24" s="3">
        <v>1211</v>
      </c>
      <c r="KM24" s="3">
        <v>1021</v>
      </c>
      <c r="KN24" s="3">
        <v>1112</v>
      </c>
      <c r="KO24" s="3">
        <v>1291</v>
      </c>
      <c r="KP24" s="3">
        <v>440</v>
      </c>
      <c r="KQ24" s="3">
        <v>522</v>
      </c>
      <c r="KR24" s="3">
        <v>786</v>
      </c>
      <c r="KS24" s="3">
        <v>908</v>
      </c>
      <c r="KT24" s="3">
        <v>1192</v>
      </c>
      <c r="KU24" s="3">
        <v>1225</v>
      </c>
      <c r="KV24" s="3">
        <v>1011</v>
      </c>
      <c r="KW24" s="3">
        <v>998</v>
      </c>
      <c r="KX24" s="3">
        <v>1253</v>
      </c>
      <c r="KY24" s="3">
        <v>1049</v>
      </c>
      <c r="KZ24" s="3">
        <v>1393</v>
      </c>
      <c r="LA24" s="3">
        <v>1012</v>
      </c>
      <c r="LB24" s="3">
        <v>850</v>
      </c>
      <c r="LC24" s="3">
        <v>967</v>
      </c>
      <c r="LD24" s="3">
        <v>1535</v>
      </c>
      <c r="LE24" s="3">
        <v>1198</v>
      </c>
      <c r="LF24" s="3">
        <v>1617</v>
      </c>
      <c r="LG24" s="3">
        <v>1499</v>
      </c>
      <c r="LH24" s="3">
        <v>1074</v>
      </c>
      <c r="LI24" s="3">
        <v>848</v>
      </c>
      <c r="LJ24" s="3">
        <v>1344</v>
      </c>
      <c r="LK24" s="3">
        <v>1295</v>
      </c>
      <c r="LL24" s="3">
        <v>1774</v>
      </c>
      <c r="LM24" s="3">
        <v>1761</v>
      </c>
      <c r="LN24" s="3">
        <v>579</v>
      </c>
      <c r="LO24" s="3">
        <v>711</v>
      </c>
      <c r="LP24" s="3">
        <v>1001</v>
      </c>
      <c r="LQ24" s="3">
        <v>977</v>
      </c>
      <c r="LR24" s="3">
        <v>1202</v>
      </c>
      <c r="LS24" s="3">
        <v>1090</v>
      </c>
      <c r="LT24" s="3">
        <v>1422</v>
      </c>
      <c r="LU24" s="3">
        <v>1156</v>
      </c>
      <c r="LV24" s="3">
        <v>2309</v>
      </c>
      <c r="LW24" s="3">
        <v>1946</v>
      </c>
      <c r="LX24" s="3">
        <v>2240</v>
      </c>
      <c r="LY24" s="3">
        <v>2080</v>
      </c>
      <c r="LZ24" s="3">
        <v>1146</v>
      </c>
      <c r="MA24" s="3">
        <v>1552</v>
      </c>
      <c r="MB24" s="3">
        <v>2095</v>
      </c>
      <c r="MC24" s="3">
        <v>2080</v>
      </c>
      <c r="MD24" s="3">
        <v>2173</v>
      </c>
      <c r="ME24" s="3">
        <v>2499</v>
      </c>
      <c r="MF24" s="3">
        <v>1929</v>
      </c>
      <c r="MG24" s="3">
        <v>1385</v>
      </c>
      <c r="MH24" s="3">
        <v>2319</v>
      </c>
      <c r="MI24" s="3">
        <v>2416</v>
      </c>
      <c r="MJ24" s="3">
        <v>2581</v>
      </c>
      <c r="MK24" s="3">
        <v>2646</v>
      </c>
      <c r="ML24" s="3">
        <v>1833</v>
      </c>
      <c r="MM24" s="3">
        <v>2002</v>
      </c>
      <c r="MN24" s="3">
        <v>3017</v>
      </c>
      <c r="MO24" s="3">
        <v>2751</v>
      </c>
      <c r="MP24" s="3">
        <v>3811</v>
      </c>
      <c r="MQ24" s="3">
        <v>4104</v>
      </c>
      <c r="MR24" s="3">
        <v>2071</v>
      </c>
      <c r="MS24" s="3">
        <v>1719</v>
      </c>
      <c r="MT24" s="3">
        <v>2845</v>
      </c>
      <c r="MU24" s="3">
        <v>2751</v>
      </c>
      <c r="MV24" s="3">
        <v>3910</v>
      </c>
      <c r="MW24" s="3">
        <v>3456</v>
      </c>
    </row>
    <row r="25" spans="1:361" x14ac:dyDescent="0.3">
      <c r="A25" s="3">
        <v>14</v>
      </c>
      <c r="B25" s="3">
        <v>440</v>
      </c>
      <c r="C25" s="3">
        <v>283</v>
      </c>
      <c r="D25" s="3">
        <v>473</v>
      </c>
      <c r="E25" s="3">
        <v>471</v>
      </c>
      <c r="F25" s="3">
        <v>591</v>
      </c>
      <c r="G25" s="3">
        <v>534</v>
      </c>
      <c r="H25" s="3">
        <v>1006</v>
      </c>
      <c r="I25" s="3">
        <v>973</v>
      </c>
      <c r="J25" s="3">
        <v>1067</v>
      </c>
      <c r="K25" s="3">
        <v>800</v>
      </c>
      <c r="L25" s="3">
        <v>1429</v>
      </c>
      <c r="M25" s="3">
        <v>900</v>
      </c>
      <c r="N25" s="3">
        <v>553</v>
      </c>
      <c r="O25" s="3">
        <v>487</v>
      </c>
      <c r="P25" s="3">
        <v>1043</v>
      </c>
      <c r="Q25" s="3">
        <v>1014</v>
      </c>
      <c r="R25" s="3">
        <v>1039</v>
      </c>
      <c r="S25" s="3">
        <v>907</v>
      </c>
      <c r="T25" s="3">
        <v>820</v>
      </c>
      <c r="U25" s="3">
        <v>904</v>
      </c>
      <c r="V25" s="3">
        <v>1035</v>
      </c>
      <c r="W25" s="3">
        <v>1121</v>
      </c>
      <c r="X25" s="3">
        <v>1295</v>
      </c>
      <c r="Y25" s="3">
        <v>1002</v>
      </c>
      <c r="Z25" s="3">
        <v>1056</v>
      </c>
      <c r="AA25" s="3">
        <v>913</v>
      </c>
      <c r="AB25" s="3">
        <v>1180</v>
      </c>
      <c r="AC25" s="3">
        <v>1337</v>
      </c>
      <c r="AD25" s="3">
        <v>1842</v>
      </c>
      <c r="AE25" s="3">
        <v>1841</v>
      </c>
      <c r="AF25" s="3">
        <v>1080</v>
      </c>
      <c r="AG25" s="3">
        <v>1123</v>
      </c>
      <c r="AH25" s="3">
        <v>1851</v>
      </c>
      <c r="AI25" s="3">
        <v>1137</v>
      </c>
      <c r="AJ25" s="3">
        <v>2015</v>
      </c>
      <c r="AK25" s="3">
        <v>1321</v>
      </c>
      <c r="AL25" s="3">
        <v>741</v>
      </c>
      <c r="AM25" s="3">
        <v>665</v>
      </c>
      <c r="AN25" s="3">
        <v>1111</v>
      </c>
      <c r="AO25" s="3">
        <v>839</v>
      </c>
      <c r="AP25" s="3">
        <v>1374</v>
      </c>
      <c r="AQ25" s="3">
        <v>1288</v>
      </c>
      <c r="AR25" s="3">
        <v>2007</v>
      </c>
      <c r="AS25" s="3">
        <v>1538</v>
      </c>
      <c r="AT25" s="3">
        <v>2226</v>
      </c>
      <c r="AU25" s="3">
        <v>1704</v>
      </c>
      <c r="AV25" s="3">
        <v>2356</v>
      </c>
      <c r="AW25" s="3">
        <v>2211</v>
      </c>
      <c r="AX25" s="3">
        <v>1153</v>
      </c>
      <c r="AY25" s="3">
        <v>1472</v>
      </c>
      <c r="AZ25" s="3">
        <v>1746</v>
      </c>
      <c r="BA25" s="3">
        <v>1997</v>
      </c>
      <c r="BB25" s="3">
        <v>2708</v>
      </c>
      <c r="BC25" s="3">
        <v>2231</v>
      </c>
      <c r="BD25" s="3">
        <v>1743</v>
      </c>
      <c r="BE25" s="3">
        <v>1459</v>
      </c>
      <c r="BF25" s="3">
        <v>2516</v>
      </c>
      <c r="BG25" s="3">
        <v>2038</v>
      </c>
      <c r="BH25" s="3">
        <v>2583</v>
      </c>
      <c r="BI25" s="3">
        <v>2525</v>
      </c>
      <c r="BJ25" s="3">
        <v>1575</v>
      </c>
      <c r="BK25" s="3">
        <v>1978</v>
      </c>
      <c r="BL25" s="3">
        <v>2853</v>
      </c>
      <c r="BM25" s="3">
        <v>2294</v>
      </c>
      <c r="BN25" s="3">
        <v>3861</v>
      </c>
      <c r="BO25" s="3">
        <v>3434</v>
      </c>
      <c r="BP25" s="3">
        <v>2054</v>
      </c>
      <c r="BQ25" s="3">
        <v>1388</v>
      </c>
      <c r="BR25" s="3">
        <v>2716</v>
      </c>
      <c r="BS25" s="3">
        <v>2651</v>
      </c>
      <c r="BT25" s="3">
        <v>3430</v>
      </c>
      <c r="BU25" s="3">
        <v>3055</v>
      </c>
      <c r="BV25" s="3">
        <v>381</v>
      </c>
      <c r="BW25" s="3">
        <v>261</v>
      </c>
      <c r="BX25" s="3">
        <v>413</v>
      </c>
      <c r="BY25" s="3">
        <v>434</v>
      </c>
      <c r="BZ25" s="3">
        <v>598</v>
      </c>
      <c r="CA25" s="3">
        <v>573</v>
      </c>
      <c r="CB25" s="3">
        <v>553</v>
      </c>
      <c r="CC25" s="3">
        <v>682</v>
      </c>
      <c r="CD25" s="3">
        <v>1122</v>
      </c>
      <c r="CE25" s="3">
        <v>1098</v>
      </c>
      <c r="CF25" s="3">
        <v>915</v>
      </c>
      <c r="CG25" s="3">
        <v>1027</v>
      </c>
      <c r="CH25" s="3">
        <v>656</v>
      </c>
      <c r="CI25" s="3">
        <v>576</v>
      </c>
      <c r="CJ25" s="3">
        <v>1136</v>
      </c>
      <c r="CK25" s="3">
        <v>971</v>
      </c>
      <c r="CL25" s="3">
        <v>1120</v>
      </c>
      <c r="CM25" s="3">
        <v>900</v>
      </c>
      <c r="CN25" s="3">
        <v>750</v>
      </c>
      <c r="CO25" s="3">
        <v>785</v>
      </c>
      <c r="CP25" s="3">
        <v>1107</v>
      </c>
      <c r="CQ25" s="3">
        <v>1098</v>
      </c>
      <c r="CR25" s="3">
        <v>1427</v>
      </c>
      <c r="CS25" s="3">
        <v>1136</v>
      </c>
      <c r="CT25" s="3">
        <v>1032</v>
      </c>
      <c r="CU25" s="3">
        <v>838</v>
      </c>
      <c r="CV25" s="3">
        <v>1262</v>
      </c>
      <c r="CW25" s="3">
        <v>1125</v>
      </c>
      <c r="CX25" s="3">
        <v>1323</v>
      </c>
      <c r="CY25" s="3">
        <v>1511</v>
      </c>
      <c r="CZ25" s="3">
        <v>1175</v>
      </c>
      <c r="DA25" s="3">
        <v>865</v>
      </c>
      <c r="DB25" s="3">
        <v>1635</v>
      </c>
      <c r="DC25" s="3">
        <v>1324</v>
      </c>
      <c r="DD25" s="3">
        <v>1754</v>
      </c>
      <c r="DE25" s="3">
        <v>1430</v>
      </c>
      <c r="DF25" s="3">
        <v>700</v>
      </c>
      <c r="DG25" s="3">
        <v>643</v>
      </c>
      <c r="DH25" s="3">
        <v>1000</v>
      </c>
      <c r="DI25" s="3">
        <v>1096</v>
      </c>
      <c r="DJ25" s="3">
        <v>1277</v>
      </c>
      <c r="DK25" s="3">
        <v>1295</v>
      </c>
      <c r="DL25" s="3">
        <v>2037</v>
      </c>
      <c r="DM25" s="3">
        <v>1480</v>
      </c>
      <c r="DN25" s="3">
        <v>1939</v>
      </c>
      <c r="DO25" s="3">
        <v>1766</v>
      </c>
      <c r="DP25" s="3">
        <v>2670</v>
      </c>
      <c r="DQ25" s="3">
        <v>2006</v>
      </c>
      <c r="DR25" s="3">
        <v>1214</v>
      </c>
      <c r="DS25" s="3">
        <v>1150</v>
      </c>
      <c r="DT25" s="3">
        <v>1831</v>
      </c>
      <c r="DU25" s="3">
        <v>2063</v>
      </c>
      <c r="DV25" s="3">
        <v>2250</v>
      </c>
      <c r="DW25" s="3">
        <v>2458</v>
      </c>
      <c r="DX25" s="3">
        <v>1797</v>
      </c>
      <c r="DY25" s="3">
        <v>1635</v>
      </c>
      <c r="DZ25" s="3">
        <v>2285</v>
      </c>
      <c r="EA25" s="3">
        <v>1851</v>
      </c>
      <c r="EB25" s="3">
        <v>2799</v>
      </c>
      <c r="EC25" s="3">
        <v>2468</v>
      </c>
      <c r="ED25" s="3">
        <v>1484</v>
      </c>
      <c r="EE25" s="3">
        <v>1625</v>
      </c>
      <c r="EF25" s="3">
        <v>3010</v>
      </c>
      <c r="EG25" s="3">
        <v>2779</v>
      </c>
      <c r="EH25" s="3">
        <v>3850</v>
      </c>
      <c r="EI25" s="3">
        <v>3726</v>
      </c>
      <c r="EJ25" s="3">
        <v>2227</v>
      </c>
      <c r="EK25" s="3">
        <v>1516</v>
      </c>
      <c r="EL25" s="3">
        <v>3382</v>
      </c>
      <c r="EM25" s="3">
        <v>2576</v>
      </c>
      <c r="EN25" s="3">
        <v>3839</v>
      </c>
      <c r="EO25" s="3">
        <v>3282</v>
      </c>
      <c r="EP25" s="3">
        <v>441</v>
      </c>
      <c r="EQ25" s="3">
        <v>304</v>
      </c>
      <c r="ER25" s="3">
        <v>585</v>
      </c>
      <c r="ES25" s="3">
        <v>471</v>
      </c>
      <c r="ET25" s="3">
        <v>640</v>
      </c>
      <c r="EU25" s="3">
        <v>694</v>
      </c>
      <c r="EV25" s="3">
        <v>784</v>
      </c>
      <c r="EW25" s="3">
        <v>952</v>
      </c>
      <c r="EX25" s="3">
        <v>1171</v>
      </c>
      <c r="EY25" s="3">
        <v>826</v>
      </c>
      <c r="EZ25" s="3">
        <v>1061</v>
      </c>
      <c r="FA25" s="3">
        <v>1256</v>
      </c>
      <c r="FB25" s="3">
        <v>373</v>
      </c>
      <c r="FC25" s="3">
        <v>470</v>
      </c>
      <c r="FD25" s="3">
        <v>771</v>
      </c>
      <c r="FE25" s="3">
        <v>1101</v>
      </c>
      <c r="FF25" s="3">
        <v>1181</v>
      </c>
      <c r="FG25" s="3">
        <v>1100</v>
      </c>
      <c r="FH25" s="3">
        <v>614</v>
      </c>
      <c r="FI25" s="3">
        <v>648</v>
      </c>
      <c r="FJ25" s="3">
        <v>1084</v>
      </c>
      <c r="FK25" s="3">
        <v>921</v>
      </c>
      <c r="FL25" s="3">
        <v>1221</v>
      </c>
      <c r="FM25" s="3">
        <v>1249</v>
      </c>
      <c r="FN25" s="3">
        <v>832</v>
      </c>
      <c r="FO25" s="3">
        <v>563</v>
      </c>
      <c r="FP25" s="3">
        <v>1522</v>
      </c>
      <c r="FQ25" s="3">
        <v>1334</v>
      </c>
      <c r="FR25" s="3">
        <v>1809</v>
      </c>
      <c r="FS25" s="3">
        <v>1559</v>
      </c>
      <c r="FT25" s="3">
        <v>1013</v>
      </c>
      <c r="FU25" s="3">
        <v>805</v>
      </c>
      <c r="FV25" s="3">
        <v>1333</v>
      </c>
      <c r="FW25" s="3">
        <v>1271</v>
      </c>
      <c r="FX25" s="3">
        <v>1618</v>
      </c>
      <c r="FY25" s="3">
        <v>1565</v>
      </c>
      <c r="FZ25" s="3">
        <v>561</v>
      </c>
      <c r="GA25" s="3">
        <v>679</v>
      </c>
      <c r="GB25" s="3">
        <v>1164</v>
      </c>
      <c r="GC25" s="3">
        <v>876</v>
      </c>
      <c r="GD25" s="3">
        <v>1342</v>
      </c>
      <c r="GE25" s="3">
        <v>1316</v>
      </c>
      <c r="GF25" s="3">
        <v>1587</v>
      </c>
      <c r="GG25" s="3">
        <v>1278</v>
      </c>
      <c r="GH25" s="3">
        <v>2105</v>
      </c>
      <c r="GI25" s="3">
        <v>1832</v>
      </c>
      <c r="GJ25" s="3">
        <v>2551</v>
      </c>
      <c r="GK25" s="3">
        <v>2178</v>
      </c>
      <c r="GL25" s="3">
        <v>1200</v>
      </c>
      <c r="GM25" s="3">
        <v>1267</v>
      </c>
      <c r="GN25" s="3">
        <v>2093</v>
      </c>
      <c r="GO25" s="3">
        <v>1979</v>
      </c>
      <c r="GP25" s="3">
        <v>2662</v>
      </c>
      <c r="GQ25" s="3">
        <v>2551</v>
      </c>
      <c r="GR25" s="3">
        <v>1961</v>
      </c>
      <c r="GS25" s="3">
        <v>1570</v>
      </c>
      <c r="GT25" s="3">
        <v>2260</v>
      </c>
      <c r="GU25" s="3">
        <v>2013</v>
      </c>
      <c r="GV25" s="3">
        <v>2877</v>
      </c>
      <c r="GW25" s="3">
        <v>2285</v>
      </c>
      <c r="GX25" s="3">
        <v>1752</v>
      </c>
      <c r="GY25" s="3">
        <v>1741</v>
      </c>
      <c r="GZ25" s="3">
        <v>3097</v>
      </c>
      <c r="HA25" s="3">
        <v>2887</v>
      </c>
      <c r="HB25" s="3">
        <v>3543</v>
      </c>
      <c r="HC25" s="3">
        <v>3864</v>
      </c>
      <c r="HD25" s="3">
        <v>2022</v>
      </c>
      <c r="HE25" s="3">
        <v>1748</v>
      </c>
      <c r="HF25" s="3">
        <v>3133</v>
      </c>
      <c r="HG25" s="3">
        <v>2864</v>
      </c>
      <c r="HH25" s="3">
        <v>3977</v>
      </c>
      <c r="HI25" s="3">
        <v>3419</v>
      </c>
      <c r="HJ25" s="3">
        <v>218</v>
      </c>
      <c r="HK25" s="3">
        <v>341</v>
      </c>
      <c r="HL25" s="3">
        <v>464</v>
      </c>
      <c r="HM25" s="3">
        <v>543</v>
      </c>
      <c r="HN25" s="3">
        <v>671</v>
      </c>
      <c r="HO25" s="3">
        <v>607</v>
      </c>
      <c r="HP25" s="3">
        <v>664</v>
      </c>
      <c r="HQ25" s="3">
        <v>740</v>
      </c>
      <c r="HR25" s="3">
        <v>1154</v>
      </c>
      <c r="HS25" s="3">
        <v>1027</v>
      </c>
      <c r="HT25" s="3">
        <v>1242</v>
      </c>
      <c r="HU25" s="3">
        <v>927</v>
      </c>
      <c r="HV25" s="3">
        <v>726</v>
      </c>
      <c r="HW25" s="3">
        <v>663</v>
      </c>
      <c r="HX25" s="3">
        <v>999</v>
      </c>
      <c r="HY25" s="3">
        <v>853</v>
      </c>
      <c r="HZ25" s="3">
        <v>693</v>
      </c>
      <c r="IA25" s="3">
        <v>1445</v>
      </c>
      <c r="IB25" s="3">
        <v>1183</v>
      </c>
      <c r="IC25" s="3">
        <v>948</v>
      </c>
      <c r="ID25" s="3">
        <v>1276</v>
      </c>
      <c r="IE25" s="3">
        <v>850</v>
      </c>
      <c r="IF25" s="3">
        <v>1388</v>
      </c>
      <c r="IG25" s="3">
        <v>1126</v>
      </c>
      <c r="IH25" s="3">
        <v>945</v>
      </c>
      <c r="II25" s="3">
        <v>886</v>
      </c>
      <c r="IJ25" s="3">
        <v>1277</v>
      </c>
      <c r="IK25" s="3">
        <v>1461</v>
      </c>
      <c r="IL25" s="3">
        <v>1787</v>
      </c>
      <c r="IM25" s="3">
        <v>1920</v>
      </c>
      <c r="IN25" s="3">
        <v>1159</v>
      </c>
      <c r="IO25" s="3">
        <v>932</v>
      </c>
      <c r="IP25" s="3">
        <v>1734</v>
      </c>
      <c r="IQ25" s="3">
        <v>1227</v>
      </c>
      <c r="IR25" s="3">
        <v>1742</v>
      </c>
      <c r="IS25" s="3">
        <v>1695</v>
      </c>
      <c r="IT25" s="3">
        <v>719</v>
      </c>
      <c r="IU25" s="3">
        <v>571</v>
      </c>
      <c r="IV25" s="3">
        <v>892</v>
      </c>
      <c r="IW25" s="3">
        <v>860</v>
      </c>
      <c r="IX25" s="3">
        <v>1254</v>
      </c>
      <c r="IY25" s="3">
        <v>1399</v>
      </c>
      <c r="IZ25" s="3">
        <v>1969</v>
      </c>
      <c r="JA25" s="3">
        <v>1200</v>
      </c>
      <c r="JB25" s="3">
        <v>1995</v>
      </c>
      <c r="JC25" s="3">
        <v>1756</v>
      </c>
      <c r="JD25" s="3">
        <v>2019</v>
      </c>
      <c r="JE25" s="3">
        <v>2029</v>
      </c>
      <c r="JF25" s="3">
        <v>1164</v>
      </c>
      <c r="JG25" s="3">
        <v>1181</v>
      </c>
      <c r="JH25" s="3">
        <v>2235</v>
      </c>
      <c r="JI25" s="3">
        <v>1875</v>
      </c>
      <c r="JJ25" s="3">
        <v>2630</v>
      </c>
      <c r="JK25" s="3">
        <v>2315</v>
      </c>
      <c r="JL25" s="3">
        <v>1849</v>
      </c>
      <c r="JM25" s="3">
        <v>1553</v>
      </c>
      <c r="JN25" s="3">
        <v>2516</v>
      </c>
      <c r="JO25" s="3">
        <v>1990</v>
      </c>
      <c r="JP25" s="3">
        <v>2771</v>
      </c>
      <c r="JQ25" s="3">
        <v>2344</v>
      </c>
      <c r="JR25" s="3">
        <v>1560</v>
      </c>
      <c r="JS25" s="3">
        <v>1591</v>
      </c>
      <c r="JT25" s="3">
        <v>2952</v>
      </c>
      <c r="JU25" s="3">
        <v>3157</v>
      </c>
      <c r="JV25" s="3">
        <v>3936</v>
      </c>
      <c r="JW25" s="3">
        <v>3420</v>
      </c>
      <c r="JX25" s="3">
        <v>1770</v>
      </c>
      <c r="JY25" s="3">
        <v>1552</v>
      </c>
      <c r="JZ25" s="3">
        <v>3040</v>
      </c>
      <c r="KA25" s="3">
        <v>2796</v>
      </c>
      <c r="KB25" s="3">
        <v>3704</v>
      </c>
      <c r="KC25" s="3">
        <v>3279</v>
      </c>
      <c r="KD25" s="3">
        <v>289</v>
      </c>
      <c r="KE25" s="3">
        <v>368</v>
      </c>
      <c r="KF25" s="3">
        <v>485</v>
      </c>
      <c r="KG25" s="3">
        <v>455</v>
      </c>
      <c r="KH25" s="3">
        <v>677</v>
      </c>
      <c r="KI25" s="3">
        <v>626</v>
      </c>
      <c r="KJ25" s="3">
        <v>810</v>
      </c>
      <c r="KK25" s="3">
        <v>862</v>
      </c>
      <c r="KL25" s="3">
        <v>1211</v>
      </c>
      <c r="KM25" s="3">
        <v>1021</v>
      </c>
      <c r="KN25" s="3">
        <v>1112</v>
      </c>
      <c r="KO25" s="3">
        <v>1291</v>
      </c>
      <c r="KP25" s="3">
        <v>440</v>
      </c>
      <c r="KQ25" s="3">
        <v>522</v>
      </c>
      <c r="KR25" s="3">
        <v>786</v>
      </c>
      <c r="KS25" s="3">
        <v>908</v>
      </c>
      <c r="KT25" s="3">
        <v>1192</v>
      </c>
      <c r="KU25" s="3">
        <v>1225</v>
      </c>
      <c r="KV25" s="3">
        <v>1011</v>
      </c>
      <c r="KW25" s="3">
        <v>998</v>
      </c>
      <c r="KX25" s="3">
        <v>1253</v>
      </c>
      <c r="KY25" s="3">
        <v>1049</v>
      </c>
      <c r="KZ25" s="3">
        <v>1396</v>
      </c>
      <c r="LA25" s="3">
        <v>1012</v>
      </c>
      <c r="LB25" s="3">
        <v>850</v>
      </c>
      <c r="LC25" s="3">
        <v>967</v>
      </c>
      <c r="LD25" s="3">
        <v>1536</v>
      </c>
      <c r="LE25" s="3">
        <v>1200</v>
      </c>
      <c r="LF25" s="3">
        <v>1617</v>
      </c>
      <c r="LG25" s="3">
        <v>1499</v>
      </c>
      <c r="LH25" s="3">
        <v>1074</v>
      </c>
      <c r="LI25" s="3">
        <v>848</v>
      </c>
      <c r="LJ25" s="3">
        <v>1341</v>
      </c>
      <c r="LK25" s="3">
        <v>1285</v>
      </c>
      <c r="LL25" s="3">
        <v>1774</v>
      </c>
      <c r="LM25" s="3">
        <v>1767</v>
      </c>
      <c r="LN25" s="3">
        <v>579</v>
      </c>
      <c r="LO25" s="3">
        <v>711</v>
      </c>
      <c r="LP25" s="3">
        <v>999</v>
      </c>
      <c r="LQ25" s="3">
        <v>980</v>
      </c>
      <c r="LR25" s="3">
        <v>1198</v>
      </c>
      <c r="LS25" s="3">
        <v>1114</v>
      </c>
      <c r="LT25" s="3">
        <v>1422</v>
      </c>
      <c r="LU25" s="3">
        <v>1156</v>
      </c>
      <c r="LV25" s="3">
        <v>2309</v>
      </c>
      <c r="LW25" s="3">
        <v>1946</v>
      </c>
      <c r="LX25" s="3">
        <v>2240</v>
      </c>
      <c r="LY25" s="3">
        <v>2080</v>
      </c>
      <c r="LZ25" s="3">
        <v>1147</v>
      </c>
      <c r="MA25" s="3">
        <v>1552</v>
      </c>
      <c r="MB25" s="3">
        <v>2099</v>
      </c>
      <c r="MC25" s="3">
        <v>2080</v>
      </c>
      <c r="MD25" s="3">
        <v>2175</v>
      </c>
      <c r="ME25" s="3">
        <v>2499</v>
      </c>
      <c r="MF25" s="3">
        <v>1929</v>
      </c>
      <c r="MG25" s="3">
        <v>1385</v>
      </c>
      <c r="MH25" s="3">
        <v>2325</v>
      </c>
      <c r="MI25" s="3">
        <v>2416</v>
      </c>
      <c r="MJ25" s="3">
        <v>2590</v>
      </c>
      <c r="MK25" s="3">
        <v>2635</v>
      </c>
      <c r="ML25" s="3">
        <v>1832</v>
      </c>
      <c r="MM25" s="3">
        <v>2002</v>
      </c>
      <c r="MN25" s="3">
        <v>3022</v>
      </c>
      <c r="MO25" s="3">
        <v>2765</v>
      </c>
      <c r="MP25" s="3">
        <v>3811</v>
      </c>
      <c r="MQ25" s="3">
        <v>4104</v>
      </c>
      <c r="MR25" s="3">
        <v>2072</v>
      </c>
      <c r="MS25" s="3">
        <v>1719</v>
      </c>
      <c r="MT25" s="3">
        <v>2853</v>
      </c>
      <c r="MU25" s="3">
        <v>2754</v>
      </c>
      <c r="MV25" s="3">
        <v>3909</v>
      </c>
      <c r="MW25" s="3">
        <v>3419</v>
      </c>
    </row>
    <row r="26" spans="1:361" x14ac:dyDescent="0.3">
      <c r="A26" s="3">
        <v>15</v>
      </c>
      <c r="B26" s="3">
        <v>440</v>
      </c>
      <c r="C26" s="3">
        <v>283</v>
      </c>
      <c r="D26" s="3">
        <v>473</v>
      </c>
      <c r="E26" s="3">
        <v>467</v>
      </c>
      <c r="F26" s="3">
        <v>591</v>
      </c>
      <c r="G26" s="3">
        <v>534</v>
      </c>
      <c r="H26" s="3">
        <v>1006</v>
      </c>
      <c r="I26" s="3">
        <v>973</v>
      </c>
      <c r="J26" s="3">
        <v>1067</v>
      </c>
      <c r="K26" s="3">
        <v>800</v>
      </c>
      <c r="L26" s="3">
        <v>1429</v>
      </c>
      <c r="M26" s="3">
        <v>900</v>
      </c>
      <c r="N26" s="3">
        <v>553</v>
      </c>
      <c r="O26" s="3">
        <v>487</v>
      </c>
      <c r="P26" s="3">
        <v>1043</v>
      </c>
      <c r="Q26" s="3">
        <v>1014</v>
      </c>
      <c r="R26" s="3">
        <v>1041</v>
      </c>
      <c r="S26" s="3">
        <v>902</v>
      </c>
      <c r="T26" s="3">
        <v>820</v>
      </c>
      <c r="U26" s="3">
        <v>904</v>
      </c>
      <c r="V26" s="3">
        <v>1035</v>
      </c>
      <c r="W26" s="3">
        <v>1121</v>
      </c>
      <c r="X26" s="3">
        <v>1299</v>
      </c>
      <c r="Y26" s="3">
        <v>989</v>
      </c>
      <c r="Z26" s="3">
        <v>1056</v>
      </c>
      <c r="AA26" s="3">
        <v>913</v>
      </c>
      <c r="AB26" s="3">
        <v>1181</v>
      </c>
      <c r="AC26" s="3">
        <v>1337</v>
      </c>
      <c r="AD26" s="3">
        <v>1845</v>
      </c>
      <c r="AE26" s="3">
        <v>1841</v>
      </c>
      <c r="AF26" s="3">
        <v>1080</v>
      </c>
      <c r="AG26" s="3">
        <v>1123</v>
      </c>
      <c r="AH26" s="3">
        <v>1847</v>
      </c>
      <c r="AI26" s="3">
        <v>1136</v>
      </c>
      <c r="AJ26" s="3">
        <v>2015</v>
      </c>
      <c r="AK26" s="3">
        <v>1322</v>
      </c>
      <c r="AL26" s="3">
        <v>741</v>
      </c>
      <c r="AM26" s="3">
        <v>665</v>
      </c>
      <c r="AN26" s="3">
        <v>1112</v>
      </c>
      <c r="AO26" s="3">
        <v>839</v>
      </c>
      <c r="AP26" s="3">
        <v>1375</v>
      </c>
      <c r="AQ26" s="3">
        <v>1288</v>
      </c>
      <c r="AR26" s="3">
        <v>2007</v>
      </c>
      <c r="AS26" s="3">
        <v>1538</v>
      </c>
      <c r="AT26" s="3">
        <v>2226</v>
      </c>
      <c r="AU26" s="3">
        <v>1704</v>
      </c>
      <c r="AV26" s="3">
        <v>2356</v>
      </c>
      <c r="AW26" s="3">
        <v>2211</v>
      </c>
      <c r="AX26" s="3">
        <v>1153</v>
      </c>
      <c r="AY26" s="3">
        <v>1473</v>
      </c>
      <c r="AZ26" s="3">
        <v>1750</v>
      </c>
      <c r="BA26" s="3">
        <v>1997</v>
      </c>
      <c r="BB26" s="3">
        <v>2708</v>
      </c>
      <c r="BC26" s="3">
        <v>2217</v>
      </c>
      <c r="BD26" s="3">
        <v>1743</v>
      </c>
      <c r="BE26" s="3">
        <v>1459</v>
      </c>
      <c r="BF26" s="3">
        <v>2516</v>
      </c>
      <c r="BG26" s="3">
        <v>2041</v>
      </c>
      <c r="BH26" s="3">
        <v>2564</v>
      </c>
      <c r="BI26" s="3">
        <v>2512</v>
      </c>
      <c r="BJ26" s="3">
        <v>1573</v>
      </c>
      <c r="BK26" s="3">
        <v>1984</v>
      </c>
      <c r="BL26" s="3">
        <v>2853</v>
      </c>
      <c r="BM26" s="3">
        <v>2293</v>
      </c>
      <c r="BN26" s="3">
        <v>3866</v>
      </c>
      <c r="BO26" s="3">
        <v>3453</v>
      </c>
      <c r="BP26" s="3">
        <v>2054</v>
      </c>
      <c r="BQ26" s="3">
        <v>1388</v>
      </c>
      <c r="BR26" s="3">
        <v>2715</v>
      </c>
      <c r="BS26" s="3">
        <v>2631</v>
      </c>
      <c r="BT26" s="3">
        <v>3434</v>
      </c>
      <c r="BU26" s="3">
        <v>3041</v>
      </c>
      <c r="BV26" s="3">
        <v>381</v>
      </c>
      <c r="BW26" s="3">
        <v>261</v>
      </c>
      <c r="BX26" s="3">
        <v>413</v>
      </c>
      <c r="BY26" s="3">
        <v>434</v>
      </c>
      <c r="BZ26" s="3">
        <v>598</v>
      </c>
      <c r="CA26" s="3">
        <v>573</v>
      </c>
      <c r="CB26" s="3">
        <v>553</v>
      </c>
      <c r="CC26" s="3">
        <v>682</v>
      </c>
      <c r="CD26" s="3">
        <v>1122</v>
      </c>
      <c r="CE26" s="3">
        <v>1098</v>
      </c>
      <c r="CF26" s="3">
        <v>915</v>
      </c>
      <c r="CG26" s="3">
        <v>1027</v>
      </c>
      <c r="CH26" s="3">
        <v>656</v>
      </c>
      <c r="CI26" s="3">
        <v>576</v>
      </c>
      <c r="CJ26" s="3">
        <v>1137</v>
      </c>
      <c r="CK26" s="3">
        <v>971</v>
      </c>
      <c r="CL26" s="3">
        <v>1120</v>
      </c>
      <c r="CM26" s="3">
        <v>900</v>
      </c>
      <c r="CN26" s="3">
        <v>750</v>
      </c>
      <c r="CO26" s="3">
        <v>785</v>
      </c>
      <c r="CP26" s="3">
        <v>1108</v>
      </c>
      <c r="CQ26" s="3">
        <v>1098</v>
      </c>
      <c r="CR26" s="3">
        <v>1423</v>
      </c>
      <c r="CS26" s="3">
        <v>1148</v>
      </c>
      <c r="CT26" s="3">
        <v>1032</v>
      </c>
      <c r="CU26" s="3">
        <v>838</v>
      </c>
      <c r="CV26" s="3">
        <v>1262</v>
      </c>
      <c r="CW26" s="3">
        <v>1125</v>
      </c>
      <c r="CX26" s="3">
        <v>1323</v>
      </c>
      <c r="CY26" s="3">
        <v>1511</v>
      </c>
      <c r="CZ26" s="3">
        <v>1175</v>
      </c>
      <c r="DA26" s="3">
        <v>865</v>
      </c>
      <c r="DB26" s="3">
        <v>1641</v>
      </c>
      <c r="DC26" s="3">
        <v>1322</v>
      </c>
      <c r="DD26" s="3">
        <v>1752</v>
      </c>
      <c r="DE26" s="3">
        <v>1426</v>
      </c>
      <c r="DF26" s="3">
        <v>700</v>
      </c>
      <c r="DG26" s="3">
        <v>643</v>
      </c>
      <c r="DH26" s="3">
        <v>1000</v>
      </c>
      <c r="DI26" s="3">
        <v>1098</v>
      </c>
      <c r="DJ26" s="3">
        <v>1277</v>
      </c>
      <c r="DK26" s="3">
        <v>1291</v>
      </c>
      <c r="DL26" s="3">
        <v>2037</v>
      </c>
      <c r="DM26" s="3">
        <v>1480</v>
      </c>
      <c r="DN26" s="3">
        <v>1939</v>
      </c>
      <c r="DO26" s="3">
        <v>1766</v>
      </c>
      <c r="DP26" s="3">
        <v>2670</v>
      </c>
      <c r="DQ26" s="3">
        <v>2006</v>
      </c>
      <c r="DR26" s="3">
        <v>1214</v>
      </c>
      <c r="DS26" s="3">
        <v>1150</v>
      </c>
      <c r="DT26" s="3">
        <v>1833</v>
      </c>
      <c r="DU26" s="3">
        <v>2073</v>
      </c>
      <c r="DV26" s="3">
        <v>2250</v>
      </c>
      <c r="DW26" s="3">
        <v>2458</v>
      </c>
      <c r="DX26" s="3">
        <v>1797</v>
      </c>
      <c r="DY26" s="3">
        <v>1635</v>
      </c>
      <c r="DZ26" s="3">
        <v>2283</v>
      </c>
      <c r="EA26" s="3">
        <v>1857</v>
      </c>
      <c r="EB26" s="3">
        <v>2796</v>
      </c>
      <c r="EC26" s="3">
        <v>2444</v>
      </c>
      <c r="ED26" s="3">
        <v>1486</v>
      </c>
      <c r="EE26" s="3">
        <v>1625</v>
      </c>
      <c r="EF26" s="3">
        <v>3001</v>
      </c>
      <c r="EG26" s="3">
        <v>2751</v>
      </c>
      <c r="EH26" s="3">
        <v>3848</v>
      </c>
      <c r="EI26" s="3">
        <v>3747</v>
      </c>
      <c r="EJ26" s="3">
        <v>2229</v>
      </c>
      <c r="EK26" s="3">
        <v>1540</v>
      </c>
      <c r="EL26" s="3">
        <v>3384</v>
      </c>
      <c r="EM26" s="3">
        <v>2611</v>
      </c>
      <c r="EN26" s="3">
        <v>3842</v>
      </c>
      <c r="EO26" s="3">
        <v>3282</v>
      </c>
      <c r="EP26" s="3">
        <v>441</v>
      </c>
      <c r="EQ26" s="3">
        <v>304</v>
      </c>
      <c r="ER26" s="3">
        <v>585</v>
      </c>
      <c r="ES26" s="3">
        <v>471</v>
      </c>
      <c r="ET26" s="3">
        <v>640</v>
      </c>
      <c r="EU26" s="3">
        <v>700</v>
      </c>
      <c r="EV26" s="3">
        <v>784</v>
      </c>
      <c r="EW26" s="3">
        <v>952</v>
      </c>
      <c r="EX26" s="3">
        <v>1171</v>
      </c>
      <c r="EY26" s="3">
        <v>826</v>
      </c>
      <c r="EZ26" s="3">
        <v>1061</v>
      </c>
      <c r="FA26" s="3">
        <v>1256</v>
      </c>
      <c r="FB26" s="3">
        <v>373</v>
      </c>
      <c r="FC26" s="3">
        <v>470</v>
      </c>
      <c r="FD26" s="3">
        <v>773</v>
      </c>
      <c r="FE26" s="3">
        <v>1101</v>
      </c>
      <c r="FF26" s="3">
        <v>1179</v>
      </c>
      <c r="FG26" s="3">
        <v>1101</v>
      </c>
      <c r="FH26" s="3">
        <v>614</v>
      </c>
      <c r="FI26" s="3">
        <v>648</v>
      </c>
      <c r="FJ26" s="3">
        <v>1084</v>
      </c>
      <c r="FK26" s="3">
        <v>921</v>
      </c>
      <c r="FL26" s="3">
        <v>1222</v>
      </c>
      <c r="FM26" s="3">
        <v>1253</v>
      </c>
      <c r="FN26" s="3">
        <v>832</v>
      </c>
      <c r="FO26" s="3">
        <v>563</v>
      </c>
      <c r="FP26" s="3">
        <v>1522</v>
      </c>
      <c r="FQ26" s="3">
        <v>1334</v>
      </c>
      <c r="FR26" s="3">
        <v>1808</v>
      </c>
      <c r="FS26" s="3">
        <v>1559</v>
      </c>
      <c r="FT26" s="3">
        <v>1013</v>
      </c>
      <c r="FU26" s="3">
        <v>805</v>
      </c>
      <c r="FV26" s="3">
        <v>1331</v>
      </c>
      <c r="FW26" s="3">
        <v>1263</v>
      </c>
      <c r="FX26" s="3">
        <v>1619</v>
      </c>
      <c r="FY26" s="3">
        <v>1588</v>
      </c>
      <c r="FZ26" s="3">
        <v>561</v>
      </c>
      <c r="GA26" s="3">
        <v>679</v>
      </c>
      <c r="GB26" s="3">
        <v>1160</v>
      </c>
      <c r="GC26" s="3">
        <v>877</v>
      </c>
      <c r="GD26" s="3">
        <v>1342</v>
      </c>
      <c r="GE26" s="3">
        <v>1316</v>
      </c>
      <c r="GF26" s="3">
        <v>1587</v>
      </c>
      <c r="GG26" s="3">
        <v>1278</v>
      </c>
      <c r="GH26" s="3">
        <v>2105</v>
      </c>
      <c r="GI26" s="3">
        <v>1832</v>
      </c>
      <c r="GJ26" s="3">
        <v>2551</v>
      </c>
      <c r="GK26" s="3">
        <v>2178</v>
      </c>
      <c r="GL26" s="3">
        <v>1201</v>
      </c>
      <c r="GM26" s="3">
        <v>1268</v>
      </c>
      <c r="GN26" s="3">
        <v>2093</v>
      </c>
      <c r="GO26" s="3">
        <v>1981</v>
      </c>
      <c r="GP26" s="3">
        <v>2662</v>
      </c>
      <c r="GQ26" s="3">
        <v>2551</v>
      </c>
      <c r="GR26" s="3">
        <v>1961</v>
      </c>
      <c r="GS26" s="3">
        <v>1570</v>
      </c>
      <c r="GT26" s="3">
        <v>2262</v>
      </c>
      <c r="GU26" s="3">
        <v>2013</v>
      </c>
      <c r="GV26" s="3">
        <v>2906</v>
      </c>
      <c r="GW26" s="3">
        <v>2256</v>
      </c>
      <c r="GX26" s="3">
        <v>1755</v>
      </c>
      <c r="GY26" s="3">
        <v>1741</v>
      </c>
      <c r="GZ26" s="3">
        <v>3097</v>
      </c>
      <c r="HA26" s="3">
        <v>2888</v>
      </c>
      <c r="HB26" s="3">
        <v>3544</v>
      </c>
      <c r="HC26" s="3">
        <v>3864</v>
      </c>
      <c r="HD26" s="3">
        <v>2021</v>
      </c>
      <c r="HE26" s="3">
        <v>1759</v>
      </c>
      <c r="HF26" s="3">
        <v>3147</v>
      </c>
      <c r="HG26" s="3">
        <v>2832</v>
      </c>
      <c r="HH26" s="3">
        <v>3979</v>
      </c>
      <c r="HI26" s="3">
        <v>3405</v>
      </c>
      <c r="HJ26" s="3">
        <v>218</v>
      </c>
      <c r="HK26" s="3">
        <v>341</v>
      </c>
      <c r="HL26" s="3">
        <v>464</v>
      </c>
      <c r="HM26" s="3">
        <v>544</v>
      </c>
      <c r="HN26" s="3">
        <v>671</v>
      </c>
      <c r="HO26" s="3">
        <v>607</v>
      </c>
      <c r="HP26" s="3">
        <v>664</v>
      </c>
      <c r="HQ26" s="3">
        <v>740</v>
      </c>
      <c r="HR26" s="3">
        <v>1154</v>
      </c>
      <c r="HS26" s="3">
        <v>1027</v>
      </c>
      <c r="HT26" s="3">
        <v>1242</v>
      </c>
      <c r="HU26" s="3">
        <v>927</v>
      </c>
      <c r="HV26" s="3">
        <v>726</v>
      </c>
      <c r="HW26" s="3">
        <v>663</v>
      </c>
      <c r="HX26" s="3">
        <v>999</v>
      </c>
      <c r="HY26" s="3">
        <v>853</v>
      </c>
      <c r="HZ26" s="3">
        <v>693</v>
      </c>
      <c r="IA26" s="3">
        <v>1445</v>
      </c>
      <c r="IB26" s="3">
        <v>1183</v>
      </c>
      <c r="IC26" s="3">
        <v>948</v>
      </c>
      <c r="ID26" s="3">
        <v>1276</v>
      </c>
      <c r="IE26" s="3">
        <v>846</v>
      </c>
      <c r="IF26" s="3">
        <v>1395</v>
      </c>
      <c r="IG26" s="3">
        <v>1131</v>
      </c>
      <c r="IH26" s="3">
        <v>945</v>
      </c>
      <c r="II26" s="3">
        <v>886</v>
      </c>
      <c r="IJ26" s="3">
        <v>1278</v>
      </c>
      <c r="IK26" s="3">
        <v>1449</v>
      </c>
      <c r="IL26" s="3">
        <v>1787</v>
      </c>
      <c r="IM26" s="3">
        <v>1920</v>
      </c>
      <c r="IN26" s="3">
        <v>1159</v>
      </c>
      <c r="IO26" s="3">
        <v>932</v>
      </c>
      <c r="IP26" s="3">
        <v>1734</v>
      </c>
      <c r="IQ26" s="3">
        <v>1223</v>
      </c>
      <c r="IR26" s="3">
        <v>1742</v>
      </c>
      <c r="IS26" s="3">
        <v>1689</v>
      </c>
      <c r="IT26" s="3">
        <v>719</v>
      </c>
      <c r="IU26" s="3">
        <v>571</v>
      </c>
      <c r="IV26" s="3">
        <v>893</v>
      </c>
      <c r="IW26" s="3">
        <v>860</v>
      </c>
      <c r="IX26" s="3">
        <v>1255</v>
      </c>
      <c r="IY26" s="3">
        <v>1399</v>
      </c>
      <c r="IZ26" s="3">
        <v>1969</v>
      </c>
      <c r="JA26" s="3">
        <v>1200</v>
      </c>
      <c r="JB26" s="3">
        <v>1995</v>
      </c>
      <c r="JC26" s="3">
        <v>1756</v>
      </c>
      <c r="JD26" s="3">
        <v>2019</v>
      </c>
      <c r="JE26" s="3">
        <v>2029</v>
      </c>
      <c r="JF26" s="3">
        <v>1164</v>
      </c>
      <c r="JG26" s="3">
        <v>1181</v>
      </c>
      <c r="JH26" s="3">
        <v>2235</v>
      </c>
      <c r="JI26" s="3">
        <v>1875</v>
      </c>
      <c r="JJ26" s="3">
        <v>2630</v>
      </c>
      <c r="JK26" s="3">
        <v>2304</v>
      </c>
      <c r="JL26" s="3">
        <v>1849</v>
      </c>
      <c r="JM26" s="3">
        <v>1553</v>
      </c>
      <c r="JN26" s="3">
        <v>2517</v>
      </c>
      <c r="JO26" s="3">
        <v>1986</v>
      </c>
      <c r="JP26" s="3">
        <v>2762</v>
      </c>
      <c r="JQ26" s="3">
        <v>2353</v>
      </c>
      <c r="JR26" s="3">
        <v>1560</v>
      </c>
      <c r="JS26" s="3">
        <v>1587</v>
      </c>
      <c r="JT26" s="3">
        <v>2952</v>
      </c>
      <c r="JU26" s="3">
        <v>3157</v>
      </c>
      <c r="JV26" s="3">
        <v>3938</v>
      </c>
      <c r="JW26" s="3">
        <v>3420</v>
      </c>
      <c r="JX26" s="3">
        <v>1771</v>
      </c>
      <c r="JY26" s="3">
        <v>1557</v>
      </c>
      <c r="JZ26" s="3">
        <v>3033</v>
      </c>
      <c r="KA26" s="3">
        <v>2824</v>
      </c>
      <c r="KB26" s="3">
        <v>3703</v>
      </c>
      <c r="KC26" s="3">
        <v>3280</v>
      </c>
      <c r="KD26" s="3">
        <v>289</v>
      </c>
      <c r="KE26" s="3">
        <v>368</v>
      </c>
      <c r="KF26" s="3">
        <v>485</v>
      </c>
      <c r="KG26" s="3">
        <v>460</v>
      </c>
      <c r="KH26" s="3">
        <v>677</v>
      </c>
      <c r="KI26" s="3">
        <v>627</v>
      </c>
      <c r="KJ26" s="3">
        <v>810</v>
      </c>
      <c r="KK26" s="3">
        <v>862</v>
      </c>
      <c r="KL26" s="3">
        <v>1211</v>
      </c>
      <c r="KM26" s="3">
        <v>1021</v>
      </c>
      <c r="KN26" s="3">
        <v>1112</v>
      </c>
      <c r="KO26" s="3">
        <v>1291</v>
      </c>
      <c r="KP26" s="3">
        <v>440</v>
      </c>
      <c r="KQ26" s="3">
        <v>522</v>
      </c>
      <c r="KR26" s="3">
        <v>786</v>
      </c>
      <c r="KS26" s="3">
        <v>908</v>
      </c>
      <c r="KT26" s="3">
        <v>1192</v>
      </c>
      <c r="KU26" s="3">
        <v>1225</v>
      </c>
      <c r="KV26" s="3">
        <v>1011</v>
      </c>
      <c r="KW26" s="3">
        <v>998</v>
      </c>
      <c r="KX26" s="3">
        <v>1253</v>
      </c>
      <c r="KY26" s="3">
        <v>1049</v>
      </c>
      <c r="KZ26" s="3">
        <v>1396</v>
      </c>
      <c r="LA26" s="3">
        <v>996</v>
      </c>
      <c r="LB26" s="3">
        <v>850</v>
      </c>
      <c r="LC26" s="3">
        <v>967</v>
      </c>
      <c r="LD26" s="3">
        <v>1535</v>
      </c>
      <c r="LE26" s="3">
        <v>1199</v>
      </c>
      <c r="LF26" s="3">
        <v>1617</v>
      </c>
      <c r="LG26" s="3">
        <v>1499</v>
      </c>
      <c r="LH26" s="3">
        <v>1074</v>
      </c>
      <c r="LI26" s="3">
        <v>848</v>
      </c>
      <c r="LJ26" s="3">
        <v>1341</v>
      </c>
      <c r="LK26" s="3">
        <v>1281</v>
      </c>
      <c r="LL26" s="3">
        <v>1774</v>
      </c>
      <c r="LM26" s="3">
        <v>1757</v>
      </c>
      <c r="LN26" s="3">
        <v>579</v>
      </c>
      <c r="LO26" s="3">
        <v>711</v>
      </c>
      <c r="LP26" s="3">
        <v>1002</v>
      </c>
      <c r="LQ26" s="3">
        <v>980</v>
      </c>
      <c r="LR26" s="3">
        <v>1198</v>
      </c>
      <c r="LS26" s="3">
        <v>1109</v>
      </c>
      <c r="LT26" s="3">
        <v>1422</v>
      </c>
      <c r="LU26" s="3">
        <v>1156</v>
      </c>
      <c r="LV26" s="3">
        <v>2309</v>
      </c>
      <c r="LW26" s="3">
        <v>1946</v>
      </c>
      <c r="LX26" s="3">
        <v>2240</v>
      </c>
      <c r="LY26" s="3">
        <v>2080</v>
      </c>
      <c r="LZ26" s="3">
        <v>1146</v>
      </c>
      <c r="MA26" s="3">
        <v>1552</v>
      </c>
      <c r="MB26" s="3">
        <v>2101</v>
      </c>
      <c r="MC26" s="3">
        <v>2080</v>
      </c>
      <c r="MD26" s="3">
        <v>2175</v>
      </c>
      <c r="ME26" s="3">
        <v>2499</v>
      </c>
      <c r="MF26" s="3">
        <v>1929</v>
      </c>
      <c r="MG26" s="3">
        <v>1385</v>
      </c>
      <c r="MH26" s="3">
        <v>2320</v>
      </c>
      <c r="MI26" s="3">
        <v>2416</v>
      </c>
      <c r="MJ26" s="3">
        <v>2578</v>
      </c>
      <c r="MK26" s="3">
        <v>2635</v>
      </c>
      <c r="ML26" s="3">
        <v>1830</v>
      </c>
      <c r="MM26" s="3">
        <v>2002</v>
      </c>
      <c r="MN26" s="3">
        <v>3024</v>
      </c>
      <c r="MO26" s="3">
        <v>2769</v>
      </c>
      <c r="MP26" s="3">
        <v>3811</v>
      </c>
      <c r="MQ26" s="3">
        <v>4104</v>
      </c>
      <c r="MR26" s="3">
        <v>2072</v>
      </c>
      <c r="MS26" s="3">
        <v>1719</v>
      </c>
      <c r="MT26" s="3">
        <v>2836</v>
      </c>
      <c r="MU26" s="3">
        <v>2762</v>
      </c>
      <c r="MV26" s="3">
        <v>3905</v>
      </c>
      <c r="MW26" s="3">
        <v>3455</v>
      </c>
    </row>
    <row r="27" spans="1:361" x14ac:dyDescent="0.3">
      <c r="A27" s="3">
        <v>16</v>
      </c>
      <c r="B27" s="3">
        <v>440</v>
      </c>
      <c r="C27" s="3">
        <v>283</v>
      </c>
      <c r="D27" s="3">
        <v>473</v>
      </c>
      <c r="E27" s="3">
        <v>468</v>
      </c>
      <c r="F27" s="3">
        <v>591</v>
      </c>
      <c r="G27" s="3">
        <v>534</v>
      </c>
      <c r="H27" s="3">
        <v>1006</v>
      </c>
      <c r="I27" s="3">
        <v>973</v>
      </c>
      <c r="J27" s="3">
        <v>1067</v>
      </c>
      <c r="K27" s="3">
        <v>800</v>
      </c>
      <c r="L27" s="3">
        <v>1429</v>
      </c>
      <c r="M27" s="3">
        <v>900</v>
      </c>
      <c r="N27" s="3">
        <v>553</v>
      </c>
      <c r="O27" s="3">
        <v>487</v>
      </c>
      <c r="P27" s="3">
        <v>1043</v>
      </c>
      <c r="Q27" s="3">
        <v>1014</v>
      </c>
      <c r="R27" s="3">
        <v>1040</v>
      </c>
      <c r="S27" s="3">
        <v>908</v>
      </c>
      <c r="T27" s="3">
        <v>820</v>
      </c>
      <c r="U27" s="3">
        <v>904</v>
      </c>
      <c r="V27" s="3">
        <v>1035</v>
      </c>
      <c r="W27" s="3">
        <v>1110</v>
      </c>
      <c r="X27" s="3">
        <v>1295</v>
      </c>
      <c r="Y27" s="3">
        <v>995</v>
      </c>
      <c r="Z27" s="3">
        <v>1056</v>
      </c>
      <c r="AA27" s="3">
        <v>913</v>
      </c>
      <c r="AB27" s="3">
        <v>1179</v>
      </c>
      <c r="AC27" s="3">
        <v>1349</v>
      </c>
      <c r="AD27" s="3">
        <v>1845</v>
      </c>
      <c r="AE27" s="3">
        <v>1841</v>
      </c>
      <c r="AF27" s="3">
        <v>1080</v>
      </c>
      <c r="AG27" s="3">
        <v>1123</v>
      </c>
      <c r="AH27" s="3">
        <v>1852</v>
      </c>
      <c r="AI27" s="3">
        <v>1127</v>
      </c>
      <c r="AJ27" s="3">
        <v>2018</v>
      </c>
      <c r="AK27" s="3">
        <v>1318</v>
      </c>
      <c r="AL27" s="3">
        <v>741</v>
      </c>
      <c r="AM27" s="3">
        <v>665</v>
      </c>
      <c r="AN27" s="3">
        <v>1105</v>
      </c>
      <c r="AO27" s="3">
        <v>839</v>
      </c>
      <c r="AP27" s="3">
        <v>1374</v>
      </c>
      <c r="AQ27" s="3">
        <v>1288</v>
      </c>
      <c r="AR27" s="3">
        <v>2007</v>
      </c>
      <c r="AS27" s="3">
        <v>1538</v>
      </c>
      <c r="AT27" s="3">
        <v>2226</v>
      </c>
      <c r="AU27" s="3">
        <v>1704</v>
      </c>
      <c r="AV27" s="3">
        <v>2356</v>
      </c>
      <c r="AW27" s="3">
        <v>2211</v>
      </c>
      <c r="AX27" s="3">
        <v>1153</v>
      </c>
      <c r="AY27" s="3">
        <v>1462</v>
      </c>
      <c r="AZ27" s="3">
        <v>1753</v>
      </c>
      <c r="BA27" s="3">
        <v>1997</v>
      </c>
      <c r="BB27" s="3">
        <v>2707</v>
      </c>
      <c r="BC27" s="3">
        <v>2233</v>
      </c>
      <c r="BD27" s="3">
        <v>1743</v>
      </c>
      <c r="BE27" s="3">
        <v>1459</v>
      </c>
      <c r="BF27" s="3">
        <v>2516</v>
      </c>
      <c r="BG27" s="3">
        <v>2038</v>
      </c>
      <c r="BH27" s="3">
        <v>2595</v>
      </c>
      <c r="BI27" s="3">
        <v>2507</v>
      </c>
      <c r="BJ27" s="3">
        <v>1573</v>
      </c>
      <c r="BK27" s="3">
        <v>1981</v>
      </c>
      <c r="BL27" s="3">
        <v>2853</v>
      </c>
      <c r="BM27" s="3">
        <v>2282</v>
      </c>
      <c r="BN27" s="3">
        <v>3863</v>
      </c>
      <c r="BO27" s="3">
        <v>3449</v>
      </c>
      <c r="BP27" s="3">
        <v>2056</v>
      </c>
      <c r="BQ27" s="3">
        <v>1388</v>
      </c>
      <c r="BR27" s="3">
        <v>2716</v>
      </c>
      <c r="BS27" s="3">
        <v>2675</v>
      </c>
      <c r="BT27" s="3">
        <v>3433</v>
      </c>
      <c r="BU27" s="3">
        <v>3035</v>
      </c>
      <c r="BV27" s="3">
        <v>381</v>
      </c>
      <c r="BW27" s="3">
        <v>261</v>
      </c>
      <c r="BX27" s="3">
        <v>413</v>
      </c>
      <c r="BY27" s="3">
        <v>434</v>
      </c>
      <c r="BZ27" s="3">
        <v>595</v>
      </c>
      <c r="CA27" s="3">
        <v>573</v>
      </c>
      <c r="CB27" s="3">
        <v>553</v>
      </c>
      <c r="CC27" s="3">
        <v>682</v>
      </c>
      <c r="CD27" s="3">
        <v>1122</v>
      </c>
      <c r="CE27" s="3">
        <v>1098</v>
      </c>
      <c r="CF27" s="3">
        <v>915</v>
      </c>
      <c r="CG27" s="3">
        <v>1027</v>
      </c>
      <c r="CH27" s="3">
        <v>656</v>
      </c>
      <c r="CI27" s="3">
        <v>576</v>
      </c>
      <c r="CJ27" s="3">
        <v>1137</v>
      </c>
      <c r="CK27" s="3">
        <v>971</v>
      </c>
      <c r="CL27" s="3">
        <v>1120</v>
      </c>
      <c r="CM27" s="3">
        <v>900</v>
      </c>
      <c r="CN27" s="3">
        <v>750</v>
      </c>
      <c r="CO27" s="3">
        <v>785</v>
      </c>
      <c r="CP27" s="3">
        <v>1108</v>
      </c>
      <c r="CQ27" s="3">
        <v>1098</v>
      </c>
      <c r="CR27" s="3">
        <v>1423</v>
      </c>
      <c r="CS27" s="3">
        <v>1142</v>
      </c>
      <c r="CT27" s="3">
        <v>1032</v>
      </c>
      <c r="CU27" s="3">
        <v>838</v>
      </c>
      <c r="CV27" s="3">
        <v>1262</v>
      </c>
      <c r="CW27" s="3">
        <v>1125</v>
      </c>
      <c r="CX27" s="3">
        <v>1323</v>
      </c>
      <c r="CY27" s="3">
        <v>1511</v>
      </c>
      <c r="CZ27" s="3">
        <v>1175</v>
      </c>
      <c r="DA27" s="3">
        <v>865</v>
      </c>
      <c r="DB27" s="3">
        <v>1635</v>
      </c>
      <c r="DC27" s="3">
        <v>1330</v>
      </c>
      <c r="DD27" s="3">
        <v>1753</v>
      </c>
      <c r="DE27" s="3">
        <v>1431</v>
      </c>
      <c r="DF27" s="3">
        <v>700</v>
      </c>
      <c r="DG27" s="3">
        <v>644</v>
      </c>
      <c r="DH27" s="3">
        <v>1000</v>
      </c>
      <c r="DI27" s="3">
        <v>1095</v>
      </c>
      <c r="DJ27" s="3">
        <v>1277</v>
      </c>
      <c r="DK27" s="3">
        <v>1293</v>
      </c>
      <c r="DL27" s="3">
        <v>2037</v>
      </c>
      <c r="DM27" s="3">
        <v>1480</v>
      </c>
      <c r="DN27" s="3">
        <v>1939</v>
      </c>
      <c r="DO27" s="3">
        <v>1766</v>
      </c>
      <c r="DP27" s="3">
        <v>2670</v>
      </c>
      <c r="DQ27" s="3">
        <v>2006</v>
      </c>
      <c r="DR27" s="3">
        <v>1214</v>
      </c>
      <c r="DS27" s="3">
        <v>1150</v>
      </c>
      <c r="DT27" s="3">
        <v>1830</v>
      </c>
      <c r="DU27" s="3">
        <v>2079</v>
      </c>
      <c r="DV27" s="3">
        <v>2250</v>
      </c>
      <c r="DW27" s="3">
        <v>2458</v>
      </c>
      <c r="DX27" s="3">
        <v>1797</v>
      </c>
      <c r="DY27" s="3">
        <v>1635</v>
      </c>
      <c r="DZ27" s="3">
        <v>2279</v>
      </c>
      <c r="EA27" s="3">
        <v>1866</v>
      </c>
      <c r="EB27" s="3">
        <v>2777</v>
      </c>
      <c r="EC27" s="3">
        <v>2489</v>
      </c>
      <c r="ED27" s="3">
        <v>1485</v>
      </c>
      <c r="EE27" s="3">
        <v>1625</v>
      </c>
      <c r="EF27" s="3">
        <v>3004</v>
      </c>
      <c r="EG27" s="3">
        <v>2758</v>
      </c>
      <c r="EH27" s="3">
        <v>3843</v>
      </c>
      <c r="EI27" s="3">
        <v>3734</v>
      </c>
      <c r="EJ27" s="3">
        <v>2229</v>
      </c>
      <c r="EK27" s="3">
        <v>1541</v>
      </c>
      <c r="EL27" s="3">
        <v>3387</v>
      </c>
      <c r="EM27" s="3">
        <v>2607</v>
      </c>
      <c r="EN27" s="3">
        <v>3845</v>
      </c>
      <c r="EO27" s="3">
        <v>3293</v>
      </c>
      <c r="EP27" s="3">
        <v>441</v>
      </c>
      <c r="EQ27" s="3">
        <v>304</v>
      </c>
      <c r="ER27" s="3">
        <v>585</v>
      </c>
      <c r="ES27" s="3">
        <v>471</v>
      </c>
      <c r="ET27" s="3">
        <v>640</v>
      </c>
      <c r="EU27" s="3">
        <v>694</v>
      </c>
      <c r="EV27" s="3">
        <v>784</v>
      </c>
      <c r="EW27" s="3">
        <v>952</v>
      </c>
      <c r="EX27" s="3">
        <v>1171</v>
      </c>
      <c r="EY27" s="3">
        <v>826</v>
      </c>
      <c r="EZ27" s="3">
        <v>1061</v>
      </c>
      <c r="FA27" s="3">
        <v>1256</v>
      </c>
      <c r="FB27" s="3">
        <v>373</v>
      </c>
      <c r="FC27" s="3">
        <v>470</v>
      </c>
      <c r="FD27" s="3">
        <v>772</v>
      </c>
      <c r="FE27" s="3">
        <v>1101</v>
      </c>
      <c r="FF27" s="3">
        <v>1179</v>
      </c>
      <c r="FG27" s="3">
        <v>1098</v>
      </c>
      <c r="FH27" s="3">
        <v>614</v>
      </c>
      <c r="FI27" s="3">
        <v>648</v>
      </c>
      <c r="FJ27" s="3">
        <v>1084</v>
      </c>
      <c r="FK27" s="3">
        <v>921</v>
      </c>
      <c r="FL27" s="3">
        <v>1224</v>
      </c>
      <c r="FM27" s="3">
        <v>1245</v>
      </c>
      <c r="FN27" s="3">
        <v>832</v>
      </c>
      <c r="FO27" s="3">
        <v>563</v>
      </c>
      <c r="FP27" s="3">
        <v>1522</v>
      </c>
      <c r="FQ27" s="3">
        <v>1332</v>
      </c>
      <c r="FR27" s="3">
        <v>1807</v>
      </c>
      <c r="FS27" s="3">
        <v>1559</v>
      </c>
      <c r="FT27" s="3">
        <v>1012</v>
      </c>
      <c r="FU27" s="3">
        <v>805</v>
      </c>
      <c r="FV27" s="3">
        <v>1330</v>
      </c>
      <c r="FW27" s="3">
        <v>1272</v>
      </c>
      <c r="FX27" s="3">
        <v>1620</v>
      </c>
      <c r="FY27" s="3">
        <v>1571</v>
      </c>
      <c r="FZ27" s="3">
        <v>561</v>
      </c>
      <c r="GA27" s="3">
        <v>679</v>
      </c>
      <c r="GB27" s="3">
        <v>1161</v>
      </c>
      <c r="GC27" s="3">
        <v>875</v>
      </c>
      <c r="GD27" s="3">
        <v>1342</v>
      </c>
      <c r="GE27" s="3">
        <v>1316</v>
      </c>
      <c r="GF27" s="3">
        <v>1587</v>
      </c>
      <c r="GG27" s="3">
        <v>1278</v>
      </c>
      <c r="GH27" s="3">
        <v>2105</v>
      </c>
      <c r="GI27" s="3">
        <v>1832</v>
      </c>
      <c r="GJ27" s="3">
        <v>2551</v>
      </c>
      <c r="GK27" s="3">
        <v>2178</v>
      </c>
      <c r="GL27" s="3">
        <v>1201</v>
      </c>
      <c r="GM27" s="3">
        <v>1271</v>
      </c>
      <c r="GN27" s="3">
        <v>2091</v>
      </c>
      <c r="GO27" s="3">
        <v>1975</v>
      </c>
      <c r="GP27" s="3">
        <v>2662</v>
      </c>
      <c r="GQ27" s="3">
        <v>2551</v>
      </c>
      <c r="GR27" s="3">
        <v>1961</v>
      </c>
      <c r="GS27" s="3">
        <v>1570</v>
      </c>
      <c r="GT27" s="3">
        <v>2258</v>
      </c>
      <c r="GU27" s="3">
        <v>2013</v>
      </c>
      <c r="GV27" s="3">
        <v>2882</v>
      </c>
      <c r="GW27" s="3">
        <v>2274</v>
      </c>
      <c r="GX27" s="3">
        <v>1754</v>
      </c>
      <c r="GY27" s="3">
        <v>1741</v>
      </c>
      <c r="GZ27" s="3">
        <v>3097</v>
      </c>
      <c r="HA27" s="3">
        <v>2889</v>
      </c>
      <c r="HB27" s="3">
        <v>3545</v>
      </c>
      <c r="HC27" s="3">
        <v>3864</v>
      </c>
      <c r="HD27" s="3">
        <v>2022</v>
      </c>
      <c r="HE27" s="3">
        <v>1737</v>
      </c>
      <c r="HF27" s="3">
        <v>3146</v>
      </c>
      <c r="HG27" s="3">
        <v>2854</v>
      </c>
      <c r="HH27" s="3">
        <v>3991</v>
      </c>
      <c r="HI27" s="3">
        <v>3418</v>
      </c>
      <c r="HJ27" s="3">
        <v>218</v>
      </c>
      <c r="HK27" s="3">
        <v>341</v>
      </c>
      <c r="HL27" s="3">
        <v>464</v>
      </c>
      <c r="HM27" s="3">
        <v>548</v>
      </c>
      <c r="HN27" s="3">
        <v>671</v>
      </c>
      <c r="HO27" s="3">
        <v>607</v>
      </c>
      <c r="HP27" s="3">
        <v>664</v>
      </c>
      <c r="HQ27" s="3">
        <v>740</v>
      </c>
      <c r="HR27" s="3">
        <v>1154</v>
      </c>
      <c r="HS27" s="3">
        <v>1027</v>
      </c>
      <c r="HT27" s="3">
        <v>1242</v>
      </c>
      <c r="HU27" s="3">
        <v>927</v>
      </c>
      <c r="HV27" s="3">
        <v>726</v>
      </c>
      <c r="HW27" s="3">
        <v>663</v>
      </c>
      <c r="HX27" s="3">
        <v>999</v>
      </c>
      <c r="HY27" s="3">
        <v>853</v>
      </c>
      <c r="HZ27" s="3">
        <v>693</v>
      </c>
      <c r="IA27" s="3">
        <v>1445</v>
      </c>
      <c r="IB27" s="3">
        <v>1183</v>
      </c>
      <c r="IC27" s="3">
        <v>948</v>
      </c>
      <c r="ID27" s="3">
        <v>1276</v>
      </c>
      <c r="IE27" s="3">
        <v>857</v>
      </c>
      <c r="IF27" s="3">
        <v>1390</v>
      </c>
      <c r="IG27" s="3">
        <v>1125</v>
      </c>
      <c r="IH27" s="3">
        <v>945</v>
      </c>
      <c r="II27" s="3">
        <v>888</v>
      </c>
      <c r="IJ27" s="3">
        <v>1274</v>
      </c>
      <c r="IK27" s="3">
        <v>1434</v>
      </c>
      <c r="IL27" s="3">
        <v>1787</v>
      </c>
      <c r="IM27" s="3">
        <v>1920</v>
      </c>
      <c r="IN27" s="3">
        <v>1159</v>
      </c>
      <c r="IO27" s="3">
        <v>932</v>
      </c>
      <c r="IP27" s="3">
        <v>1733</v>
      </c>
      <c r="IQ27" s="3">
        <v>1252</v>
      </c>
      <c r="IR27" s="3">
        <v>1745</v>
      </c>
      <c r="IS27" s="3">
        <v>1705</v>
      </c>
      <c r="IT27" s="3">
        <v>719</v>
      </c>
      <c r="IU27" s="3">
        <v>571</v>
      </c>
      <c r="IV27" s="3">
        <v>893</v>
      </c>
      <c r="IW27" s="3">
        <v>860</v>
      </c>
      <c r="IX27" s="3">
        <v>1255</v>
      </c>
      <c r="IY27" s="3">
        <v>1399</v>
      </c>
      <c r="IZ27" s="3">
        <v>1969</v>
      </c>
      <c r="JA27" s="3">
        <v>1200</v>
      </c>
      <c r="JB27" s="3">
        <v>1995</v>
      </c>
      <c r="JC27" s="3">
        <v>1756</v>
      </c>
      <c r="JD27" s="3">
        <v>2019</v>
      </c>
      <c r="JE27" s="3">
        <v>2029</v>
      </c>
      <c r="JF27" s="3">
        <v>1164</v>
      </c>
      <c r="JG27" s="3">
        <v>1181</v>
      </c>
      <c r="JH27" s="3">
        <v>2235</v>
      </c>
      <c r="JI27" s="3">
        <v>1875</v>
      </c>
      <c r="JJ27" s="3">
        <v>2630</v>
      </c>
      <c r="JK27" s="3">
        <v>2304</v>
      </c>
      <c r="JL27" s="3">
        <v>1849</v>
      </c>
      <c r="JM27" s="3">
        <v>1553</v>
      </c>
      <c r="JN27" s="3">
        <v>2520</v>
      </c>
      <c r="JO27" s="3">
        <v>1996</v>
      </c>
      <c r="JP27" s="3">
        <v>2770</v>
      </c>
      <c r="JQ27" s="3">
        <v>2361</v>
      </c>
      <c r="JR27" s="3">
        <v>1560</v>
      </c>
      <c r="JS27" s="3">
        <v>1594</v>
      </c>
      <c r="JT27" s="3">
        <v>2949</v>
      </c>
      <c r="JU27" s="3">
        <v>3157</v>
      </c>
      <c r="JV27" s="3">
        <v>3937</v>
      </c>
      <c r="JW27" s="3">
        <v>3420</v>
      </c>
      <c r="JX27" s="3">
        <v>1770</v>
      </c>
      <c r="JY27" s="3">
        <v>1565</v>
      </c>
      <c r="JZ27" s="3">
        <v>3038</v>
      </c>
      <c r="KA27" s="3">
        <v>2809</v>
      </c>
      <c r="KB27" s="3">
        <v>3711</v>
      </c>
      <c r="KC27" s="3">
        <v>3248</v>
      </c>
      <c r="KD27" s="3">
        <v>289</v>
      </c>
      <c r="KE27" s="3">
        <v>368</v>
      </c>
      <c r="KF27" s="3">
        <v>485</v>
      </c>
      <c r="KG27" s="3">
        <v>458</v>
      </c>
      <c r="KH27" s="3">
        <v>677</v>
      </c>
      <c r="KI27" s="3">
        <v>617</v>
      </c>
      <c r="KJ27" s="3">
        <v>810</v>
      </c>
      <c r="KK27" s="3">
        <v>862</v>
      </c>
      <c r="KL27" s="3">
        <v>1211</v>
      </c>
      <c r="KM27" s="3">
        <v>1021</v>
      </c>
      <c r="KN27" s="3">
        <v>1112</v>
      </c>
      <c r="KO27" s="3">
        <v>1291</v>
      </c>
      <c r="KP27" s="3">
        <v>440</v>
      </c>
      <c r="KQ27" s="3">
        <v>522</v>
      </c>
      <c r="KR27" s="3">
        <v>786</v>
      </c>
      <c r="KS27" s="3">
        <v>908</v>
      </c>
      <c r="KT27" s="3">
        <v>1192</v>
      </c>
      <c r="KU27" s="3">
        <v>1225</v>
      </c>
      <c r="KV27" s="3">
        <v>1011</v>
      </c>
      <c r="KW27" s="3">
        <v>998</v>
      </c>
      <c r="KX27" s="3">
        <v>1253</v>
      </c>
      <c r="KY27" s="3">
        <v>1049</v>
      </c>
      <c r="KZ27" s="3">
        <v>1396</v>
      </c>
      <c r="LA27" s="3">
        <v>999</v>
      </c>
      <c r="LB27" s="3">
        <v>850</v>
      </c>
      <c r="LC27" s="3">
        <v>967</v>
      </c>
      <c r="LD27" s="3">
        <v>1538</v>
      </c>
      <c r="LE27" s="3">
        <v>1200</v>
      </c>
      <c r="LF27" s="3">
        <v>1617</v>
      </c>
      <c r="LG27" s="3">
        <v>1499</v>
      </c>
      <c r="LH27" s="3">
        <v>1074</v>
      </c>
      <c r="LI27" s="3">
        <v>848</v>
      </c>
      <c r="LJ27" s="3">
        <v>1341</v>
      </c>
      <c r="LK27" s="3">
        <v>1281</v>
      </c>
      <c r="LL27" s="3">
        <v>1774</v>
      </c>
      <c r="LM27" s="3">
        <v>1772</v>
      </c>
      <c r="LN27" s="3">
        <v>579</v>
      </c>
      <c r="LO27" s="3">
        <v>711</v>
      </c>
      <c r="LP27" s="3">
        <v>1000</v>
      </c>
      <c r="LQ27" s="3">
        <v>980</v>
      </c>
      <c r="LR27" s="3">
        <v>1197</v>
      </c>
      <c r="LS27" s="3">
        <v>1104</v>
      </c>
      <c r="LT27" s="3">
        <v>1422</v>
      </c>
      <c r="LU27" s="3">
        <v>1156</v>
      </c>
      <c r="LV27" s="3">
        <v>2309</v>
      </c>
      <c r="LW27" s="3">
        <v>1946</v>
      </c>
      <c r="LX27" s="3">
        <v>2240</v>
      </c>
      <c r="LY27" s="3">
        <v>2080</v>
      </c>
      <c r="LZ27" s="3">
        <v>1147</v>
      </c>
      <c r="MA27" s="3">
        <v>1552</v>
      </c>
      <c r="MB27" s="3">
        <v>2099</v>
      </c>
      <c r="MC27" s="3">
        <v>2080</v>
      </c>
      <c r="MD27" s="3">
        <v>2172</v>
      </c>
      <c r="ME27" s="3">
        <v>2499</v>
      </c>
      <c r="MF27" s="3">
        <v>1929</v>
      </c>
      <c r="MG27" s="3">
        <v>1385</v>
      </c>
      <c r="MH27" s="3">
        <v>2320</v>
      </c>
      <c r="MI27" s="3">
        <v>2416</v>
      </c>
      <c r="MJ27" s="3">
        <v>2554</v>
      </c>
      <c r="MK27" s="3">
        <v>2639</v>
      </c>
      <c r="ML27" s="3">
        <v>1830</v>
      </c>
      <c r="MM27" s="3">
        <v>2002</v>
      </c>
      <c r="MN27" s="3">
        <v>3022</v>
      </c>
      <c r="MO27" s="3">
        <v>2752</v>
      </c>
      <c r="MP27" s="3">
        <v>3811</v>
      </c>
      <c r="MQ27" s="3">
        <v>4104</v>
      </c>
      <c r="MR27" s="3">
        <v>2064</v>
      </c>
      <c r="MS27" s="3">
        <v>1719</v>
      </c>
      <c r="MT27" s="3">
        <v>2850</v>
      </c>
      <c r="MU27" s="3">
        <v>2741</v>
      </c>
      <c r="MV27" s="3">
        <v>3911</v>
      </c>
      <c r="MW27" s="3">
        <v>3450</v>
      </c>
    </row>
    <row r="28" spans="1:361" x14ac:dyDescent="0.3">
      <c r="A28" s="3">
        <v>17</v>
      </c>
      <c r="B28" s="3">
        <v>440</v>
      </c>
      <c r="C28" s="3">
        <v>283</v>
      </c>
      <c r="D28" s="3">
        <v>473</v>
      </c>
      <c r="E28" s="3">
        <v>464</v>
      </c>
      <c r="F28" s="3">
        <v>591</v>
      </c>
      <c r="G28" s="3">
        <v>534</v>
      </c>
      <c r="H28" s="3">
        <v>1006</v>
      </c>
      <c r="I28" s="3">
        <v>973</v>
      </c>
      <c r="J28" s="3">
        <v>1067</v>
      </c>
      <c r="K28" s="3">
        <v>800</v>
      </c>
      <c r="L28" s="3">
        <v>1429</v>
      </c>
      <c r="M28" s="3">
        <v>900</v>
      </c>
      <c r="N28" s="3">
        <v>553</v>
      </c>
      <c r="O28" s="3">
        <v>487</v>
      </c>
      <c r="P28" s="3">
        <v>1043</v>
      </c>
      <c r="Q28" s="3">
        <v>1014</v>
      </c>
      <c r="R28" s="3">
        <v>1039</v>
      </c>
      <c r="S28" s="3">
        <v>898</v>
      </c>
      <c r="T28" s="3">
        <v>820</v>
      </c>
      <c r="U28" s="3">
        <v>904</v>
      </c>
      <c r="V28" s="3">
        <v>1035</v>
      </c>
      <c r="W28" s="3">
        <v>1121</v>
      </c>
      <c r="X28" s="3">
        <v>1295</v>
      </c>
      <c r="Y28" s="3">
        <v>993</v>
      </c>
      <c r="Z28" s="3">
        <v>1056</v>
      </c>
      <c r="AA28" s="3">
        <v>913</v>
      </c>
      <c r="AB28" s="3">
        <v>1177</v>
      </c>
      <c r="AC28" s="3">
        <v>1343</v>
      </c>
      <c r="AD28" s="3">
        <v>1844</v>
      </c>
      <c r="AE28" s="3">
        <v>1841</v>
      </c>
      <c r="AF28" s="3">
        <v>1080</v>
      </c>
      <c r="AG28" s="3">
        <v>1123</v>
      </c>
      <c r="AH28" s="3">
        <v>1850</v>
      </c>
      <c r="AI28" s="3">
        <v>1127</v>
      </c>
      <c r="AJ28" s="3">
        <v>2015</v>
      </c>
      <c r="AK28" s="3">
        <v>1324</v>
      </c>
      <c r="AL28" s="3">
        <v>741</v>
      </c>
      <c r="AM28" s="3">
        <v>665</v>
      </c>
      <c r="AN28" s="3">
        <v>1113</v>
      </c>
      <c r="AO28" s="3">
        <v>839</v>
      </c>
      <c r="AP28" s="3">
        <v>1371</v>
      </c>
      <c r="AQ28" s="3">
        <v>1288</v>
      </c>
      <c r="AR28" s="3">
        <v>2007</v>
      </c>
      <c r="AS28" s="3">
        <v>1538</v>
      </c>
      <c r="AT28" s="3">
        <v>2226</v>
      </c>
      <c r="AU28" s="3">
        <v>1704</v>
      </c>
      <c r="AV28" s="3">
        <v>2356</v>
      </c>
      <c r="AW28" s="3">
        <v>2211</v>
      </c>
      <c r="AX28" s="3">
        <v>1153</v>
      </c>
      <c r="AY28" s="3">
        <v>1474</v>
      </c>
      <c r="AZ28" s="3">
        <v>1752</v>
      </c>
      <c r="BA28" s="3">
        <v>1997</v>
      </c>
      <c r="BB28" s="3">
        <v>2710</v>
      </c>
      <c r="BC28" s="3">
        <v>2235</v>
      </c>
      <c r="BD28" s="3">
        <v>1743</v>
      </c>
      <c r="BE28" s="3">
        <v>1459</v>
      </c>
      <c r="BF28" s="3">
        <v>2516</v>
      </c>
      <c r="BG28" s="3">
        <v>2039</v>
      </c>
      <c r="BH28" s="3">
        <v>2591</v>
      </c>
      <c r="BI28" s="3">
        <v>2522</v>
      </c>
      <c r="BJ28" s="3">
        <v>1573</v>
      </c>
      <c r="BK28" s="3">
        <v>1993</v>
      </c>
      <c r="BL28" s="3">
        <v>2853</v>
      </c>
      <c r="BM28" s="3">
        <v>2286</v>
      </c>
      <c r="BN28" s="3">
        <v>3863</v>
      </c>
      <c r="BO28" s="3">
        <v>3463</v>
      </c>
      <c r="BP28" s="3">
        <v>2054</v>
      </c>
      <c r="BQ28" s="3">
        <v>1388</v>
      </c>
      <c r="BR28" s="3">
        <v>2719</v>
      </c>
      <c r="BS28" s="3">
        <v>2659</v>
      </c>
      <c r="BT28" s="3">
        <v>3430</v>
      </c>
      <c r="BU28" s="3">
        <v>3060</v>
      </c>
      <c r="BV28" s="3">
        <v>381</v>
      </c>
      <c r="BW28" s="3">
        <v>261</v>
      </c>
      <c r="BX28" s="3">
        <v>413</v>
      </c>
      <c r="BY28" s="3">
        <v>434</v>
      </c>
      <c r="BZ28" s="3">
        <v>596</v>
      </c>
      <c r="CA28" s="3">
        <v>573</v>
      </c>
      <c r="CB28" s="3">
        <v>553</v>
      </c>
      <c r="CC28" s="3">
        <v>682</v>
      </c>
      <c r="CD28" s="3">
        <v>1122</v>
      </c>
      <c r="CE28" s="3">
        <v>1098</v>
      </c>
      <c r="CF28" s="3">
        <v>915</v>
      </c>
      <c r="CG28" s="3">
        <v>1027</v>
      </c>
      <c r="CH28" s="3">
        <v>656</v>
      </c>
      <c r="CI28" s="3">
        <v>576</v>
      </c>
      <c r="CJ28" s="3">
        <v>1136</v>
      </c>
      <c r="CK28" s="3">
        <v>971</v>
      </c>
      <c r="CL28" s="3">
        <v>1120</v>
      </c>
      <c r="CM28" s="3">
        <v>900</v>
      </c>
      <c r="CN28" s="3">
        <v>750</v>
      </c>
      <c r="CO28" s="3">
        <v>785</v>
      </c>
      <c r="CP28" s="3">
        <v>1108</v>
      </c>
      <c r="CQ28" s="3">
        <v>1098</v>
      </c>
      <c r="CR28" s="3">
        <v>1424</v>
      </c>
      <c r="CS28" s="3">
        <v>1147</v>
      </c>
      <c r="CT28" s="3">
        <v>1032</v>
      </c>
      <c r="CU28" s="3">
        <v>838</v>
      </c>
      <c r="CV28" s="3">
        <v>1262</v>
      </c>
      <c r="CW28" s="3">
        <v>1125</v>
      </c>
      <c r="CX28" s="3">
        <v>1323</v>
      </c>
      <c r="CY28" s="3">
        <v>1511</v>
      </c>
      <c r="CZ28" s="3">
        <v>1175</v>
      </c>
      <c r="DA28" s="3">
        <v>865</v>
      </c>
      <c r="DB28" s="3">
        <v>1636</v>
      </c>
      <c r="DC28" s="3">
        <v>1326</v>
      </c>
      <c r="DD28" s="3">
        <v>1756</v>
      </c>
      <c r="DE28" s="3">
        <v>1429</v>
      </c>
      <c r="DF28" s="3">
        <v>700</v>
      </c>
      <c r="DG28" s="3">
        <v>645</v>
      </c>
      <c r="DH28" s="3">
        <v>1000</v>
      </c>
      <c r="DI28" s="3">
        <v>1090</v>
      </c>
      <c r="DJ28" s="3">
        <v>1277</v>
      </c>
      <c r="DK28" s="3">
        <v>1272</v>
      </c>
      <c r="DL28" s="3">
        <v>2037</v>
      </c>
      <c r="DM28" s="3">
        <v>1480</v>
      </c>
      <c r="DN28" s="3">
        <v>1939</v>
      </c>
      <c r="DO28" s="3">
        <v>1766</v>
      </c>
      <c r="DP28" s="3">
        <v>2670</v>
      </c>
      <c r="DQ28" s="3">
        <v>2006</v>
      </c>
      <c r="DR28" s="3">
        <v>1214</v>
      </c>
      <c r="DS28" s="3">
        <v>1150</v>
      </c>
      <c r="DT28" s="3">
        <v>1831</v>
      </c>
      <c r="DU28" s="3">
        <v>2064</v>
      </c>
      <c r="DV28" s="3">
        <v>2250</v>
      </c>
      <c r="DW28" s="3">
        <v>2458</v>
      </c>
      <c r="DX28" s="3">
        <v>1797</v>
      </c>
      <c r="DY28" s="3">
        <v>1635</v>
      </c>
      <c r="DZ28" s="3">
        <v>2283</v>
      </c>
      <c r="EA28" s="3">
        <v>1853</v>
      </c>
      <c r="EB28" s="3">
        <v>2802</v>
      </c>
      <c r="EC28" s="3">
        <v>2487</v>
      </c>
      <c r="ED28" s="3">
        <v>1489</v>
      </c>
      <c r="EE28" s="3">
        <v>1625</v>
      </c>
      <c r="EF28" s="3">
        <v>2999</v>
      </c>
      <c r="EG28" s="3">
        <v>2772</v>
      </c>
      <c r="EH28" s="3">
        <v>3848</v>
      </c>
      <c r="EI28" s="3">
        <v>3735</v>
      </c>
      <c r="EJ28" s="3">
        <v>2227</v>
      </c>
      <c r="EK28" s="3">
        <v>1505</v>
      </c>
      <c r="EL28" s="3">
        <v>3390</v>
      </c>
      <c r="EM28" s="3">
        <v>2603</v>
      </c>
      <c r="EN28" s="3">
        <v>3843</v>
      </c>
      <c r="EO28" s="3">
        <v>3275</v>
      </c>
      <c r="EP28" s="3">
        <v>441</v>
      </c>
      <c r="EQ28" s="3">
        <v>304</v>
      </c>
      <c r="ER28" s="3">
        <v>585</v>
      </c>
      <c r="ES28" s="3">
        <v>471</v>
      </c>
      <c r="ET28" s="3">
        <v>640</v>
      </c>
      <c r="EU28" s="3">
        <v>700</v>
      </c>
      <c r="EV28" s="3">
        <v>784</v>
      </c>
      <c r="EW28" s="3">
        <v>952</v>
      </c>
      <c r="EX28" s="3">
        <v>1171</v>
      </c>
      <c r="EY28" s="3">
        <v>826</v>
      </c>
      <c r="EZ28" s="3">
        <v>1061</v>
      </c>
      <c r="FA28" s="3">
        <v>1256</v>
      </c>
      <c r="FB28" s="3">
        <v>373</v>
      </c>
      <c r="FC28" s="3">
        <v>470</v>
      </c>
      <c r="FD28" s="3">
        <v>772</v>
      </c>
      <c r="FE28" s="3">
        <v>1101</v>
      </c>
      <c r="FF28" s="3">
        <v>1180</v>
      </c>
      <c r="FG28" s="3">
        <v>1094</v>
      </c>
      <c r="FH28" s="3">
        <v>614</v>
      </c>
      <c r="FI28" s="3">
        <v>648</v>
      </c>
      <c r="FJ28" s="3">
        <v>1084</v>
      </c>
      <c r="FK28" s="3">
        <v>921</v>
      </c>
      <c r="FL28" s="3">
        <v>1215</v>
      </c>
      <c r="FM28" s="3">
        <v>1241</v>
      </c>
      <c r="FN28" s="3">
        <v>832</v>
      </c>
      <c r="FO28" s="3">
        <v>563</v>
      </c>
      <c r="FP28" s="3">
        <v>1522</v>
      </c>
      <c r="FQ28" s="3">
        <v>1332</v>
      </c>
      <c r="FR28" s="3">
        <v>1812</v>
      </c>
      <c r="FS28" s="3">
        <v>1559</v>
      </c>
      <c r="FT28" s="3">
        <v>1013</v>
      </c>
      <c r="FU28" s="3">
        <v>805</v>
      </c>
      <c r="FV28" s="3">
        <v>1332</v>
      </c>
      <c r="FW28" s="3">
        <v>1271</v>
      </c>
      <c r="FX28" s="3">
        <v>1619</v>
      </c>
      <c r="FY28" s="3">
        <v>1579</v>
      </c>
      <c r="FZ28" s="3">
        <v>561</v>
      </c>
      <c r="GA28" s="3">
        <v>679</v>
      </c>
      <c r="GB28" s="3">
        <v>1161</v>
      </c>
      <c r="GC28" s="3">
        <v>881</v>
      </c>
      <c r="GD28" s="3">
        <v>1342</v>
      </c>
      <c r="GE28" s="3">
        <v>1316</v>
      </c>
      <c r="GF28" s="3">
        <v>1587</v>
      </c>
      <c r="GG28" s="3">
        <v>1278</v>
      </c>
      <c r="GH28" s="3">
        <v>2105</v>
      </c>
      <c r="GI28" s="3">
        <v>1832</v>
      </c>
      <c r="GJ28" s="3">
        <v>2551</v>
      </c>
      <c r="GK28" s="3">
        <v>2178</v>
      </c>
      <c r="GL28" s="3">
        <v>1198</v>
      </c>
      <c r="GM28" s="3">
        <v>1271</v>
      </c>
      <c r="GN28" s="3">
        <v>2093</v>
      </c>
      <c r="GO28" s="3">
        <v>1977</v>
      </c>
      <c r="GP28" s="3">
        <v>2662</v>
      </c>
      <c r="GQ28" s="3">
        <v>2551</v>
      </c>
      <c r="GR28" s="3">
        <v>1961</v>
      </c>
      <c r="GS28" s="3">
        <v>1570</v>
      </c>
      <c r="GT28" s="3">
        <v>2251</v>
      </c>
      <c r="GU28" s="3">
        <v>2013</v>
      </c>
      <c r="GV28" s="3">
        <v>2880</v>
      </c>
      <c r="GW28" s="3">
        <v>2268</v>
      </c>
      <c r="GX28" s="3">
        <v>1756</v>
      </c>
      <c r="GY28" s="3">
        <v>1741</v>
      </c>
      <c r="GZ28" s="3">
        <v>3097</v>
      </c>
      <c r="HA28" s="3">
        <v>2894</v>
      </c>
      <c r="HB28" s="3">
        <v>3528</v>
      </c>
      <c r="HC28" s="3">
        <v>3864</v>
      </c>
      <c r="HD28" s="3">
        <v>2022</v>
      </c>
      <c r="HE28" s="3">
        <v>1740</v>
      </c>
      <c r="HF28" s="3">
        <v>3145</v>
      </c>
      <c r="HG28" s="3">
        <v>2853</v>
      </c>
      <c r="HH28" s="3">
        <v>3987</v>
      </c>
      <c r="HI28" s="3">
        <v>3418</v>
      </c>
      <c r="HJ28" s="3">
        <v>218</v>
      </c>
      <c r="HK28" s="3">
        <v>341</v>
      </c>
      <c r="HL28" s="3">
        <v>464</v>
      </c>
      <c r="HM28" s="3">
        <v>543</v>
      </c>
      <c r="HN28" s="3">
        <v>671</v>
      </c>
      <c r="HO28" s="3">
        <v>607</v>
      </c>
      <c r="HP28" s="3">
        <v>664</v>
      </c>
      <c r="HQ28" s="3">
        <v>740</v>
      </c>
      <c r="HR28" s="3">
        <v>1154</v>
      </c>
      <c r="HS28" s="3">
        <v>1027</v>
      </c>
      <c r="HT28" s="3">
        <v>1242</v>
      </c>
      <c r="HU28" s="3">
        <v>927</v>
      </c>
      <c r="HV28" s="3">
        <v>726</v>
      </c>
      <c r="HW28" s="3">
        <v>663</v>
      </c>
      <c r="HX28" s="3">
        <v>999</v>
      </c>
      <c r="HY28" s="3">
        <v>853</v>
      </c>
      <c r="HZ28" s="3">
        <v>694</v>
      </c>
      <c r="IA28" s="3">
        <v>1445</v>
      </c>
      <c r="IB28" s="3">
        <v>1183</v>
      </c>
      <c r="IC28" s="3">
        <v>948</v>
      </c>
      <c r="ID28" s="3">
        <v>1276</v>
      </c>
      <c r="IE28" s="3">
        <v>843</v>
      </c>
      <c r="IF28" s="3">
        <v>1385</v>
      </c>
      <c r="IG28" s="3">
        <v>1131</v>
      </c>
      <c r="IH28" s="3">
        <v>945</v>
      </c>
      <c r="II28" s="3">
        <v>888</v>
      </c>
      <c r="IJ28" s="3">
        <v>1280</v>
      </c>
      <c r="IK28" s="3">
        <v>1443</v>
      </c>
      <c r="IL28" s="3">
        <v>1787</v>
      </c>
      <c r="IM28" s="3">
        <v>1920</v>
      </c>
      <c r="IN28" s="3">
        <v>1159</v>
      </c>
      <c r="IO28" s="3">
        <v>932</v>
      </c>
      <c r="IP28" s="3">
        <v>1732</v>
      </c>
      <c r="IQ28" s="3">
        <v>1239</v>
      </c>
      <c r="IR28" s="3">
        <v>1741</v>
      </c>
      <c r="IS28" s="3">
        <v>1679</v>
      </c>
      <c r="IT28" s="3">
        <v>719</v>
      </c>
      <c r="IU28" s="3">
        <v>571</v>
      </c>
      <c r="IV28" s="3">
        <v>894</v>
      </c>
      <c r="IW28" s="3">
        <v>860</v>
      </c>
      <c r="IX28" s="3">
        <v>1253</v>
      </c>
      <c r="IY28" s="3">
        <v>1399</v>
      </c>
      <c r="IZ28" s="3">
        <v>1969</v>
      </c>
      <c r="JA28" s="3">
        <v>1200</v>
      </c>
      <c r="JB28" s="3">
        <v>1995</v>
      </c>
      <c r="JC28" s="3">
        <v>1756</v>
      </c>
      <c r="JD28" s="3">
        <v>2019</v>
      </c>
      <c r="JE28" s="3">
        <v>2029</v>
      </c>
      <c r="JF28" s="3">
        <v>1166</v>
      </c>
      <c r="JG28" s="3">
        <v>1181</v>
      </c>
      <c r="JH28" s="3">
        <v>2235</v>
      </c>
      <c r="JI28" s="3">
        <v>1875</v>
      </c>
      <c r="JJ28" s="3">
        <v>2630</v>
      </c>
      <c r="JK28" s="3">
        <v>2302</v>
      </c>
      <c r="JL28" s="3">
        <v>1849</v>
      </c>
      <c r="JM28" s="3">
        <v>1553</v>
      </c>
      <c r="JN28" s="3">
        <v>2519</v>
      </c>
      <c r="JO28" s="3">
        <v>2000</v>
      </c>
      <c r="JP28" s="3">
        <v>2776</v>
      </c>
      <c r="JQ28" s="3">
        <v>2344</v>
      </c>
      <c r="JR28" s="3">
        <v>1560</v>
      </c>
      <c r="JS28" s="3">
        <v>1591</v>
      </c>
      <c r="JT28" s="3">
        <v>2952</v>
      </c>
      <c r="JU28" s="3">
        <v>3157</v>
      </c>
      <c r="JV28" s="3">
        <v>3927</v>
      </c>
      <c r="JW28" s="3">
        <v>3420</v>
      </c>
      <c r="JX28" s="3">
        <v>1773</v>
      </c>
      <c r="JY28" s="3">
        <v>1568</v>
      </c>
      <c r="JZ28" s="3">
        <v>3035</v>
      </c>
      <c r="KA28" s="3">
        <v>2821</v>
      </c>
      <c r="KB28" s="3">
        <v>3708</v>
      </c>
      <c r="KC28" s="3">
        <v>3284</v>
      </c>
      <c r="KD28" s="3">
        <v>289</v>
      </c>
      <c r="KE28" s="3">
        <v>368</v>
      </c>
      <c r="KF28" s="3">
        <v>485</v>
      </c>
      <c r="KG28" s="3">
        <v>455</v>
      </c>
      <c r="KH28" s="3">
        <v>676</v>
      </c>
      <c r="KI28" s="3">
        <v>621</v>
      </c>
      <c r="KJ28" s="3">
        <v>810</v>
      </c>
      <c r="KK28" s="3">
        <v>862</v>
      </c>
      <c r="KL28" s="3">
        <v>1211</v>
      </c>
      <c r="KM28" s="3">
        <v>1021</v>
      </c>
      <c r="KN28" s="3">
        <v>1112</v>
      </c>
      <c r="KO28" s="3">
        <v>1291</v>
      </c>
      <c r="KP28" s="3">
        <v>440</v>
      </c>
      <c r="KQ28" s="3">
        <v>522</v>
      </c>
      <c r="KR28" s="3">
        <v>786</v>
      </c>
      <c r="KS28" s="3">
        <v>908</v>
      </c>
      <c r="KT28" s="3">
        <v>1192</v>
      </c>
      <c r="KU28" s="3">
        <v>1225</v>
      </c>
      <c r="KV28" s="3">
        <v>1011</v>
      </c>
      <c r="KW28" s="3">
        <v>998</v>
      </c>
      <c r="KX28" s="3">
        <v>1253</v>
      </c>
      <c r="KY28" s="3">
        <v>1049</v>
      </c>
      <c r="KZ28" s="3">
        <v>1394</v>
      </c>
      <c r="LA28" s="3">
        <v>1007</v>
      </c>
      <c r="LB28" s="3">
        <v>850</v>
      </c>
      <c r="LC28" s="3">
        <v>967</v>
      </c>
      <c r="LD28" s="3">
        <v>1536</v>
      </c>
      <c r="LE28" s="3">
        <v>1198</v>
      </c>
      <c r="LF28" s="3">
        <v>1617</v>
      </c>
      <c r="LG28" s="3">
        <v>1499</v>
      </c>
      <c r="LH28" s="3">
        <v>1074</v>
      </c>
      <c r="LI28" s="3">
        <v>848</v>
      </c>
      <c r="LJ28" s="3">
        <v>1345</v>
      </c>
      <c r="LK28" s="3">
        <v>1295</v>
      </c>
      <c r="LL28" s="3">
        <v>1772</v>
      </c>
      <c r="LM28" s="3">
        <v>1742</v>
      </c>
      <c r="LN28" s="3">
        <v>579</v>
      </c>
      <c r="LO28" s="3">
        <v>711</v>
      </c>
      <c r="LP28" s="3">
        <v>1001</v>
      </c>
      <c r="LQ28" s="3">
        <v>977</v>
      </c>
      <c r="LR28" s="3">
        <v>1199</v>
      </c>
      <c r="LS28" s="3">
        <v>1110</v>
      </c>
      <c r="LT28" s="3">
        <v>1422</v>
      </c>
      <c r="LU28" s="3">
        <v>1156</v>
      </c>
      <c r="LV28" s="3">
        <v>2309</v>
      </c>
      <c r="LW28" s="3">
        <v>1946</v>
      </c>
      <c r="LX28" s="3">
        <v>2240</v>
      </c>
      <c r="LY28" s="3">
        <v>2080</v>
      </c>
      <c r="LZ28" s="3">
        <v>1147</v>
      </c>
      <c r="MA28" s="3">
        <v>1552</v>
      </c>
      <c r="MB28" s="3">
        <v>2103</v>
      </c>
      <c r="MC28" s="3">
        <v>2080</v>
      </c>
      <c r="MD28" s="3">
        <v>2171</v>
      </c>
      <c r="ME28" s="3">
        <v>2499</v>
      </c>
      <c r="MF28" s="3">
        <v>1929</v>
      </c>
      <c r="MG28" s="3">
        <v>1385</v>
      </c>
      <c r="MH28" s="3">
        <v>2321</v>
      </c>
      <c r="MI28" s="3">
        <v>2416</v>
      </c>
      <c r="MJ28" s="3">
        <v>2581</v>
      </c>
      <c r="MK28" s="3">
        <v>2634</v>
      </c>
      <c r="ML28" s="3">
        <v>1830</v>
      </c>
      <c r="MM28" s="3">
        <v>2002</v>
      </c>
      <c r="MN28" s="3">
        <v>3024</v>
      </c>
      <c r="MO28" s="3">
        <v>2772</v>
      </c>
      <c r="MP28" s="3">
        <v>3811</v>
      </c>
      <c r="MQ28" s="3">
        <v>4104</v>
      </c>
      <c r="MR28" s="3">
        <v>2067</v>
      </c>
      <c r="MS28" s="3">
        <v>1719</v>
      </c>
      <c r="MT28" s="3">
        <v>2849</v>
      </c>
      <c r="MU28" s="3">
        <v>2762</v>
      </c>
      <c r="MV28" s="3">
        <v>3905</v>
      </c>
      <c r="MW28" s="3">
        <v>3470</v>
      </c>
    </row>
    <row r="29" spans="1:361" x14ac:dyDescent="0.3">
      <c r="A29" s="3">
        <v>18</v>
      </c>
      <c r="B29" s="3">
        <v>440</v>
      </c>
      <c r="C29" s="3">
        <v>283</v>
      </c>
      <c r="D29" s="3">
        <v>473</v>
      </c>
      <c r="E29" s="3">
        <v>472</v>
      </c>
      <c r="F29" s="3">
        <v>591</v>
      </c>
      <c r="G29" s="3">
        <v>534</v>
      </c>
      <c r="H29" s="3">
        <v>1006</v>
      </c>
      <c r="I29" s="3">
        <v>973</v>
      </c>
      <c r="J29" s="3">
        <v>1067</v>
      </c>
      <c r="K29" s="3">
        <v>800</v>
      </c>
      <c r="L29" s="3">
        <v>1429</v>
      </c>
      <c r="M29" s="3">
        <v>900</v>
      </c>
      <c r="N29" s="3">
        <v>553</v>
      </c>
      <c r="O29" s="3">
        <v>487</v>
      </c>
      <c r="P29" s="3">
        <v>1043</v>
      </c>
      <c r="Q29" s="3">
        <v>1014</v>
      </c>
      <c r="R29" s="3">
        <v>1041</v>
      </c>
      <c r="S29" s="3">
        <v>910</v>
      </c>
      <c r="T29" s="3">
        <v>820</v>
      </c>
      <c r="U29" s="3">
        <v>904</v>
      </c>
      <c r="V29" s="3">
        <v>1035</v>
      </c>
      <c r="W29" s="3">
        <v>1111</v>
      </c>
      <c r="X29" s="3">
        <v>1295</v>
      </c>
      <c r="Y29" s="3">
        <v>1007</v>
      </c>
      <c r="Z29" s="3">
        <v>1056</v>
      </c>
      <c r="AA29" s="3">
        <v>913</v>
      </c>
      <c r="AB29" s="3">
        <v>1180</v>
      </c>
      <c r="AC29" s="3">
        <v>1343</v>
      </c>
      <c r="AD29" s="3">
        <v>1847</v>
      </c>
      <c r="AE29" s="3">
        <v>1841</v>
      </c>
      <c r="AF29" s="3">
        <v>1080</v>
      </c>
      <c r="AG29" s="3">
        <v>1123</v>
      </c>
      <c r="AH29" s="3">
        <v>1852</v>
      </c>
      <c r="AI29" s="3">
        <v>1115</v>
      </c>
      <c r="AJ29" s="3">
        <v>2017</v>
      </c>
      <c r="AK29" s="3">
        <v>1306</v>
      </c>
      <c r="AL29" s="3">
        <v>741</v>
      </c>
      <c r="AM29" s="3">
        <v>665</v>
      </c>
      <c r="AN29" s="3">
        <v>1112</v>
      </c>
      <c r="AO29" s="3">
        <v>839</v>
      </c>
      <c r="AP29" s="3">
        <v>1375</v>
      </c>
      <c r="AQ29" s="3">
        <v>1288</v>
      </c>
      <c r="AR29" s="3">
        <v>2007</v>
      </c>
      <c r="AS29" s="3">
        <v>1538</v>
      </c>
      <c r="AT29" s="3">
        <v>2226</v>
      </c>
      <c r="AU29" s="3">
        <v>1704</v>
      </c>
      <c r="AV29" s="3">
        <v>2356</v>
      </c>
      <c r="AW29" s="3">
        <v>2211</v>
      </c>
      <c r="AX29" s="3">
        <v>1153</v>
      </c>
      <c r="AY29" s="3">
        <v>1470</v>
      </c>
      <c r="AZ29" s="3">
        <v>1751</v>
      </c>
      <c r="BA29" s="3">
        <v>1997</v>
      </c>
      <c r="BB29" s="3">
        <v>2709</v>
      </c>
      <c r="BC29" s="3">
        <v>2221</v>
      </c>
      <c r="BD29" s="3">
        <v>1743</v>
      </c>
      <c r="BE29" s="3">
        <v>1459</v>
      </c>
      <c r="BF29" s="3">
        <v>2516</v>
      </c>
      <c r="BG29" s="3">
        <v>2038</v>
      </c>
      <c r="BH29" s="3">
        <v>2584</v>
      </c>
      <c r="BI29" s="3">
        <v>2514</v>
      </c>
      <c r="BJ29" s="3">
        <v>1573</v>
      </c>
      <c r="BK29" s="3">
        <v>1985</v>
      </c>
      <c r="BL29" s="3">
        <v>2853</v>
      </c>
      <c r="BM29" s="3">
        <v>2291</v>
      </c>
      <c r="BN29" s="3">
        <v>3866</v>
      </c>
      <c r="BO29" s="3">
        <v>3459</v>
      </c>
      <c r="BP29" s="3">
        <v>2059</v>
      </c>
      <c r="BQ29" s="3">
        <v>1388</v>
      </c>
      <c r="BR29" s="3">
        <v>2716</v>
      </c>
      <c r="BS29" s="3">
        <v>2640</v>
      </c>
      <c r="BT29" s="3">
        <v>3427</v>
      </c>
      <c r="BU29" s="3">
        <v>3055</v>
      </c>
      <c r="BV29" s="3">
        <v>381</v>
      </c>
      <c r="BW29" s="3">
        <v>261</v>
      </c>
      <c r="BX29" s="3">
        <v>413</v>
      </c>
      <c r="BY29" s="3">
        <v>433</v>
      </c>
      <c r="BZ29" s="3">
        <v>597</v>
      </c>
      <c r="CA29" s="3">
        <v>573</v>
      </c>
      <c r="CB29" s="3">
        <v>553</v>
      </c>
      <c r="CC29" s="3">
        <v>682</v>
      </c>
      <c r="CD29" s="3">
        <v>1122</v>
      </c>
      <c r="CE29" s="3">
        <v>1098</v>
      </c>
      <c r="CF29" s="3">
        <v>915</v>
      </c>
      <c r="CG29" s="3">
        <v>1027</v>
      </c>
      <c r="CH29" s="3">
        <v>656</v>
      </c>
      <c r="CI29" s="3">
        <v>576</v>
      </c>
      <c r="CJ29" s="3">
        <v>1137</v>
      </c>
      <c r="CK29" s="3">
        <v>971</v>
      </c>
      <c r="CL29" s="3">
        <v>1120</v>
      </c>
      <c r="CM29" s="3">
        <v>900</v>
      </c>
      <c r="CN29" s="3">
        <v>750</v>
      </c>
      <c r="CO29" s="3">
        <v>785</v>
      </c>
      <c r="CP29" s="3">
        <v>1108</v>
      </c>
      <c r="CQ29" s="3">
        <v>1098</v>
      </c>
      <c r="CR29" s="3">
        <v>1424</v>
      </c>
      <c r="CS29" s="3">
        <v>1136</v>
      </c>
      <c r="CT29" s="3">
        <v>1032</v>
      </c>
      <c r="CU29" s="3">
        <v>838</v>
      </c>
      <c r="CV29" s="3">
        <v>1262</v>
      </c>
      <c r="CW29" s="3">
        <v>1125</v>
      </c>
      <c r="CX29" s="3">
        <v>1323</v>
      </c>
      <c r="CY29" s="3">
        <v>1511</v>
      </c>
      <c r="CZ29" s="3">
        <v>1175</v>
      </c>
      <c r="DA29" s="3">
        <v>865</v>
      </c>
      <c r="DB29" s="3">
        <v>1637</v>
      </c>
      <c r="DC29" s="3">
        <v>1321</v>
      </c>
      <c r="DD29" s="3">
        <v>1752</v>
      </c>
      <c r="DE29" s="3">
        <v>1435</v>
      </c>
      <c r="DF29" s="3">
        <v>700</v>
      </c>
      <c r="DG29" s="3">
        <v>643</v>
      </c>
      <c r="DH29" s="3">
        <v>1000</v>
      </c>
      <c r="DI29" s="3">
        <v>1087</v>
      </c>
      <c r="DJ29" s="3">
        <v>1277</v>
      </c>
      <c r="DK29" s="3">
        <v>1287</v>
      </c>
      <c r="DL29" s="3">
        <v>2037</v>
      </c>
      <c r="DM29" s="3">
        <v>1480</v>
      </c>
      <c r="DN29" s="3">
        <v>1939</v>
      </c>
      <c r="DO29" s="3">
        <v>1766</v>
      </c>
      <c r="DP29" s="3">
        <v>2670</v>
      </c>
      <c r="DQ29" s="3">
        <v>2006</v>
      </c>
      <c r="DR29" s="3">
        <v>1214</v>
      </c>
      <c r="DS29" s="3">
        <v>1150</v>
      </c>
      <c r="DT29" s="3">
        <v>1834</v>
      </c>
      <c r="DU29" s="3">
        <v>2046</v>
      </c>
      <c r="DV29" s="3">
        <v>2250</v>
      </c>
      <c r="DW29" s="3">
        <v>2458</v>
      </c>
      <c r="DX29" s="3">
        <v>1797</v>
      </c>
      <c r="DY29" s="3">
        <v>1635</v>
      </c>
      <c r="DZ29" s="3">
        <v>2282</v>
      </c>
      <c r="EA29" s="3">
        <v>1867</v>
      </c>
      <c r="EB29" s="3">
        <v>2780</v>
      </c>
      <c r="EC29" s="3">
        <v>2496</v>
      </c>
      <c r="ED29" s="3">
        <v>1483</v>
      </c>
      <c r="EE29" s="3">
        <v>1625</v>
      </c>
      <c r="EF29" s="3">
        <v>2999</v>
      </c>
      <c r="EG29" s="3">
        <v>2779</v>
      </c>
      <c r="EH29" s="3">
        <v>3842</v>
      </c>
      <c r="EI29" s="3">
        <v>3740</v>
      </c>
      <c r="EJ29" s="3">
        <v>2225</v>
      </c>
      <c r="EK29" s="3">
        <v>1525</v>
      </c>
      <c r="EL29" s="3">
        <v>3388</v>
      </c>
      <c r="EM29" s="3">
        <v>2565</v>
      </c>
      <c r="EN29" s="3">
        <v>3837</v>
      </c>
      <c r="EO29" s="3">
        <v>3276</v>
      </c>
      <c r="EP29" s="3">
        <v>441</v>
      </c>
      <c r="EQ29" s="3">
        <v>304</v>
      </c>
      <c r="ER29" s="3">
        <v>585</v>
      </c>
      <c r="ES29" s="3">
        <v>471</v>
      </c>
      <c r="ET29" s="3">
        <v>640</v>
      </c>
      <c r="EU29" s="3">
        <v>694</v>
      </c>
      <c r="EV29" s="3">
        <v>784</v>
      </c>
      <c r="EW29" s="3">
        <v>952</v>
      </c>
      <c r="EX29" s="3">
        <v>1171</v>
      </c>
      <c r="EY29" s="3">
        <v>826</v>
      </c>
      <c r="EZ29" s="3">
        <v>1061</v>
      </c>
      <c r="FA29" s="3">
        <v>1256</v>
      </c>
      <c r="FB29" s="3">
        <v>373</v>
      </c>
      <c r="FC29" s="3">
        <v>470</v>
      </c>
      <c r="FD29" s="3">
        <v>772</v>
      </c>
      <c r="FE29" s="3">
        <v>1101</v>
      </c>
      <c r="FF29" s="3">
        <v>1176</v>
      </c>
      <c r="FG29" s="3">
        <v>1094</v>
      </c>
      <c r="FH29" s="3">
        <v>614</v>
      </c>
      <c r="FI29" s="3">
        <v>648</v>
      </c>
      <c r="FJ29" s="3">
        <v>1084</v>
      </c>
      <c r="FK29" s="3">
        <v>921</v>
      </c>
      <c r="FL29" s="3">
        <v>1220</v>
      </c>
      <c r="FM29" s="3">
        <v>1256</v>
      </c>
      <c r="FN29" s="3">
        <v>832</v>
      </c>
      <c r="FO29" s="3">
        <v>563</v>
      </c>
      <c r="FP29" s="3">
        <v>1522</v>
      </c>
      <c r="FQ29" s="3">
        <v>1340</v>
      </c>
      <c r="FR29" s="3">
        <v>1810</v>
      </c>
      <c r="FS29" s="3">
        <v>1559</v>
      </c>
      <c r="FT29" s="3">
        <v>1014</v>
      </c>
      <c r="FU29" s="3">
        <v>805</v>
      </c>
      <c r="FV29" s="3">
        <v>1333</v>
      </c>
      <c r="FW29" s="3">
        <v>1268</v>
      </c>
      <c r="FX29" s="3">
        <v>1618</v>
      </c>
      <c r="FY29" s="3">
        <v>1570</v>
      </c>
      <c r="FZ29" s="3">
        <v>561</v>
      </c>
      <c r="GA29" s="3">
        <v>679</v>
      </c>
      <c r="GB29" s="3">
        <v>1162</v>
      </c>
      <c r="GC29" s="3">
        <v>879</v>
      </c>
      <c r="GD29" s="3">
        <v>1342</v>
      </c>
      <c r="GE29" s="3">
        <v>1316</v>
      </c>
      <c r="GF29" s="3">
        <v>1587</v>
      </c>
      <c r="GG29" s="3">
        <v>1278</v>
      </c>
      <c r="GH29" s="3">
        <v>2105</v>
      </c>
      <c r="GI29" s="3">
        <v>1832</v>
      </c>
      <c r="GJ29" s="3">
        <v>2551</v>
      </c>
      <c r="GK29" s="3">
        <v>2178</v>
      </c>
      <c r="GL29" s="3">
        <v>1201</v>
      </c>
      <c r="GM29" s="3">
        <v>1267</v>
      </c>
      <c r="GN29" s="3">
        <v>2100</v>
      </c>
      <c r="GO29" s="3">
        <v>1972</v>
      </c>
      <c r="GP29" s="3">
        <v>2662</v>
      </c>
      <c r="GQ29" s="3">
        <v>2551</v>
      </c>
      <c r="GR29" s="3">
        <v>1961</v>
      </c>
      <c r="GS29" s="3">
        <v>1570</v>
      </c>
      <c r="GT29" s="3">
        <v>2258</v>
      </c>
      <c r="GU29" s="3">
        <v>2013</v>
      </c>
      <c r="GV29" s="3">
        <v>2927</v>
      </c>
      <c r="GW29" s="3">
        <v>2258</v>
      </c>
      <c r="GX29" s="3">
        <v>1758</v>
      </c>
      <c r="GY29" s="3">
        <v>1741</v>
      </c>
      <c r="GZ29" s="3">
        <v>3097</v>
      </c>
      <c r="HA29" s="3">
        <v>2887</v>
      </c>
      <c r="HB29" s="3">
        <v>3546</v>
      </c>
      <c r="HC29" s="3">
        <v>3864</v>
      </c>
      <c r="HD29" s="3">
        <v>2022</v>
      </c>
      <c r="HE29" s="3">
        <v>1759</v>
      </c>
      <c r="HF29" s="3">
        <v>3154</v>
      </c>
      <c r="HG29" s="3">
        <v>2840</v>
      </c>
      <c r="HH29" s="3">
        <v>3984</v>
      </c>
      <c r="HI29" s="3">
        <v>3428</v>
      </c>
      <c r="HJ29" s="3">
        <v>218</v>
      </c>
      <c r="HK29" s="3">
        <v>341</v>
      </c>
      <c r="HL29" s="3">
        <v>464</v>
      </c>
      <c r="HM29" s="3">
        <v>543</v>
      </c>
      <c r="HN29" s="3">
        <v>671</v>
      </c>
      <c r="HO29" s="3">
        <v>607</v>
      </c>
      <c r="HP29" s="3">
        <v>664</v>
      </c>
      <c r="HQ29" s="3">
        <v>740</v>
      </c>
      <c r="HR29" s="3">
        <v>1154</v>
      </c>
      <c r="HS29" s="3">
        <v>1027</v>
      </c>
      <c r="HT29" s="3">
        <v>1242</v>
      </c>
      <c r="HU29" s="3">
        <v>927</v>
      </c>
      <c r="HV29" s="3">
        <v>726</v>
      </c>
      <c r="HW29" s="3">
        <v>663</v>
      </c>
      <c r="HX29" s="3">
        <v>999</v>
      </c>
      <c r="HY29" s="3">
        <v>853</v>
      </c>
      <c r="HZ29" s="3">
        <v>694</v>
      </c>
      <c r="IA29" s="3">
        <v>1445</v>
      </c>
      <c r="IB29" s="3">
        <v>1183</v>
      </c>
      <c r="IC29" s="3">
        <v>948</v>
      </c>
      <c r="ID29" s="3">
        <v>1276</v>
      </c>
      <c r="IE29" s="3">
        <v>841</v>
      </c>
      <c r="IF29" s="3">
        <v>1389</v>
      </c>
      <c r="IG29" s="3">
        <v>1123</v>
      </c>
      <c r="IH29" s="3">
        <v>945</v>
      </c>
      <c r="II29" s="3">
        <v>886</v>
      </c>
      <c r="IJ29" s="3">
        <v>1277</v>
      </c>
      <c r="IK29" s="3">
        <v>1440</v>
      </c>
      <c r="IL29" s="3">
        <v>1787</v>
      </c>
      <c r="IM29" s="3">
        <v>1920</v>
      </c>
      <c r="IN29" s="3">
        <v>1159</v>
      </c>
      <c r="IO29" s="3">
        <v>932</v>
      </c>
      <c r="IP29" s="3">
        <v>1727</v>
      </c>
      <c r="IQ29" s="3">
        <v>1232</v>
      </c>
      <c r="IR29" s="3">
        <v>1739</v>
      </c>
      <c r="IS29" s="3">
        <v>1688</v>
      </c>
      <c r="IT29" s="3">
        <v>719</v>
      </c>
      <c r="IU29" s="3">
        <v>571</v>
      </c>
      <c r="IV29" s="3">
        <v>893</v>
      </c>
      <c r="IW29" s="3">
        <v>860</v>
      </c>
      <c r="IX29" s="3">
        <v>1256</v>
      </c>
      <c r="IY29" s="3">
        <v>1399</v>
      </c>
      <c r="IZ29" s="3">
        <v>1969</v>
      </c>
      <c r="JA29" s="3">
        <v>1200</v>
      </c>
      <c r="JB29" s="3">
        <v>1995</v>
      </c>
      <c r="JC29" s="3">
        <v>1756</v>
      </c>
      <c r="JD29" s="3">
        <v>2024</v>
      </c>
      <c r="JE29" s="3">
        <v>2029</v>
      </c>
      <c r="JF29" s="3">
        <v>1164</v>
      </c>
      <c r="JG29" s="3">
        <v>1181</v>
      </c>
      <c r="JH29" s="3">
        <v>2235</v>
      </c>
      <c r="JI29" s="3">
        <v>1875</v>
      </c>
      <c r="JJ29" s="3">
        <v>2630</v>
      </c>
      <c r="JK29" s="3">
        <v>2311</v>
      </c>
      <c r="JL29" s="3">
        <v>1849</v>
      </c>
      <c r="JM29" s="3">
        <v>1553</v>
      </c>
      <c r="JN29" s="3">
        <v>2516</v>
      </c>
      <c r="JO29" s="3">
        <v>1977</v>
      </c>
      <c r="JP29" s="3">
        <v>2774</v>
      </c>
      <c r="JQ29" s="3">
        <v>2362</v>
      </c>
      <c r="JR29" s="3">
        <v>1560</v>
      </c>
      <c r="JS29" s="3">
        <v>1590</v>
      </c>
      <c r="JT29" s="3">
        <v>2950</v>
      </c>
      <c r="JU29" s="3">
        <v>3157</v>
      </c>
      <c r="JV29" s="3">
        <v>3936</v>
      </c>
      <c r="JW29" s="3">
        <v>3420</v>
      </c>
      <c r="JX29" s="3">
        <v>1769</v>
      </c>
      <c r="JY29" s="3">
        <v>1544</v>
      </c>
      <c r="JZ29" s="3">
        <v>3042</v>
      </c>
      <c r="KA29" s="3">
        <v>2800</v>
      </c>
      <c r="KB29" s="3">
        <v>3701</v>
      </c>
      <c r="KC29" s="3">
        <v>3283</v>
      </c>
      <c r="KD29" s="3">
        <v>289</v>
      </c>
      <c r="KE29" s="3">
        <v>368</v>
      </c>
      <c r="KF29" s="3">
        <v>485</v>
      </c>
      <c r="KG29" s="3">
        <v>455</v>
      </c>
      <c r="KH29" s="3">
        <v>677</v>
      </c>
      <c r="KI29" s="3">
        <v>618</v>
      </c>
      <c r="KJ29" s="3">
        <v>810</v>
      </c>
      <c r="KK29" s="3">
        <v>862</v>
      </c>
      <c r="KL29" s="3">
        <v>1211</v>
      </c>
      <c r="KM29" s="3">
        <v>1021</v>
      </c>
      <c r="KN29" s="3">
        <v>1112</v>
      </c>
      <c r="KO29" s="3">
        <v>1291</v>
      </c>
      <c r="KP29" s="3">
        <v>440</v>
      </c>
      <c r="KQ29" s="3">
        <v>522</v>
      </c>
      <c r="KR29" s="3">
        <v>786</v>
      </c>
      <c r="KS29" s="3">
        <v>908</v>
      </c>
      <c r="KT29" s="3">
        <v>1192</v>
      </c>
      <c r="KU29" s="3">
        <v>1225</v>
      </c>
      <c r="KV29" s="3">
        <v>1011</v>
      </c>
      <c r="KW29" s="3">
        <v>998</v>
      </c>
      <c r="KX29" s="3">
        <v>1253</v>
      </c>
      <c r="KY29" s="3">
        <v>1049</v>
      </c>
      <c r="KZ29" s="3">
        <v>1396</v>
      </c>
      <c r="LA29" s="3">
        <v>1010</v>
      </c>
      <c r="LB29" s="3">
        <v>850</v>
      </c>
      <c r="LC29" s="3">
        <v>967</v>
      </c>
      <c r="LD29" s="3">
        <v>1536</v>
      </c>
      <c r="LE29" s="3">
        <v>1195</v>
      </c>
      <c r="LF29" s="3">
        <v>1617</v>
      </c>
      <c r="LG29" s="3">
        <v>1499</v>
      </c>
      <c r="LH29" s="3">
        <v>1074</v>
      </c>
      <c r="LI29" s="3">
        <v>848</v>
      </c>
      <c r="LJ29" s="3">
        <v>1345</v>
      </c>
      <c r="LK29" s="3">
        <v>1300</v>
      </c>
      <c r="LL29" s="3">
        <v>1773</v>
      </c>
      <c r="LM29" s="3">
        <v>1748</v>
      </c>
      <c r="LN29" s="3">
        <v>579</v>
      </c>
      <c r="LO29" s="3">
        <v>711</v>
      </c>
      <c r="LP29" s="3">
        <v>1001</v>
      </c>
      <c r="LQ29" s="3">
        <v>982</v>
      </c>
      <c r="LR29" s="3">
        <v>1197</v>
      </c>
      <c r="LS29" s="3">
        <v>1119</v>
      </c>
      <c r="LT29" s="3">
        <v>1422</v>
      </c>
      <c r="LU29" s="3">
        <v>1156</v>
      </c>
      <c r="LV29" s="3">
        <v>2309</v>
      </c>
      <c r="LW29" s="3">
        <v>1946</v>
      </c>
      <c r="LX29" s="3">
        <v>2240</v>
      </c>
      <c r="LY29" s="3">
        <v>2080</v>
      </c>
      <c r="LZ29" s="3">
        <v>1147</v>
      </c>
      <c r="MA29" s="3">
        <v>1552</v>
      </c>
      <c r="MB29" s="3">
        <v>2105</v>
      </c>
      <c r="MC29" s="3">
        <v>2080</v>
      </c>
      <c r="MD29" s="3">
        <v>2173</v>
      </c>
      <c r="ME29" s="3">
        <v>2499</v>
      </c>
      <c r="MF29" s="3">
        <v>1929</v>
      </c>
      <c r="MG29" s="3">
        <v>1385</v>
      </c>
      <c r="MH29" s="3">
        <v>2324</v>
      </c>
      <c r="MI29" s="3">
        <v>2416</v>
      </c>
      <c r="MJ29" s="3">
        <v>2572</v>
      </c>
      <c r="MK29" s="3">
        <v>2631</v>
      </c>
      <c r="ML29" s="3">
        <v>1831</v>
      </c>
      <c r="MM29" s="3">
        <v>2002</v>
      </c>
      <c r="MN29" s="3">
        <v>3021</v>
      </c>
      <c r="MO29" s="3">
        <v>2764</v>
      </c>
      <c r="MP29" s="3">
        <v>3811</v>
      </c>
      <c r="MQ29" s="3">
        <v>4104</v>
      </c>
      <c r="MR29" s="3">
        <v>2068</v>
      </c>
      <c r="MS29" s="3">
        <v>1719</v>
      </c>
      <c r="MT29" s="3">
        <v>2846</v>
      </c>
      <c r="MU29" s="3">
        <v>2752</v>
      </c>
      <c r="MV29" s="3">
        <v>3910</v>
      </c>
      <c r="MW29" s="3">
        <v>3454</v>
      </c>
    </row>
    <row r="30" spans="1:361" x14ac:dyDescent="0.3">
      <c r="A30" s="3">
        <v>19</v>
      </c>
      <c r="B30" s="3">
        <v>440</v>
      </c>
      <c r="C30" s="3">
        <v>283</v>
      </c>
      <c r="D30" s="3">
        <v>473</v>
      </c>
      <c r="E30" s="3">
        <v>465</v>
      </c>
      <c r="F30" s="3">
        <v>591</v>
      </c>
      <c r="G30" s="3">
        <v>534</v>
      </c>
      <c r="H30" s="3">
        <v>1006</v>
      </c>
      <c r="I30" s="3">
        <v>973</v>
      </c>
      <c r="J30" s="3">
        <v>1067</v>
      </c>
      <c r="K30" s="3">
        <v>800</v>
      </c>
      <c r="L30" s="3">
        <v>1429</v>
      </c>
      <c r="M30" s="3">
        <v>900</v>
      </c>
      <c r="N30" s="3">
        <v>553</v>
      </c>
      <c r="O30" s="3">
        <v>487</v>
      </c>
      <c r="P30" s="3">
        <v>1040</v>
      </c>
      <c r="Q30" s="3">
        <v>1014</v>
      </c>
      <c r="R30" s="3">
        <v>1040</v>
      </c>
      <c r="S30" s="3">
        <v>911</v>
      </c>
      <c r="T30" s="3">
        <v>820</v>
      </c>
      <c r="U30" s="3">
        <v>904</v>
      </c>
      <c r="V30" s="3">
        <v>1036</v>
      </c>
      <c r="W30" s="3">
        <v>1110</v>
      </c>
      <c r="X30" s="3">
        <v>1294</v>
      </c>
      <c r="Y30" s="3">
        <v>1001</v>
      </c>
      <c r="Z30" s="3">
        <v>1056</v>
      </c>
      <c r="AA30" s="3">
        <v>913</v>
      </c>
      <c r="AB30" s="3">
        <v>1180</v>
      </c>
      <c r="AC30" s="3">
        <v>1345</v>
      </c>
      <c r="AD30" s="3">
        <v>1845</v>
      </c>
      <c r="AE30" s="3">
        <v>1841</v>
      </c>
      <c r="AF30" s="3">
        <v>1080</v>
      </c>
      <c r="AG30" s="3">
        <v>1123</v>
      </c>
      <c r="AH30" s="3">
        <v>1848</v>
      </c>
      <c r="AI30" s="3">
        <v>1131</v>
      </c>
      <c r="AJ30" s="3">
        <v>2015</v>
      </c>
      <c r="AK30" s="3">
        <v>1313</v>
      </c>
      <c r="AL30" s="3">
        <v>741</v>
      </c>
      <c r="AM30" s="3">
        <v>665</v>
      </c>
      <c r="AN30" s="3">
        <v>1109</v>
      </c>
      <c r="AO30" s="3">
        <v>839</v>
      </c>
      <c r="AP30" s="3">
        <v>1376</v>
      </c>
      <c r="AQ30" s="3">
        <v>1288</v>
      </c>
      <c r="AR30" s="3">
        <v>2007</v>
      </c>
      <c r="AS30" s="3">
        <v>1538</v>
      </c>
      <c r="AT30" s="3">
        <v>2226</v>
      </c>
      <c r="AU30" s="3">
        <v>1704</v>
      </c>
      <c r="AV30" s="3">
        <v>2356</v>
      </c>
      <c r="AW30" s="3">
        <v>2211</v>
      </c>
      <c r="AX30" s="3">
        <v>1153</v>
      </c>
      <c r="AY30" s="3">
        <v>1472</v>
      </c>
      <c r="AZ30" s="3">
        <v>1750</v>
      </c>
      <c r="BA30" s="3">
        <v>1997</v>
      </c>
      <c r="BB30" s="3">
        <v>2705</v>
      </c>
      <c r="BC30" s="3">
        <v>2239</v>
      </c>
      <c r="BD30" s="3">
        <v>1743</v>
      </c>
      <c r="BE30" s="3">
        <v>1459</v>
      </c>
      <c r="BF30" s="3">
        <v>2516</v>
      </c>
      <c r="BG30" s="3">
        <v>2038</v>
      </c>
      <c r="BH30" s="3">
        <v>2591</v>
      </c>
      <c r="BI30" s="3">
        <v>2530</v>
      </c>
      <c r="BJ30" s="3">
        <v>1574</v>
      </c>
      <c r="BK30" s="3">
        <v>1983</v>
      </c>
      <c r="BL30" s="3">
        <v>2853</v>
      </c>
      <c r="BM30" s="3">
        <v>2279</v>
      </c>
      <c r="BN30" s="3">
        <v>3867</v>
      </c>
      <c r="BO30" s="3">
        <v>3442</v>
      </c>
      <c r="BP30" s="3">
        <v>2058</v>
      </c>
      <c r="BQ30" s="3">
        <v>1388</v>
      </c>
      <c r="BR30" s="3">
        <v>2712</v>
      </c>
      <c r="BS30" s="3">
        <v>2666</v>
      </c>
      <c r="BT30" s="3">
        <v>3427</v>
      </c>
      <c r="BU30" s="3">
        <v>3046</v>
      </c>
      <c r="BV30" s="3">
        <v>381</v>
      </c>
      <c r="BW30" s="3">
        <v>261</v>
      </c>
      <c r="BX30" s="3">
        <v>413</v>
      </c>
      <c r="BY30" s="3">
        <v>434</v>
      </c>
      <c r="BZ30" s="3">
        <v>596</v>
      </c>
      <c r="CA30" s="3">
        <v>573</v>
      </c>
      <c r="CB30" s="3">
        <v>553</v>
      </c>
      <c r="CC30" s="3">
        <v>682</v>
      </c>
      <c r="CD30" s="3">
        <v>1122</v>
      </c>
      <c r="CE30" s="3">
        <v>1098</v>
      </c>
      <c r="CF30" s="3">
        <v>915</v>
      </c>
      <c r="CG30" s="3">
        <v>1027</v>
      </c>
      <c r="CH30" s="3">
        <v>656</v>
      </c>
      <c r="CI30" s="3">
        <v>576</v>
      </c>
      <c r="CJ30" s="3">
        <v>1137</v>
      </c>
      <c r="CK30" s="3">
        <v>979</v>
      </c>
      <c r="CL30" s="3">
        <v>1120</v>
      </c>
      <c r="CM30" s="3">
        <v>900</v>
      </c>
      <c r="CN30" s="3">
        <v>750</v>
      </c>
      <c r="CO30" s="3">
        <v>785</v>
      </c>
      <c r="CP30" s="3">
        <v>1108</v>
      </c>
      <c r="CQ30" s="3">
        <v>1098</v>
      </c>
      <c r="CR30" s="3">
        <v>1422</v>
      </c>
      <c r="CS30" s="3">
        <v>1134</v>
      </c>
      <c r="CT30" s="3">
        <v>1032</v>
      </c>
      <c r="CU30" s="3">
        <v>838</v>
      </c>
      <c r="CV30" s="3">
        <v>1262</v>
      </c>
      <c r="CW30" s="3">
        <v>1125</v>
      </c>
      <c r="CX30" s="3">
        <v>1323</v>
      </c>
      <c r="CY30" s="3">
        <v>1511</v>
      </c>
      <c r="CZ30" s="3">
        <v>1175</v>
      </c>
      <c r="DA30" s="3">
        <v>865</v>
      </c>
      <c r="DB30" s="3">
        <v>1635</v>
      </c>
      <c r="DC30" s="3">
        <v>1328</v>
      </c>
      <c r="DD30" s="3">
        <v>1754</v>
      </c>
      <c r="DE30" s="3">
        <v>1413</v>
      </c>
      <c r="DF30" s="3">
        <v>700</v>
      </c>
      <c r="DG30" s="3">
        <v>643</v>
      </c>
      <c r="DH30" s="3">
        <v>1000</v>
      </c>
      <c r="DI30" s="3">
        <v>1094</v>
      </c>
      <c r="DJ30" s="3">
        <v>1277</v>
      </c>
      <c r="DK30" s="3">
        <v>1299</v>
      </c>
      <c r="DL30" s="3">
        <v>2037</v>
      </c>
      <c r="DM30" s="3">
        <v>1480</v>
      </c>
      <c r="DN30" s="3">
        <v>1939</v>
      </c>
      <c r="DO30" s="3">
        <v>1766</v>
      </c>
      <c r="DP30" s="3">
        <v>2670</v>
      </c>
      <c r="DQ30" s="3">
        <v>2006</v>
      </c>
      <c r="DR30" s="3">
        <v>1214</v>
      </c>
      <c r="DS30" s="3">
        <v>1150</v>
      </c>
      <c r="DT30" s="3">
        <v>1834</v>
      </c>
      <c r="DU30" s="3">
        <v>2073</v>
      </c>
      <c r="DV30" s="3">
        <v>2250</v>
      </c>
      <c r="DW30" s="3">
        <v>2458</v>
      </c>
      <c r="DX30" s="3">
        <v>1797</v>
      </c>
      <c r="DY30" s="3">
        <v>1635</v>
      </c>
      <c r="DZ30" s="3">
        <v>2282</v>
      </c>
      <c r="EA30" s="3">
        <v>1857</v>
      </c>
      <c r="EB30" s="3">
        <v>2793</v>
      </c>
      <c r="EC30" s="3">
        <v>2458</v>
      </c>
      <c r="ED30" s="3">
        <v>1488</v>
      </c>
      <c r="EE30" s="3">
        <v>1625</v>
      </c>
      <c r="EF30" s="3">
        <v>3001</v>
      </c>
      <c r="EG30" s="3">
        <v>2768</v>
      </c>
      <c r="EH30" s="3">
        <v>3841</v>
      </c>
      <c r="EI30" s="3">
        <v>3738</v>
      </c>
      <c r="EJ30" s="3">
        <v>2226</v>
      </c>
      <c r="EK30" s="3">
        <v>1534</v>
      </c>
      <c r="EL30" s="3">
        <v>3389</v>
      </c>
      <c r="EM30" s="3">
        <v>2600</v>
      </c>
      <c r="EN30" s="3">
        <v>3841</v>
      </c>
      <c r="EO30" s="3">
        <v>3271</v>
      </c>
      <c r="EP30" s="3">
        <v>441</v>
      </c>
      <c r="EQ30" s="3">
        <v>304</v>
      </c>
      <c r="ER30" s="3">
        <v>585</v>
      </c>
      <c r="ES30" s="3">
        <v>471</v>
      </c>
      <c r="ET30" s="3">
        <v>640</v>
      </c>
      <c r="EU30" s="3">
        <v>700</v>
      </c>
      <c r="EV30" s="3">
        <v>784</v>
      </c>
      <c r="EW30" s="3">
        <v>952</v>
      </c>
      <c r="EX30" s="3">
        <v>1171</v>
      </c>
      <c r="EY30" s="3">
        <v>826</v>
      </c>
      <c r="EZ30" s="3">
        <v>1061</v>
      </c>
      <c r="FA30" s="3">
        <v>1256</v>
      </c>
      <c r="FB30" s="3">
        <v>373</v>
      </c>
      <c r="FC30" s="3">
        <v>470</v>
      </c>
      <c r="FD30" s="3">
        <v>772</v>
      </c>
      <c r="FE30" s="3">
        <v>1101</v>
      </c>
      <c r="FF30" s="3">
        <v>1179</v>
      </c>
      <c r="FG30" s="3">
        <v>1094</v>
      </c>
      <c r="FH30" s="3">
        <v>614</v>
      </c>
      <c r="FI30" s="3">
        <v>648</v>
      </c>
      <c r="FJ30" s="3">
        <v>1084</v>
      </c>
      <c r="FK30" s="3">
        <v>921</v>
      </c>
      <c r="FL30" s="3">
        <v>1224</v>
      </c>
      <c r="FM30" s="3">
        <v>1239</v>
      </c>
      <c r="FN30" s="3">
        <v>832</v>
      </c>
      <c r="FO30" s="3">
        <v>563</v>
      </c>
      <c r="FP30" s="3">
        <v>1522</v>
      </c>
      <c r="FQ30" s="3">
        <v>1338</v>
      </c>
      <c r="FR30" s="3">
        <v>1810</v>
      </c>
      <c r="FS30" s="3">
        <v>1559</v>
      </c>
      <c r="FT30" s="3">
        <v>1009</v>
      </c>
      <c r="FU30" s="3">
        <v>805</v>
      </c>
      <c r="FV30" s="3">
        <v>1331</v>
      </c>
      <c r="FW30" s="3">
        <v>1268</v>
      </c>
      <c r="FX30" s="3">
        <v>1618</v>
      </c>
      <c r="FY30" s="3">
        <v>1576</v>
      </c>
      <c r="FZ30" s="3">
        <v>561</v>
      </c>
      <c r="GA30" s="3">
        <v>679</v>
      </c>
      <c r="GB30" s="3">
        <v>1163</v>
      </c>
      <c r="GC30" s="3">
        <v>868</v>
      </c>
      <c r="GD30" s="3">
        <v>1342</v>
      </c>
      <c r="GE30" s="3">
        <v>1316</v>
      </c>
      <c r="GF30" s="3">
        <v>1587</v>
      </c>
      <c r="GG30" s="3">
        <v>1278</v>
      </c>
      <c r="GH30" s="3">
        <v>2105</v>
      </c>
      <c r="GI30" s="3">
        <v>1832</v>
      </c>
      <c r="GJ30" s="3">
        <v>2551</v>
      </c>
      <c r="GK30" s="3">
        <v>2178</v>
      </c>
      <c r="GL30" s="3">
        <v>1200</v>
      </c>
      <c r="GM30" s="3">
        <v>1267</v>
      </c>
      <c r="GN30" s="3">
        <v>2092</v>
      </c>
      <c r="GO30" s="3">
        <v>1979</v>
      </c>
      <c r="GP30" s="3">
        <v>2662</v>
      </c>
      <c r="GQ30" s="3">
        <v>2551</v>
      </c>
      <c r="GR30" s="3">
        <v>1961</v>
      </c>
      <c r="GS30" s="3">
        <v>1570</v>
      </c>
      <c r="GT30" s="3">
        <v>2254</v>
      </c>
      <c r="GU30" s="3">
        <v>2013</v>
      </c>
      <c r="GV30" s="3">
        <v>2900</v>
      </c>
      <c r="GW30" s="3">
        <v>2251</v>
      </c>
      <c r="GX30" s="3">
        <v>1752</v>
      </c>
      <c r="GY30" s="3">
        <v>1741</v>
      </c>
      <c r="GZ30" s="3">
        <v>3097</v>
      </c>
      <c r="HA30" s="3">
        <v>2876</v>
      </c>
      <c r="HB30" s="3">
        <v>3539</v>
      </c>
      <c r="HC30" s="3">
        <v>3864</v>
      </c>
      <c r="HD30" s="3">
        <v>2021</v>
      </c>
      <c r="HE30" s="3">
        <v>1739</v>
      </c>
      <c r="HF30" s="3">
        <v>3153</v>
      </c>
      <c r="HG30" s="3">
        <v>2863</v>
      </c>
      <c r="HH30" s="3">
        <v>3980</v>
      </c>
      <c r="HI30" s="3">
        <v>3416</v>
      </c>
      <c r="HJ30" s="3">
        <v>218</v>
      </c>
      <c r="HK30" s="3">
        <v>341</v>
      </c>
      <c r="HL30" s="3">
        <v>464</v>
      </c>
      <c r="HM30" s="3">
        <v>543</v>
      </c>
      <c r="HN30" s="3">
        <v>671</v>
      </c>
      <c r="HO30" s="3">
        <v>607</v>
      </c>
      <c r="HP30" s="3">
        <v>664</v>
      </c>
      <c r="HQ30" s="3">
        <v>740</v>
      </c>
      <c r="HR30" s="3">
        <v>1154</v>
      </c>
      <c r="HS30" s="3">
        <v>1027</v>
      </c>
      <c r="HT30" s="3">
        <v>1242</v>
      </c>
      <c r="HU30" s="3">
        <v>927</v>
      </c>
      <c r="HV30" s="3">
        <v>726</v>
      </c>
      <c r="HW30" s="3">
        <v>663</v>
      </c>
      <c r="HX30" s="3">
        <v>999</v>
      </c>
      <c r="HY30" s="3">
        <v>853</v>
      </c>
      <c r="HZ30" s="3">
        <v>695</v>
      </c>
      <c r="IA30" s="3">
        <v>1445</v>
      </c>
      <c r="IB30" s="3">
        <v>1183</v>
      </c>
      <c r="IC30" s="3">
        <v>948</v>
      </c>
      <c r="ID30" s="3">
        <v>1276</v>
      </c>
      <c r="IE30" s="3">
        <v>846</v>
      </c>
      <c r="IF30" s="3">
        <v>1394</v>
      </c>
      <c r="IG30" s="3">
        <v>1131</v>
      </c>
      <c r="IH30" s="3">
        <v>945</v>
      </c>
      <c r="II30" s="3">
        <v>886</v>
      </c>
      <c r="IJ30" s="3">
        <v>1283</v>
      </c>
      <c r="IK30" s="3">
        <v>1434</v>
      </c>
      <c r="IL30" s="3">
        <v>1787</v>
      </c>
      <c r="IM30" s="3">
        <v>1920</v>
      </c>
      <c r="IN30" s="3">
        <v>1159</v>
      </c>
      <c r="IO30" s="3">
        <v>932</v>
      </c>
      <c r="IP30" s="3">
        <v>1731</v>
      </c>
      <c r="IQ30" s="3">
        <v>1240</v>
      </c>
      <c r="IR30" s="3">
        <v>1740</v>
      </c>
      <c r="IS30" s="3">
        <v>1679</v>
      </c>
      <c r="IT30" s="3">
        <v>719</v>
      </c>
      <c r="IU30" s="3">
        <v>571</v>
      </c>
      <c r="IV30" s="3">
        <v>893</v>
      </c>
      <c r="IW30" s="3">
        <v>860</v>
      </c>
      <c r="IX30" s="3">
        <v>1256</v>
      </c>
      <c r="IY30" s="3">
        <v>1399</v>
      </c>
      <c r="IZ30" s="3">
        <v>1969</v>
      </c>
      <c r="JA30" s="3">
        <v>1200</v>
      </c>
      <c r="JB30" s="3">
        <v>1995</v>
      </c>
      <c r="JC30" s="3">
        <v>1756</v>
      </c>
      <c r="JD30" s="3">
        <v>2020</v>
      </c>
      <c r="JE30" s="3">
        <v>2029</v>
      </c>
      <c r="JF30" s="3">
        <v>1164</v>
      </c>
      <c r="JG30" s="3">
        <v>1181</v>
      </c>
      <c r="JH30" s="3">
        <v>2235</v>
      </c>
      <c r="JI30" s="3">
        <v>1875</v>
      </c>
      <c r="JJ30" s="3">
        <v>2630</v>
      </c>
      <c r="JK30" s="3">
        <v>2314</v>
      </c>
      <c r="JL30" s="3">
        <v>1849</v>
      </c>
      <c r="JM30" s="3">
        <v>1553</v>
      </c>
      <c r="JN30" s="3">
        <v>2517</v>
      </c>
      <c r="JO30" s="3">
        <v>1991</v>
      </c>
      <c r="JP30" s="3">
        <v>2766</v>
      </c>
      <c r="JQ30" s="3">
        <v>2346</v>
      </c>
      <c r="JR30" s="3">
        <v>1560</v>
      </c>
      <c r="JS30" s="3">
        <v>1597</v>
      </c>
      <c r="JT30" s="3">
        <v>2954</v>
      </c>
      <c r="JU30" s="3">
        <v>3157</v>
      </c>
      <c r="JV30" s="3">
        <v>3936</v>
      </c>
      <c r="JW30" s="3">
        <v>3420</v>
      </c>
      <c r="JX30" s="3">
        <v>1771</v>
      </c>
      <c r="JY30" s="3">
        <v>1574</v>
      </c>
      <c r="JZ30" s="3">
        <v>3033</v>
      </c>
      <c r="KA30" s="3">
        <v>2779</v>
      </c>
      <c r="KB30" s="3">
        <v>3696</v>
      </c>
      <c r="KC30" s="3">
        <v>3288</v>
      </c>
      <c r="KD30" s="3">
        <v>289</v>
      </c>
      <c r="KE30" s="3">
        <v>368</v>
      </c>
      <c r="KF30" s="3">
        <v>485</v>
      </c>
      <c r="KG30" s="3">
        <v>461</v>
      </c>
      <c r="KH30" s="3">
        <v>677</v>
      </c>
      <c r="KI30" s="3">
        <v>626</v>
      </c>
      <c r="KJ30" s="3">
        <v>810</v>
      </c>
      <c r="KK30" s="3">
        <v>862</v>
      </c>
      <c r="KL30" s="3">
        <v>1211</v>
      </c>
      <c r="KM30" s="3">
        <v>1021</v>
      </c>
      <c r="KN30" s="3">
        <v>1112</v>
      </c>
      <c r="KO30" s="3">
        <v>1291</v>
      </c>
      <c r="KP30" s="3">
        <v>440</v>
      </c>
      <c r="KQ30" s="3">
        <v>522</v>
      </c>
      <c r="KR30" s="3">
        <v>786</v>
      </c>
      <c r="KS30" s="3">
        <v>908</v>
      </c>
      <c r="KT30" s="3">
        <v>1192</v>
      </c>
      <c r="KU30" s="3">
        <v>1225</v>
      </c>
      <c r="KV30" s="3">
        <v>1011</v>
      </c>
      <c r="KW30" s="3">
        <v>998</v>
      </c>
      <c r="KX30" s="3">
        <v>1253</v>
      </c>
      <c r="KY30" s="3">
        <v>1049</v>
      </c>
      <c r="KZ30" s="3">
        <v>1393</v>
      </c>
      <c r="LA30" s="3">
        <v>1006</v>
      </c>
      <c r="LB30" s="3">
        <v>850</v>
      </c>
      <c r="LC30" s="3">
        <v>967</v>
      </c>
      <c r="LD30" s="3">
        <v>1536</v>
      </c>
      <c r="LE30" s="3">
        <v>1197</v>
      </c>
      <c r="LF30" s="3">
        <v>1617</v>
      </c>
      <c r="LG30" s="3">
        <v>1499</v>
      </c>
      <c r="LH30" s="3">
        <v>1074</v>
      </c>
      <c r="LI30" s="3">
        <v>848</v>
      </c>
      <c r="LJ30" s="3">
        <v>1343</v>
      </c>
      <c r="LK30" s="3">
        <v>1281</v>
      </c>
      <c r="LL30" s="3">
        <v>1772</v>
      </c>
      <c r="LM30" s="3">
        <v>1774</v>
      </c>
      <c r="LN30" s="3">
        <v>579</v>
      </c>
      <c r="LO30" s="3">
        <v>711</v>
      </c>
      <c r="LP30" s="3">
        <v>1000</v>
      </c>
      <c r="LQ30" s="3">
        <v>982</v>
      </c>
      <c r="LR30" s="3">
        <v>1197</v>
      </c>
      <c r="LS30" s="3">
        <v>1119</v>
      </c>
      <c r="LT30" s="3">
        <v>1422</v>
      </c>
      <c r="LU30" s="3">
        <v>1156</v>
      </c>
      <c r="LV30" s="3">
        <v>2309</v>
      </c>
      <c r="LW30" s="3">
        <v>1946</v>
      </c>
      <c r="LX30" s="3">
        <v>2240</v>
      </c>
      <c r="LY30" s="3">
        <v>2080</v>
      </c>
      <c r="LZ30" s="3">
        <v>1147</v>
      </c>
      <c r="MA30" s="3">
        <v>1552</v>
      </c>
      <c r="MB30" s="3">
        <v>2102</v>
      </c>
      <c r="MC30" s="3">
        <v>2080</v>
      </c>
      <c r="MD30" s="3">
        <v>2171</v>
      </c>
      <c r="ME30" s="3">
        <v>2499</v>
      </c>
      <c r="MF30" s="3">
        <v>1929</v>
      </c>
      <c r="MG30" s="3">
        <v>1385</v>
      </c>
      <c r="MH30" s="3">
        <v>2322</v>
      </c>
      <c r="MI30" s="3">
        <v>2416</v>
      </c>
      <c r="MJ30" s="3">
        <v>2587</v>
      </c>
      <c r="MK30" s="3">
        <v>2641</v>
      </c>
      <c r="ML30" s="3">
        <v>1833</v>
      </c>
      <c r="MM30" s="3">
        <v>2002</v>
      </c>
      <c r="MN30" s="3">
        <v>3025</v>
      </c>
      <c r="MO30" s="3">
        <v>2752</v>
      </c>
      <c r="MP30" s="3">
        <v>3811</v>
      </c>
      <c r="MQ30" s="3">
        <v>4104</v>
      </c>
      <c r="MR30" s="3">
        <v>2068</v>
      </c>
      <c r="MS30" s="3">
        <v>1719</v>
      </c>
      <c r="MT30" s="3">
        <v>2849</v>
      </c>
      <c r="MU30" s="3">
        <v>2761</v>
      </c>
      <c r="MV30" s="3">
        <v>3901</v>
      </c>
      <c r="MW30" s="3">
        <v>3443</v>
      </c>
    </row>
    <row r="31" spans="1:361" x14ac:dyDescent="0.3">
      <c r="A31" s="3">
        <v>20</v>
      </c>
      <c r="B31" s="3">
        <v>440</v>
      </c>
      <c r="C31" s="3">
        <v>283</v>
      </c>
      <c r="D31" s="3">
        <v>473</v>
      </c>
      <c r="E31" s="3">
        <v>463</v>
      </c>
      <c r="F31" s="3">
        <v>591</v>
      </c>
      <c r="G31" s="3">
        <v>534</v>
      </c>
      <c r="H31" s="3">
        <v>1006</v>
      </c>
      <c r="I31" s="3">
        <v>973</v>
      </c>
      <c r="J31" s="3">
        <v>1067</v>
      </c>
      <c r="K31" s="3">
        <v>800</v>
      </c>
      <c r="L31" s="3">
        <v>1429</v>
      </c>
      <c r="M31" s="3">
        <v>900</v>
      </c>
      <c r="N31" s="3">
        <v>553</v>
      </c>
      <c r="O31" s="3">
        <v>487</v>
      </c>
      <c r="P31" s="3">
        <v>1043</v>
      </c>
      <c r="Q31" s="3">
        <v>1014</v>
      </c>
      <c r="R31" s="3">
        <v>1039</v>
      </c>
      <c r="S31" s="3">
        <v>908</v>
      </c>
      <c r="T31" s="3">
        <v>820</v>
      </c>
      <c r="U31" s="3">
        <v>904</v>
      </c>
      <c r="V31" s="3">
        <v>1035</v>
      </c>
      <c r="W31" s="3">
        <v>1110</v>
      </c>
      <c r="X31" s="3">
        <v>1292</v>
      </c>
      <c r="Y31" s="3">
        <v>1012</v>
      </c>
      <c r="Z31" s="3">
        <v>1058</v>
      </c>
      <c r="AA31" s="3">
        <v>913</v>
      </c>
      <c r="AB31" s="3">
        <v>1181</v>
      </c>
      <c r="AC31" s="3">
        <v>1349</v>
      </c>
      <c r="AD31" s="3">
        <v>1843</v>
      </c>
      <c r="AE31" s="3">
        <v>1841</v>
      </c>
      <c r="AF31" s="3">
        <v>1080</v>
      </c>
      <c r="AG31" s="3">
        <v>1123</v>
      </c>
      <c r="AH31" s="3">
        <v>1852</v>
      </c>
      <c r="AI31" s="3">
        <v>1131</v>
      </c>
      <c r="AJ31" s="3">
        <v>2016</v>
      </c>
      <c r="AK31" s="3">
        <v>1320</v>
      </c>
      <c r="AL31" s="3">
        <v>741</v>
      </c>
      <c r="AM31" s="3">
        <v>665</v>
      </c>
      <c r="AN31" s="3">
        <v>1102</v>
      </c>
      <c r="AO31" s="3">
        <v>839</v>
      </c>
      <c r="AP31" s="3">
        <v>1373</v>
      </c>
      <c r="AQ31" s="3">
        <v>1288</v>
      </c>
      <c r="AR31" s="3">
        <v>2007</v>
      </c>
      <c r="AS31" s="3">
        <v>1538</v>
      </c>
      <c r="AT31" s="3">
        <v>2226</v>
      </c>
      <c r="AU31" s="3">
        <v>1704</v>
      </c>
      <c r="AV31" s="3">
        <v>2356</v>
      </c>
      <c r="AW31" s="3">
        <v>2211</v>
      </c>
      <c r="AX31" s="3">
        <v>1153</v>
      </c>
      <c r="AY31" s="3">
        <v>1465</v>
      </c>
      <c r="AZ31" s="3">
        <v>1749</v>
      </c>
      <c r="BA31" s="3">
        <v>1997</v>
      </c>
      <c r="BB31" s="3">
        <v>2711</v>
      </c>
      <c r="BC31" s="3">
        <v>2244</v>
      </c>
      <c r="BD31" s="3">
        <v>1743</v>
      </c>
      <c r="BE31" s="3">
        <v>1459</v>
      </c>
      <c r="BF31" s="3">
        <v>2516</v>
      </c>
      <c r="BG31" s="3">
        <v>2038</v>
      </c>
      <c r="BH31" s="3">
        <v>2585</v>
      </c>
      <c r="BI31" s="3">
        <v>2490</v>
      </c>
      <c r="BJ31" s="3">
        <v>1572</v>
      </c>
      <c r="BK31" s="3">
        <v>1990</v>
      </c>
      <c r="BL31" s="3">
        <v>2853</v>
      </c>
      <c r="BM31" s="3">
        <v>2294</v>
      </c>
      <c r="BN31" s="3">
        <v>3863</v>
      </c>
      <c r="BO31" s="3">
        <v>3463</v>
      </c>
      <c r="BP31" s="3">
        <v>2057</v>
      </c>
      <c r="BQ31" s="3">
        <v>1388</v>
      </c>
      <c r="BR31" s="3">
        <v>2719</v>
      </c>
      <c r="BS31" s="3">
        <v>2662</v>
      </c>
      <c r="BT31" s="3">
        <v>3434</v>
      </c>
      <c r="BU31" s="3">
        <v>3033</v>
      </c>
      <c r="BV31" s="3">
        <v>381</v>
      </c>
      <c r="BW31" s="3">
        <v>261</v>
      </c>
      <c r="BX31" s="3">
        <v>413</v>
      </c>
      <c r="BY31" s="3">
        <v>434</v>
      </c>
      <c r="BZ31" s="3">
        <v>597</v>
      </c>
      <c r="CA31" s="3">
        <v>573</v>
      </c>
      <c r="CB31" s="3">
        <v>553</v>
      </c>
      <c r="CC31" s="3">
        <v>682</v>
      </c>
      <c r="CD31" s="3">
        <v>1122</v>
      </c>
      <c r="CE31" s="3">
        <v>1098</v>
      </c>
      <c r="CF31" s="3">
        <v>915</v>
      </c>
      <c r="CG31" s="3">
        <v>1027</v>
      </c>
      <c r="CH31" s="3">
        <v>656</v>
      </c>
      <c r="CI31" s="3">
        <v>576</v>
      </c>
      <c r="CJ31" s="3">
        <v>1137</v>
      </c>
      <c r="CK31" s="3">
        <v>979</v>
      </c>
      <c r="CL31" s="3">
        <v>1120</v>
      </c>
      <c r="CM31" s="3">
        <v>900</v>
      </c>
      <c r="CN31" s="3">
        <v>750</v>
      </c>
      <c r="CO31" s="3">
        <v>785</v>
      </c>
      <c r="CP31" s="3">
        <v>1107</v>
      </c>
      <c r="CQ31" s="3">
        <v>1098</v>
      </c>
      <c r="CR31" s="3">
        <v>1425</v>
      </c>
      <c r="CS31" s="3">
        <v>1135</v>
      </c>
      <c r="CT31" s="3">
        <v>1032</v>
      </c>
      <c r="CU31" s="3">
        <v>838</v>
      </c>
      <c r="CV31" s="3">
        <v>1262</v>
      </c>
      <c r="CW31" s="3">
        <v>1125</v>
      </c>
      <c r="CX31" s="3">
        <v>1323</v>
      </c>
      <c r="CY31" s="3">
        <v>1511</v>
      </c>
      <c r="CZ31" s="3">
        <v>1175</v>
      </c>
      <c r="DA31" s="3">
        <v>865</v>
      </c>
      <c r="DB31" s="3">
        <v>1640</v>
      </c>
      <c r="DC31" s="3">
        <v>1312</v>
      </c>
      <c r="DD31" s="3">
        <v>1754</v>
      </c>
      <c r="DE31" s="3">
        <v>1422</v>
      </c>
      <c r="DF31" s="3">
        <v>700</v>
      </c>
      <c r="DG31" s="3">
        <v>643</v>
      </c>
      <c r="DH31" s="3">
        <v>1000</v>
      </c>
      <c r="DI31" s="3">
        <v>1095</v>
      </c>
      <c r="DJ31" s="3">
        <v>1277</v>
      </c>
      <c r="DK31" s="3">
        <v>1294</v>
      </c>
      <c r="DL31" s="3">
        <v>2037</v>
      </c>
      <c r="DM31" s="3">
        <v>1480</v>
      </c>
      <c r="DN31" s="3">
        <v>1939</v>
      </c>
      <c r="DO31" s="3">
        <v>1766</v>
      </c>
      <c r="DP31" s="3">
        <v>2670</v>
      </c>
      <c r="DQ31" s="3">
        <v>2006</v>
      </c>
      <c r="DR31" s="3">
        <v>1214</v>
      </c>
      <c r="DS31" s="3">
        <v>1150</v>
      </c>
      <c r="DT31" s="3">
        <v>1832</v>
      </c>
      <c r="DU31" s="3">
        <v>2065</v>
      </c>
      <c r="DV31" s="3">
        <v>2250</v>
      </c>
      <c r="DW31" s="3">
        <v>2458</v>
      </c>
      <c r="DX31" s="3">
        <v>1797</v>
      </c>
      <c r="DY31" s="3">
        <v>1635</v>
      </c>
      <c r="DZ31" s="3">
        <v>2282</v>
      </c>
      <c r="EA31" s="3">
        <v>1867</v>
      </c>
      <c r="EB31" s="3">
        <v>2800</v>
      </c>
      <c r="EC31" s="3">
        <v>2448</v>
      </c>
      <c r="ED31" s="3">
        <v>1484</v>
      </c>
      <c r="EE31" s="3">
        <v>1625</v>
      </c>
      <c r="EF31" s="3">
        <v>3003</v>
      </c>
      <c r="EG31" s="3">
        <v>2781</v>
      </c>
      <c r="EH31" s="3">
        <v>3851</v>
      </c>
      <c r="EI31" s="3">
        <v>3744</v>
      </c>
      <c r="EJ31" s="3">
        <v>2220</v>
      </c>
      <c r="EK31" s="3">
        <v>1536</v>
      </c>
      <c r="EL31" s="3">
        <v>3390</v>
      </c>
      <c r="EM31" s="3">
        <v>2595</v>
      </c>
      <c r="EN31" s="3">
        <v>3846</v>
      </c>
      <c r="EO31" s="3">
        <v>3294</v>
      </c>
      <c r="EP31" s="3">
        <v>441</v>
      </c>
      <c r="EQ31" s="3">
        <v>304</v>
      </c>
      <c r="ER31" s="3">
        <v>585</v>
      </c>
      <c r="ES31" s="3">
        <v>471</v>
      </c>
      <c r="ET31" s="3">
        <v>640</v>
      </c>
      <c r="EU31" s="3">
        <v>694</v>
      </c>
      <c r="EV31" s="3">
        <v>784</v>
      </c>
      <c r="EW31" s="3">
        <v>952</v>
      </c>
      <c r="EX31" s="3">
        <v>1171</v>
      </c>
      <c r="EY31" s="3">
        <v>826</v>
      </c>
      <c r="EZ31" s="3">
        <v>1061</v>
      </c>
      <c r="FA31" s="3">
        <v>1256</v>
      </c>
      <c r="FB31" s="3">
        <v>373</v>
      </c>
      <c r="FC31" s="3">
        <v>470</v>
      </c>
      <c r="FD31" s="3">
        <v>772</v>
      </c>
      <c r="FE31" s="3">
        <v>1101</v>
      </c>
      <c r="FF31" s="3">
        <v>1179</v>
      </c>
      <c r="FG31" s="3">
        <v>1098</v>
      </c>
      <c r="FH31" s="3">
        <v>614</v>
      </c>
      <c r="FI31" s="3">
        <v>648</v>
      </c>
      <c r="FJ31" s="3">
        <v>1084</v>
      </c>
      <c r="FK31" s="3">
        <v>921</v>
      </c>
      <c r="FL31" s="3">
        <v>1225</v>
      </c>
      <c r="FM31" s="3">
        <v>1251</v>
      </c>
      <c r="FN31" s="3">
        <v>832</v>
      </c>
      <c r="FO31" s="3">
        <v>563</v>
      </c>
      <c r="FP31" s="3">
        <v>1522</v>
      </c>
      <c r="FQ31" s="3">
        <v>1337</v>
      </c>
      <c r="FR31" s="3">
        <v>1807</v>
      </c>
      <c r="FS31" s="3">
        <v>1559</v>
      </c>
      <c r="FT31" s="3">
        <v>1012</v>
      </c>
      <c r="FU31" s="3">
        <v>805</v>
      </c>
      <c r="FV31" s="3">
        <v>1331</v>
      </c>
      <c r="FW31" s="3">
        <v>1271</v>
      </c>
      <c r="FX31" s="3">
        <v>1620</v>
      </c>
      <c r="FY31" s="3">
        <v>1576</v>
      </c>
      <c r="FZ31" s="3">
        <v>561</v>
      </c>
      <c r="GA31" s="3">
        <v>679</v>
      </c>
      <c r="GB31" s="3">
        <v>1164</v>
      </c>
      <c r="GC31" s="3">
        <v>881</v>
      </c>
      <c r="GD31" s="3">
        <v>1342</v>
      </c>
      <c r="GE31" s="3">
        <v>1316</v>
      </c>
      <c r="GF31" s="3">
        <v>1587</v>
      </c>
      <c r="GG31" s="3">
        <v>1278</v>
      </c>
      <c r="GH31" s="3">
        <v>2105</v>
      </c>
      <c r="GI31" s="3">
        <v>1832</v>
      </c>
      <c r="GJ31" s="3">
        <v>2551</v>
      </c>
      <c r="GK31" s="3">
        <v>2178</v>
      </c>
      <c r="GL31" s="3">
        <v>1199</v>
      </c>
      <c r="GM31" s="3">
        <v>1267</v>
      </c>
      <c r="GN31" s="3">
        <v>2088</v>
      </c>
      <c r="GO31" s="3">
        <v>1985</v>
      </c>
      <c r="GP31" s="3">
        <v>2662</v>
      </c>
      <c r="GQ31" s="3">
        <v>2551</v>
      </c>
      <c r="GR31" s="3">
        <v>1961</v>
      </c>
      <c r="GS31" s="3">
        <v>1570</v>
      </c>
      <c r="GT31" s="3">
        <v>2259</v>
      </c>
      <c r="GU31" s="3">
        <v>2013</v>
      </c>
      <c r="GV31" s="3">
        <v>2929</v>
      </c>
      <c r="GW31" s="3">
        <v>2255</v>
      </c>
      <c r="GX31" s="3">
        <v>1752</v>
      </c>
      <c r="GY31" s="3">
        <v>1741</v>
      </c>
      <c r="GZ31" s="3">
        <v>3097</v>
      </c>
      <c r="HA31" s="3">
        <v>2895</v>
      </c>
      <c r="HB31" s="3">
        <v>3534</v>
      </c>
      <c r="HC31" s="3">
        <v>3864</v>
      </c>
      <c r="HD31" s="3">
        <v>2021</v>
      </c>
      <c r="HE31" s="3">
        <v>1754</v>
      </c>
      <c r="HF31" s="3">
        <v>3144</v>
      </c>
      <c r="HG31" s="3">
        <v>2845</v>
      </c>
      <c r="HH31" s="3">
        <v>3988</v>
      </c>
      <c r="HI31" s="3">
        <v>3428</v>
      </c>
      <c r="HJ31" s="3">
        <v>218</v>
      </c>
      <c r="HK31" s="3">
        <v>341</v>
      </c>
      <c r="HL31" s="3">
        <v>464</v>
      </c>
      <c r="HM31" s="3">
        <v>546</v>
      </c>
      <c r="HN31" s="3">
        <v>671</v>
      </c>
      <c r="HO31" s="3">
        <v>607</v>
      </c>
      <c r="HP31" s="3">
        <v>664</v>
      </c>
      <c r="HQ31" s="3">
        <v>740</v>
      </c>
      <c r="HR31" s="3">
        <v>1154</v>
      </c>
      <c r="HS31" s="3">
        <v>1027</v>
      </c>
      <c r="HT31" s="3">
        <v>1242</v>
      </c>
      <c r="HU31" s="3">
        <v>927</v>
      </c>
      <c r="HV31" s="3">
        <v>726</v>
      </c>
      <c r="HW31" s="3">
        <v>663</v>
      </c>
      <c r="HX31" s="3">
        <v>999</v>
      </c>
      <c r="HY31" s="3">
        <v>853</v>
      </c>
      <c r="HZ31" s="3">
        <v>694</v>
      </c>
      <c r="IA31" s="3">
        <v>1445</v>
      </c>
      <c r="IB31" s="3">
        <v>1183</v>
      </c>
      <c r="IC31" s="3">
        <v>948</v>
      </c>
      <c r="ID31" s="3">
        <v>1276</v>
      </c>
      <c r="IE31" s="3">
        <v>842</v>
      </c>
      <c r="IF31" s="3">
        <v>1392</v>
      </c>
      <c r="IG31" s="3">
        <v>1131</v>
      </c>
      <c r="IH31" s="3">
        <v>945</v>
      </c>
      <c r="II31" s="3">
        <v>886</v>
      </c>
      <c r="IJ31" s="3">
        <v>1279</v>
      </c>
      <c r="IK31" s="3">
        <v>1451</v>
      </c>
      <c r="IL31" s="3">
        <v>1787</v>
      </c>
      <c r="IM31" s="3">
        <v>1920</v>
      </c>
      <c r="IN31" s="3">
        <v>1159</v>
      </c>
      <c r="IO31" s="3">
        <v>932</v>
      </c>
      <c r="IP31" s="3">
        <v>1734</v>
      </c>
      <c r="IQ31" s="3">
        <v>1215</v>
      </c>
      <c r="IR31" s="3">
        <v>1740</v>
      </c>
      <c r="IS31" s="3">
        <v>1690</v>
      </c>
      <c r="IT31" s="3">
        <v>719</v>
      </c>
      <c r="IU31" s="3">
        <v>571</v>
      </c>
      <c r="IV31" s="3">
        <v>892</v>
      </c>
      <c r="IW31" s="3">
        <v>860</v>
      </c>
      <c r="IX31" s="3">
        <v>1256</v>
      </c>
      <c r="IY31" s="3">
        <v>1399</v>
      </c>
      <c r="IZ31" s="3">
        <v>1969</v>
      </c>
      <c r="JA31" s="3">
        <v>1200</v>
      </c>
      <c r="JB31" s="3">
        <v>1995</v>
      </c>
      <c r="JC31" s="3">
        <v>1756</v>
      </c>
      <c r="JD31" s="3">
        <v>2019</v>
      </c>
      <c r="JE31" s="3">
        <v>2029</v>
      </c>
      <c r="JF31" s="3">
        <v>1165</v>
      </c>
      <c r="JG31" s="3">
        <v>1181</v>
      </c>
      <c r="JH31" s="3">
        <v>2235</v>
      </c>
      <c r="JI31" s="3">
        <v>1875</v>
      </c>
      <c r="JJ31" s="3">
        <v>2630</v>
      </c>
      <c r="JK31" s="3">
        <v>2316</v>
      </c>
      <c r="JL31" s="3">
        <v>1849</v>
      </c>
      <c r="JM31" s="3">
        <v>1553</v>
      </c>
      <c r="JN31" s="3">
        <v>2516</v>
      </c>
      <c r="JO31" s="3">
        <v>2012</v>
      </c>
      <c r="JP31" s="3">
        <v>2769</v>
      </c>
      <c r="JQ31" s="3">
        <v>2353</v>
      </c>
      <c r="JR31" s="3">
        <v>1560</v>
      </c>
      <c r="JS31" s="3">
        <v>1599</v>
      </c>
      <c r="JT31" s="3">
        <v>2954</v>
      </c>
      <c r="JU31" s="3">
        <v>3157</v>
      </c>
      <c r="JV31" s="3">
        <v>3931</v>
      </c>
      <c r="JW31" s="3">
        <v>3420</v>
      </c>
      <c r="JX31" s="3">
        <v>1773</v>
      </c>
      <c r="JY31" s="3">
        <v>1544</v>
      </c>
      <c r="JZ31" s="3">
        <v>3034</v>
      </c>
      <c r="KA31" s="3">
        <v>2794</v>
      </c>
      <c r="KB31" s="3">
        <v>3709</v>
      </c>
      <c r="KC31" s="3">
        <v>3271</v>
      </c>
      <c r="KD31" s="3">
        <v>289</v>
      </c>
      <c r="KE31" s="3">
        <v>368</v>
      </c>
      <c r="KF31" s="3">
        <v>485</v>
      </c>
      <c r="KG31" s="3">
        <v>455</v>
      </c>
      <c r="KH31" s="3">
        <v>676</v>
      </c>
      <c r="KI31" s="3">
        <v>614</v>
      </c>
      <c r="KJ31" s="3">
        <v>810</v>
      </c>
      <c r="KK31" s="3">
        <v>862</v>
      </c>
      <c r="KL31" s="3">
        <v>1211</v>
      </c>
      <c r="KM31" s="3">
        <v>1021</v>
      </c>
      <c r="KN31" s="3">
        <v>1112</v>
      </c>
      <c r="KO31" s="3">
        <v>1291</v>
      </c>
      <c r="KP31" s="3">
        <v>440</v>
      </c>
      <c r="KQ31" s="3">
        <v>522</v>
      </c>
      <c r="KR31" s="3">
        <v>786</v>
      </c>
      <c r="KS31" s="3">
        <v>908</v>
      </c>
      <c r="KT31" s="3">
        <v>1192</v>
      </c>
      <c r="KU31" s="3">
        <v>1225</v>
      </c>
      <c r="KV31" s="3">
        <v>1011</v>
      </c>
      <c r="KW31" s="3">
        <v>998</v>
      </c>
      <c r="KX31" s="3">
        <v>1253</v>
      </c>
      <c r="KY31" s="3">
        <v>1049</v>
      </c>
      <c r="KZ31" s="3">
        <v>1396</v>
      </c>
      <c r="LA31" s="3">
        <v>1000</v>
      </c>
      <c r="LB31" s="3">
        <v>850</v>
      </c>
      <c r="LC31" s="3">
        <v>967</v>
      </c>
      <c r="LD31" s="3">
        <v>1533</v>
      </c>
      <c r="LE31" s="3">
        <v>1198</v>
      </c>
      <c r="LF31" s="3">
        <v>1617</v>
      </c>
      <c r="LG31" s="3">
        <v>1499</v>
      </c>
      <c r="LH31" s="3">
        <v>1074</v>
      </c>
      <c r="LI31" s="3">
        <v>848</v>
      </c>
      <c r="LJ31" s="3">
        <v>1346</v>
      </c>
      <c r="LK31" s="3">
        <v>1281</v>
      </c>
      <c r="LL31" s="3">
        <v>1772</v>
      </c>
      <c r="LM31" s="3">
        <v>1765</v>
      </c>
      <c r="LN31" s="3">
        <v>579</v>
      </c>
      <c r="LO31" s="3">
        <v>711</v>
      </c>
      <c r="LP31" s="3">
        <v>1002</v>
      </c>
      <c r="LQ31" s="3">
        <v>979</v>
      </c>
      <c r="LR31" s="3">
        <v>1198</v>
      </c>
      <c r="LS31" s="3">
        <v>1109</v>
      </c>
      <c r="LT31" s="3">
        <v>1422</v>
      </c>
      <c r="LU31" s="3">
        <v>1156</v>
      </c>
      <c r="LV31" s="3">
        <v>2309</v>
      </c>
      <c r="LW31" s="3">
        <v>1946</v>
      </c>
      <c r="LX31" s="3">
        <v>2240</v>
      </c>
      <c r="LY31" s="3">
        <v>2080</v>
      </c>
      <c r="LZ31" s="3">
        <v>1147</v>
      </c>
      <c r="MA31" s="3">
        <v>1552</v>
      </c>
      <c r="MB31" s="3">
        <v>2098</v>
      </c>
      <c r="MC31" s="3">
        <v>2080</v>
      </c>
      <c r="MD31" s="3">
        <v>2176</v>
      </c>
      <c r="ME31" s="3">
        <v>2499</v>
      </c>
      <c r="MF31" s="3">
        <v>1929</v>
      </c>
      <c r="MG31" s="3">
        <v>1385</v>
      </c>
      <c r="MH31" s="3">
        <v>2324</v>
      </c>
      <c r="MI31" s="3">
        <v>2416</v>
      </c>
      <c r="MJ31" s="3">
        <v>2580</v>
      </c>
      <c r="MK31" s="3">
        <v>2628</v>
      </c>
      <c r="ML31" s="3">
        <v>1832</v>
      </c>
      <c r="MM31" s="3">
        <v>2002</v>
      </c>
      <c r="MN31" s="3">
        <v>3024</v>
      </c>
      <c r="MO31" s="3">
        <v>2773</v>
      </c>
      <c r="MP31" s="3">
        <v>3811</v>
      </c>
      <c r="MQ31" s="3">
        <v>4104</v>
      </c>
      <c r="MR31" s="3">
        <v>2067</v>
      </c>
      <c r="MS31" s="3">
        <v>1719</v>
      </c>
      <c r="MT31" s="3">
        <v>2841</v>
      </c>
      <c r="MU31" s="3">
        <v>2771</v>
      </c>
      <c r="MV31" s="3">
        <v>3910</v>
      </c>
      <c r="MW31" s="3">
        <v>3449</v>
      </c>
    </row>
    <row r="32" spans="1:361" x14ac:dyDescent="0.3">
      <c r="A32" s="3">
        <v>21</v>
      </c>
      <c r="B32" s="3">
        <v>440</v>
      </c>
      <c r="C32" s="3">
        <v>283</v>
      </c>
      <c r="D32" s="3">
        <v>473</v>
      </c>
      <c r="E32" s="3">
        <v>468</v>
      </c>
      <c r="F32" s="3">
        <v>591</v>
      </c>
      <c r="G32" s="3">
        <v>534</v>
      </c>
      <c r="H32" s="3">
        <v>1006</v>
      </c>
      <c r="I32" s="3">
        <v>973</v>
      </c>
      <c r="J32" s="3">
        <v>1067</v>
      </c>
      <c r="K32" s="3">
        <v>800</v>
      </c>
      <c r="L32" s="3">
        <v>1429</v>
      </c>
      <c r="M32" s="3">
        <v>900</v>
      </c>
      <c r="N32" s="3">
        <v>553</v>
      </c>
      <c r="O32" s="3">
        <v>487</v>
      </c>
      <c r="P32" s="3">
        <v>1043</v>
      </c>
      <c r="Q32" s="3">
        <v>1014</v>
      </c>
      <c r="R32" s="3">
        <v>1039</v>
      </c>
      <c r="S32" s="3">
        <v>909</v>
      </c>
      <c r="T32" s="3">
        <v>820</v>
      </c>
      <c r="U32" s="3">
        <v>904</v>
      </c>
      <c r="V32" s="3">
        <v>1035</v>
      </c>
      <c r="W32" s="3">
        <v>1121</v>
      </c>
      <c r="X32" s="3">
        <v>1294</v>
      </c>
      <c r="Y32" s="3">
        <v>1011</v>
      </c>
      <c r="Z32" s="3">
        <v>1056</v>
      </c>
      <c r="AA32" s="3">
        <v>913</v>
      </c>
      <c r="AB32" s="3">
        <v>1179</v>
      </c>
      <c r="AC32" s="3">
        <v>1343</v>
      </c>
      <c r="AD32" s="3">
        <v>1843</v>
      </c>
      <c r="AE32" s="3">
        <v>1841</v>
      </c>
      <c r="AF32" s="3">
        <v>1080</v>
      </c>
      <c r="AG32" s="3">
        <v>1123</v>
      </c>
      <c r="AH32" s="3">
        <v>1849</v>
      </c>
      <c r="AI32" s="3">
        <v>1143</v>
      </c>
      <c r="AJ32" s="3">
        <v>2017</v>
      </c>
      <c r="AK32" s="3">
        <v>1316</v>
      </c>
      <c r="AL32" s="3">
        <v>741</v>
      </c>
      <c r="AM32" s="3">
        <v>665</v>
      </c>
      <c r="AN32" s="3">
        <v>1112</v>
      </c>
      <c r="AO32" s="3">
        <v>839</v>
      </c>
      <c r="AP32" s="3">
        <v>1373</v>
      </c>
      <c r="AQ32" s="3">
        <v>1288</v>
      </c>
      <c r="AR32" s="3">
        <v>2007</v>
      </c>
      <c r="AS32" s="3">
        <v>1538</v>
      </c>
      <c r="AT32" s="3">
        <v>2226</v>
      </c>
      <c r="AU32" s="3">
        <v>1704</v>
      </c>
      <c r="AV32" s="3">
        <v>2356</v>
      </c>
      <c r="AW32" s="3">
        <v>2211</v>
      </c>
      <c r="AX32" s="3">
        <v>1153</v>
      </c>
      <c r="AY32" s="3">
        <v>1472</v>
      </c>
      <c r="AZ32" s="3">
        <v>1752</v>
      </c>
      <c r="BA32" s="3">
        <v>1997</v>
      </c>
      <c r="BB32" s="3">
        <v>2709</v>
      </c>
      <c r="BC32" s="3">
        <v>2236</v>
      </c>
      <c r="BD32" s="3">
        <v>1743</v>
      </c>
      <c r="BE32" s="3">
        <v>1459</v>
      </c>
      <c r="BF32" s="3">
        <v>2516</v>
      </c>
      <c r="BG32" s="3">
        <v>2038</v>
      </c>
      <c r="BH32" s="3">
        <v>2575</v>
      </c>
      <c r="BI32" s="3">
        <v>2512</v>
      </c>
      <c r="BJ32" s="3">
        <v>1571</v>
      </c>
      <c r="BK32" s="3">
        <v>1987</v>
      </c>
      <c r="BL32" s="3">
        <v>2853</v>
      </c>
      <c r="BM32" s="3">
        <v>2298</v>
      </c>
      <c r="BN32" s="3">
        <v>3864</v>
      </c>
      <c r="BO32" s="3">
        <v>3451</v>
      </c>
      <c r="BP32" s="3">
        <v>2056</v>
      </c>
      <c r="BQ32" s="3">
        <v>1388</v>
      </c>
      <c r="BR32" s="3">
        <v>2717</v>
      </c>
      <c r="BS32" s="3">
        <v>2673</v>
      </c>
      <c r="BT32" s="3">
        <v>3433</v>
      </c>
      <c r="BU32" s="3">
        <v>3062</v>
      </c>
      <c r="BV32" s="3">
        <v>381</v>
      </c>
      <c r="BW32" s="3">
        <v>261</v>
      </c>
      <c r="BX32" s="3">
        <v>413</v>
      </c>
      <c r="BY32" s="3">
        <v>434</v>
      </c>
      <c r="BZ32" s="3">
        <v>597</v>
      </c>
      <c r="CA32" s="3">
        <v>573</v>
      </c>
      <c r="CB32" s="3">
        <v>553</v>
      </c>
      <c r="CC32" s="3">
        <v>682</v>
      </c>
      <c r="CD32" s="3">
        <v>1122</v>
      </c>
      <c r="CE32" s="3">
        <v>1098</v>
      </c>
      <c r="CF32" s="3">
        <v>915</v>
      </c>
      <c r="CG32" s="3">
        <v>1027</v>
      </c>
      <c r="CH32" s="3">
        <v>656</v>
      </c>
      <c r="CI32" s="3">
        <v>576</v>
      </c>
      <c r="CJ32" s="3">
        <v>1137</v>
      </c>
      <c r="CK32" s="3">
        <v>971</v>
      </c>
      <c r="CL32" s="3">
        <v>1120</v>
      </c>
      <c r="CM32" s="3">
        <v>900</v>
      </c>
      <c r="CN32" s="3">
        <v>750</v>
      </c>
      <c r="CO32" s="3">
        <v>785</v>
      </c>
      <c r="CP32" s="3">
        <v>1108</v>
      </c>
      <c r="CQ32" s="3">
        <v>1098</v>
      </c>
      <c r="CR32" s="3">
        <v>1430</v>
      </c>
      <c r="CS32" s="3">
        <v>1154</v>
      </c>
      <c r="CT32" s="3">
        <v>1032</v>
      </c>
      <c r="CU32" s="3">
        <v>838</v>
      </c>
      <c r="CV32" s="3">
        <v>1262</v>
      </c>
      <c r="CW32" s="3">
        <v>1125</v>
      </c>
      <c r="CX32" s="3">
        <v>1323</v>
      </c>
      <c r="CY32" s="3">
        <v>1511</v>
      </c>
      <c r="CZ32" s="3">
        <v>1175</v>
      </c>
      <c r="DA32" s="3">
        <v>865</v>
      </c>
      <c r="DB32" s="3">
        <v>1642</v>
      </c>
      <c r="DC32" s="3">
        <v>1299</v>
      </c>
      <c r="DD32" s="3">
        <v>1754</v>
      </c>
      <c r="DE32" s="3">
        <v>1431</v>
      </c>
      <c r="DF32" s="3">
        <v>700</v>
      </c>
      <c r="DG32" s="3">
        <v>643</v>
      </c>
      <c r="DH32" s="3">
        <v>1000</v>
      </c>
      <c r="DI32" s="3">
        <v>1087</v>
      </c>
      <c r="DJ32" s="3">
        <v>1277</v>
      </c>
      <c r="DK32" s="3">
        <v>1295</v>
      </c>
      <c r="DL32" s="3">
        <v>2037</v>
      </c>
      <c r="DM32" s="3">
        <v>1480</v>
      </c>
      <c r="DN32" s="3">
        <v>1939</v>
      </c>
      <c r="DO32" s="3">
        <v>1766</v>
      </c>
      <c r="DP32" s="3">
        <v>2670</v>
      </c>
      <c r="DQ32" s="3">
        <v>2006</v>
      </c>
      <c r="DR32" s="3">
        <v>1214</v>
      </c>
      <c r="DS32" s="3">
        <v>1150</v>
      </c>
      <c r="DT32" s="3">
        <v>1831</v>
      </c>
      <c r="DU32" s="3">
        <v>2064</v>
      </c>
      <c r="DV32" s="3">
        <v>2250</v>
      </c>
      <c r="DW32" s="3">
        <v>2458</v>
      </c>
      <c r="DX32" s="3">
        <v>1797</v>
      </c>
      <c r="DY32" s="3">
        <v>1635</v>
      </c>
      <c r="DZ32" s="3">
        <v>2281</v>
      </c>
      <c r="EA32" s="3">
        <v>1871</v>
      </c>
      <c r="EB32" s="3">
        <v>2789</v>
      </c>
      <c r="EC32" s="3">
        <v>2488</v>
      </c>
      <c r="ED32" s="3">
        <v>1484</v>
      </c>
      <c r="EE32" s="3">
        <v>1625</v>
      </c>
      <c r="EF32" s="3">
        <v>3005</v>
      </c>
      <c r="EG32" s="3">
        <v>2759</v>
      </c>
      <c r="EH32" s="3">
        <v>3846</v>
      </c>
      <c r="EI32" s="3">
        <v>3737</v>
      </c>
      <c r="EJ32" s="3">
        <v>2231</v>
      </c>
      <c r="EK32" s="3">
        <v>1528</v>
      </c>
      <c r="EL32" s="3">
        <v>3390</v>
      </c>
      <c r="EM32" s="3">
        <v>2613</v>
      </c>
      <c r="EN32" s="3">
        <v>3838</v>
      </c>
      <c r="EO32" s="3">
        <v>3273</v>
      </c>
      <c r="EP32" s="3">
        <v>441</v>
      </c>
      <c r="EQ32" s="3">
        <v>304</v>
      </c>
      <c r="ER32" s="3">
        <v>585</v>
      </c>
      <c r="ES32" s="3">
        <v>471</v>
      </c>
      <c r="ET32" s="3">
        <v>640</v>
      </c>
      <c r="EU32" s="3">
        <v>700</v>
      </c>
      <c r="EV32" s="3">
        <v>784</v>
      </c>
      <c r="EW32" s="3">
        <v>952</v>
      </c>
      <c r="EX32" s="3">
        <v>1171</v>
      </c>
      <c r="EY32" s="3">
        <v>826</v>
      </c>
      <c r="EZ32" s="3">
        <v>1061</v>
      </c>
      <c r="FA32" s="3">
        <v>1256</v>
      </c>
      <c r="FB32" s="3">
        <v>373</v>
      </c>
      <c r="FC32" s="3">
        <v>470</v>
      </c>
      <c r="FD32" s="3">
        <v>771</v>
      </c>
      <c r="FE32" s="3">
        <v>1101</v>
      </c>
      <c r="FF32" s="3">
        <v>1180</v>
      </c>
      <c r="FG32" s="3">
        <v>1094</v>
      </c>
      <c r="FH32" s="3">
        <v>614</v>
      </c>
      <c r="FI32" s="3">
        <v>648</v>
      </c>
      <c r="FJ32" s="3">
        <v>1084</v>
      </c>
      <c r="FK32" s="3">
        <v>921</v>
      </c>
      <c r="FL32" s="3">
        <v>1220</v>
      </c>
      <c r="FM32" s="3">
        <v>1257</v>
      </c>
      <c r="FN32" s="3">
        <v>832</v>
      </c>
      <c r="FO32" s="3">
        <v>563</v>
      </c>
      <c r="FP32" s="3">
        <v>1522</v>
      </c>
      <c r="FQ32" s="3">
        <v>1337</v>
      </c>
      <c r="FR32" s="3">
        <v>1812</v>
      </c>
      <c r="FS32" s="3">
        <v>1559</v>
      </c>
      <c r="FT32" s="3">
        <v>1013</v>
      </c>
      <c r="FU32" s="3">
        <v>805</v>
      </c>
      <c r="FV32" s="3">
        <v>1331</v>
      </c>
      <c r="FW32" s="3">
        <v>1270</v>
      </c>
      <c r="FX32" s="3">
        <v>1621</v>
      </c>
      <c r="FY32" s="3">
        <v>1578</v>
      </c>
      <c r="FZ32" s="3">
        <v>561</v>
      </c>
      <c r="GA32" s="3">
        <v>679</v>
      </c>
      <c r="GB32" s="3">
        <v>1163</v>
      </c>
      <c r="GC32" s="3">
        <v>881</v>
      </c>
      <c r="GD32" s="3">
        <v>1342</v>
      </c>
      <c r="GE32" s="3">
        <v>1316</v>
      </c>
      <c r="GF32" s="3">
        <v>1587</v>
      </c>
      <c r="GG32" s="3">
        <v>1278</v>
      </c>
      <c r="GH32" s="3">
        <v>2105</v>
      </c>
      <c r="GI32" s="3">
        <v>1832</v>
      </c>
      <c r="GJ32" s="3">
        <v>2551</v>
      </c>
      <c r="GK32" s="3">
        <v>2178</v>
      </c>
      <c r="GL32" s="3">
        <v>1201</v>
      </c>
      <c r="GM32" s="3">
        <v>1271</v>
      </c>
      <c r="GN32" s="3">
        <v>2085</v>
      </c>
      <c r="GO32" s="3">
        <v>1976</v>
      </c>
      <c r="GP32" s="3">
        <v>2662</v>
      </c>
      <c r="GQ32" s="3">
        <v>2551</v>
      </c>
      <c r="GR32" s="3">
        <v>1961</v>
      </c>
      <c r="GS32" s="3">
        <v>1570</v>
      </c>
      <c r="GT32" s="3">
        <v>2259</v>
      </c>
      <c r="GU32" s="3">
        <v>2013</v>
      </c>
      <c r="GV32" s="3">
        <v>2929</v>
      </c>
      <c r="GW32" s="3">
        <v>2269</v>
      </c>
      <c r="GX32" s="3">
        <v>1754</v>
      </c>
      <c r="GY32" s="3">
        <v>1741</v>
      </c>
      <c r="GZ32" s="3">
        <v>3097</v>
      </c>
      <c r="HA32" s="3">
        <v>2882</v>
      </c>
      <c r="HB32" s="3">
        <v>3549</v>
      </c>
      <c r="HC32" s="3">
        <v>3864</v>
      </c>
      <c r="HD32" s="3">
        <v>2021</v>
      </c>
      <c r="HE32" s="3">
        <v>1752</v>
      </c>
      <c r="HF32" s="3">
        <v>3144</v>
      </c>
      <c r="HG32" s="3">
        <v>2850</v>
      </c>
      <c r="HH32" s="3">
        <v>3979</v>
      </c>
      <c r="HI32" s="3">
        <v>3438</v>
      </c>
      <c r="HJ32" s="3">
        <v>218</v>
      </c>
      <c r="HK32" s="3">
        <v>341</v>
      </c>
      <c r="HL32" s="3">
        <v>464</v>
      </c>
      <c r="HM32" s="3">
        <v>543</v>
      </c>
      <c r="HN32" s="3">
        <v>671</v>
      </c>
      <c r="HO32" s="3">
        <v>607</v>
      </c>
      <c r="HP32" s="3">
        <v>664</v>
      </c>
      <c r="HQ32" s="3">
        <v>740</v>
      </c>
      <c r="HR32" s="3">
        <v>1154</v>
      </c>
      <c r="HS32" s="3">
        <v>1027</v>
      </c>
      <c r="HT32" s="3">
        <v>1242</v>
      </c>
      <c r="HU32" s="3">
        <v>927</v>
      </c>
      <c r="HV32" s="3">
        <v>726</v>
      </c>
      <c r="HW32" s="3">
        <v>663</v>
      </c>
      <c r="HX32" s="3">
        <v>999</v>
      </c>
      <c r="HY32" s="3">
        <v>853</v>
      </c>
      <c r="HZ32" s="3">
        <v>693</v>
      </c>
      <c r="IA32" s="3">
        <v>1445</v>
      </c>
      <c r="IB32" s="3">
        <v>1183</v>
      </c>
      <c r="IC32" s="3">
        <v>948</v>
      </c>
      <c r="ID32" s="3">
        <v>1276</v>
      </c>
      <c r="IE32" s="3">
        <v>846</v>
      </c>
      <c r="IF32" s="3">
        <v>1393</v>
      </c>
      <c r="IG32" s="3">
        <v>1123</v>
      </c>
      <c r="IH32" s="3">
        <v>945</v>
      </c>
      <c r="II32" s="3">
        <v>886</v>
      </c>
      <c r="IJ32" s="3">
        <v>1280</v>
      </c>
      <c r="IK32" s="3">
        <v>1438</v>
      </c>
      <c r="IL32" s="3">
        <v>1787</v>
      </c>
      <c r="IM32" s="3">
        <v>1920</v>
      </c>
      <c r="IN32" s="3">
        <v>1159</v>
      </c>
      <c r="IO32" s="3">
        <v>932</v>
      </c>
      <c r="IP32" s="3">
        <v>1732</v>
      </c>
      <c r="IQ32" s="3">
        <v>1199</v>
      </c>
      <c r="IR32" s="3">
        <v>1743</v>
      </c>
      <c r="IS32" s="3">
        <v>1691</v>
      </c>
      <c r="IT32" s="3">
        <v>719</v>
      </c>
      <c r="IU32" s="3">
        <v>571</v>
      </c>
      <c r="IV32" s="3">
        <v>893</v>
      </c>
      <c r="IW32" s="3">
        <v>860</v>
      </c>
      <c r="IX32" s="3">
        <v>1255</v>
      </c>
      <c r="IY32" s="3">
        <v>1399</v>
      </c>
      <c r="IZ32" s="3">
        <v>1969</v>
      </c>
      <c r="JA32" s="3">
        <v>1200</v>
      </c>
      <c r="JB32" s="3">
        <v>1995</v>
      </c>
      <c r="JC32" s="3">
        <v>1756</v>
      </c>
      <c r="JD32" s="3">
        <v>2019</v>
      </c>
      <c r="JE32" s="3">
        <v>2029</v>
      </c>
      <c r="JF32" s="3">
        <v>1164</v>
      </c>
      <c r="JG32" s="3">
        <v>1181</v>
      </c>
      <c r="JH32" s="3">
        <v>2235</v>
      </c>
      <c r="JI32" s="3">
        <v>1875</v>
      </c>
      <c r="JJ32" s="3">
        <v>2630</v>
      </c>
      <c r="JK32" s="3">
        <v>2303</v>
      </c>
      <c r="JL32" s="3">
        <v>1849</v>
      </c>
      <c r="JM32" s="3">
        <v>1553</v>
      </c>
      <c r="JN32" s="3">
        <v>2521</v>
      </c>
      <c r="JO32" s="3">
        <v>1988</v>
      </c>
      <c r="JP32" s="3">
        <v>2766</v>
      </c>
      <c r="JQ32" s="3">
        <v>2349</v>
      </c>
      <c r="JR32" s="3">
        <v>1560</v>
      </c>
      <c r="JS32" s="3">
        <v>1594</v>
      </c>
      <c r="JT32" s="3">
        <v>2947</v>
      </c>
      <c r="JU32" s="3">
        <v>3157</v>
      </c>
      <c r="JV32" s="3">
        <v>3941</v>
      </c>
      <c r="JW32" s="3">
        <v>3420</v>
      </c>
      <c r="JX32" s="3">
        <v>1771</v>
      </c>
      <c r="JY32" s="3">
        <v>1571</v>
      </c>
      <c r="JZ32" s="3">
        <v>3030</v>
      </c>
      <c r="KA32" s="3">
        <v>2797</v>
      </c>
      <c r="KB32" s="3">
        <v>3696</v>
      </c>
      <c r="KC32" s="3">
        <v>3280</v>
      </c>
      <c r="KD32" s="3">
        <v>289</v>
      </c>
      <c r="KE32" s="3">
        <v>368</v>
      </c>
      <c r="KF32" s="3">
        <v>485</v>
      </c>
      <c r="KG32" s="3">
        <v>464</v>
      </c>
      <c r="KH32" s="3">
        <v>677</v>
      </c>
      <c r="KI32" s="3">
        <v>613</v>
      </c>
      <c r="KJ32" s="3">
        <v>810</v>
      </c>
      <c r="KK32" s="3">
        <v>862</v>
      </c>
      <c r="KL32" s="3">
        <v>1211</v>
      </c>
      <c r="KM32" s="3">
        <v>1021</v>
      </c>
      <c r="KN32" s="3">
        <v>1112</v>
      </c>
      <c r="KO32" s="3">
        <v>1291</v>
      </c>
      <c r="KP32" s="3">
        <v>440</v>
      </c>
      <c r="KQ32" s="3">
        <v>522</v>
      </c>
      <c r="KR32" s="3">
        <v>786</v>
      </c>
      <c r="KS32" s="3">
        <v>908</v>
      </c>
      <c r="KT32" s="3">
        <v>1192</v>
      </c>
      <c r="KU32" s="3">
        <v>1225</v>
      </c>
      <c r="KV32" s="3">
        <v>1011</v>
      </c>
      <c r="KW32" s="3">
        <v>998</v>
      </c>
      <c r="KX32" s="3">
        <v>1253</v>
      </c>
      <c r="KY32" s="3">
        <v>1049</v>
      </c>
      <c r="KZ32" s="3">
        <v>1398</v>
      </c>
      <c r="LA32" s="3">
        <v>1014</v>
      </c>
      <c r="LB32" s="3">
        <v>850</v>
      </c>
      <c r="LC32" s="3">
        <v>967</v>
      </c>
      <c r="LD32" s="3">
        <v>1534</v>
      </c>
      <c r="LE32" s="3">
        <v>1197</v>
      </c>
      <c r="LF32" s="3">
        <v>1617</v>
      </c>
      <c r="LG32" s="3">
        <v>1499</v>
      </c>
      <c r="LH32" s="3">
        <v>1074</v>
      </c>
      <c r="LI32" s="3">
        <v>848</v>
      </c>
      <c r="LJ32" s="3">
        <v>1342</v>
      </c>
      <c r="LK32" s="3">
        <v>1281</v>
      </c>
      <c r="LL32" s="3">
        <v>1774</v>
      </c>
      <c r="LM32" s="3">
        <v>1753</v>
      </c>
      <c r="LN32" s="3">
        <v>579</v>
      </c>
      <c r="LO32" s="3">
        <v>711</v>
      </c>
      <c r="LP32" s="3">
        <v>1001</v>
      </c>
      <c r="LQ32" s="3">
        <v>977</v>
      </c>
      <c r="LR32" s="3">
        <v>1198</v>
      </c>
      <c r="LS32" s="3">
        <v>1119</v>
      </c>
      <c r="LT32" s="3">
        <v>1422</v>
      </c>
      <c r="LU32" s="3">
        <v>1156</v>
      </c>
      <c r="LV32" s="3">
        <v>2309</v>
      </c>
      <c r="LW32" s="3">
        <v>1946</v>
      </c>
      <c r="LX32" s="3">
        <v>2240</v>
      </c>
      <c r="LY32" s="3">
        <v>2080</v>
      </c>
      <c r="LZ32" s="3">
        <v>1146</v>
      </c>
      <c r="MA32" s="3">
        <v>1552</v>
      </c>
      <c r="MB32" s="3">
        <v>2097</v>
      </c>
      <c r="MC32" s="3">
        <v>2080</v>
      </c>
      <c r="MD32" s="3">
        <v>2166</v>
      </c>
      <c r="ME32" s="3">
        <v>2499</v>
      </c>
      <c r="MF32" s="3">
        <v>1929</v>
      </c>
      <c r="MG32" s="3">
        <v>1385</v>
      </c>
      <c r="MH32" s="3">
        <v>2318</v>
      </c>
      <c r="MI32" s="3">
        <v>2416</v>
      </c>
      <c r="MJ32" s="3">
        <v>2575</v>
      </c>
      <c r="MK32" s="3">
        <v>2651</v>
      </c>
      <c r="ML32" s="3">
        <v>1837</v>
      </c>
      <c r="MM32" s="3">
        <v>2002</v>
      </c>
      <c r="MN32" s="3">
        <v>3023</v>
      </c>
      <c r="MO32" s="3">
        <v>2758</v>
      </c>
      <c r="MP32" s="3">
        <v>3811</v>
      </c>
      <c r="MQ32" s="3">
        <v>4104</v>
      </c>
      <c r="MR32" s="3">
        <v>2070</v>
      </c>
      <c r="MS32" s="3">
        <v>1719</v>
      </c>
      <c r="MT32" s="3">
        <v>2852</v>
      </c>
      <c r="MU32" s="3">
        <v>2748</v>
      </c>
      <c r="MV32" s="3">
        <v>3908</v>
      </c>
      <c r="MW32" s="3">
        <v>3442</v>
      </c>
    </row>
    <row r="33" spans="1:361" x14ac:dyDescent="0.3">
      <c r="A33" s="3">
        <v>22</v>
      </c>
      <c r="B33" s="3">
        <v>440</v>
      </c>
      <c r="C33" s="3">
        <v>283</v>
      </c>
      <c r="D33" s="3">
        <v>473</v>
      </c>
      <c r="E33" s="3">
        <v>464</v>
      </c>
      <c r="F33" s="3">
        <v>591</v>
      </c>
      <c r="G33" s="3">
        <v>534</v>
      </c>
      <c r="H33" s="3">
        <v>1006</v>
      </c>
      <c r="I33" s="3">
        <v>973</v>
      </c>
      <c r="J33" s="3">
        <v>1067</v>
      </c>
      <c r="K33" s="3">
        <v>800</v>
      </c>
      <c r="L33" s="3">
        <v>1429</v>
      </c>
      <c r="M33" s="3">
        <v>900</v>
      </c>
      <c r="N33" s="3">
        <v>553</v>
      </c>
      <c r="O33" s="3">
        <v>487</v>
      </c>
      <c r="P33" s="3">
        <v>1043</v>
      </c>
      <c r="Q33" s="3">
        <v>1014</v>
      </c>
      <c r="R33" s="3">
        <v>1039</v>
      </c>
      <c r="S33" s="3">
        <v>910</v>
      </c>
      <c r="T33" s="3">
        <v>820</v>
      </c>
      <c r="U33" s="3">
        <v>904</v>
      </c>
      <c r="V33" s="3">
        <v>1035</v>
      </c>
      <c r="W33" s="3">
        <v>1110</v>
      </c>
      <c r="X33" s="3">
        <v>1303</v>
      </c>
      <c r="Y33" s="3">
        <v>1005</v>
      </c>
      <c r="Z33" s="3">
        <v>1056</v>
      </c>
      <c r="AA33" s="3">
        <v>913</v>
      </c>
      <c r="AB33" s="3">
        <v>1179</v>
      </c>
      <c r="AC33" s="3">
        <v>1346</v>
      </c>
      <c r="AD33" s="3">
        <v>1844</v>
      </c>
      <c r="AE33" s="3">
        <v>1841</v>
      </c>
      <c r="AF33" s="3">
        <v>1080</v>
      </c>
      <c r="AG33" s="3">
        <v>1123</v>
      </c>
      <c r="AH33" s="3">
        <v>1850</v>
      </c>
      <c r="AI33" s="3">
        <v>1145</v>
      </c>
      <c r="AJ33" s="3">
        <v>2017</v>
      </c>
      <c r="AK33" s="3">
        <v>1306</v>
      </c>
      <c r="AL33" s="3">
        <v>741</v>
      </c>
      <c r="AM33" s="3">
        <v>665</v>
      </c>
      <c r="AN33" s="3">
        <v>1106</v>
      </c>
      <c r="AO33" s="3">
        <v>839</v>
      </c>
      <c r="AP33" s="3">
        <v>1374</v>
      </c>
      <c r="AQ33" s="3">
        <v>1288</v>
      </c>
      <c r="AR33" s="3">
        <v>2007</v>
      </c>
      <c r="AS33" s="3">
        <v>1538</v>
      </c>
      <c r="AT33" s="3">
        <v>2226</v>
      </c>
      <c r="AU33" s="3">
        <v>1704</v>
      </c>
      <c r="AV33" s="3">
        <v>2356</v>
      </c>
      <c r="AW33" s="3">
        <v>2211</v>
      </c>
      <c r="AX33" s="3">
        <v>1153</v>
      </c>
      <c r="AY33" s="3">
        <v>1465</v>
      </c>
      <c r="AZ33" s="3">
        <v>1752</v>
      </c>
      <c r="BA33" s="3">
        <v>1997</v>
      </c>
      <c r="BB33" s="3">
        <v>2709</v>
      </c>
      <c r="BC33" s="3">
        <v>2238</v>
      </c>
      <c r="BD33" s="3">
        <v>1743</v>
      </c>
      <c r="BE33" s="3">
        <v>1459</v>
      </c>
      <c r="BF33" s="3">
        <v>2516</v>
      </c>
      <c r="BG33" s="3">
        <v>2039</v>
      </c>
      <c r="BH33" s="3">
        <v>2587</v>
      </c>
      <c r="BI33" s="3">
        <v>2503</v>
      </c>
      <c r="BJ33" s="3">
        <v>1574</v>
      </c>
      <c r="BK33" s="3">
        <v>2002</v>
      </c>
      <c r="BL33" s="3">
        <v>2853</v>
      </c>
      <c r="BM33" s="3">
        <v>2283</v>
      </c>
      <c r="BN33" s="3">
        <v>3862</v>
      </c>
      <c r="BO33" s="3">
        <v>3458</v>
      </c>
      <c r="BP33" s="3">
        <v>2058</v>
      </c>
      <c r="BQ33" s="3">
        <v>1388</v>
      </c>
      <c r="BR33" s="3">
        <v>2715</v>
      </c>
      <c r="BS33" s="3">
        <v>2694</v>
      </c>
      <c r="BT33" s="3">
        <v>3436</v>
      </c>
      <c r="BU33" s="3">
        <v>3046</v>
      </c>
      <c r="BV33" s="3">
        <v>381</v>
      </c>
      <c r="BW33" s="3">
        <v>261</v>
      </c>
      <c r="BX33" s="3">
        <v>413</v>
      </c>
      <c r="BY33" s="3">
        <v>434</v>
      </c>
      <c r="BZ33" s="3">
        <v>597</v>
      </c>
      <c r="CA33" s="3">
        <v>573</v>
      </c>
      <c r="CB33" s="3">
        <v>553</v>
      </c>
      <c r="CC33" s="3">
        <v>682</v>
      </c>
      <c r="CD33" s="3">
        <v>1122</v>
      </c>
      <c r="CE33" s="3">
        <v>1098</v>
      </c>
      <c r="CF33" s="3">
        <v>915</v>
      </c>
      <c r="CG33" s="3">
        <v>1027</v>
      </c>
      <c r="CH33" s="3">
        <v>656</v>
      </c>
      <c r="CI33" s="3">
        <v>576</v>
      </c>
      <c r="CJ33" s="3">
        <v>1137</v>
      </c>
      <c r="CK33" s="3">
        <v>973</v>
      </c>
      <c r="CL33" s="3">
        <v>1120</v>
      </c>
      <c r="CM33" s="3">
        <v>900</v>
      </c>
      <c r="CN33" s="3">
        <v>750</v>
      </c>
      <c r="CO33" s="3">
        <v>785</v>
      </c>
      <c r="CP33" s="3">
        <v>1108</v>
      </c>
      <c r="CQ33" s="3">
        <v>1098</v>
      </c>
      <c r="CR33" s="3">
        <v>1425</v>
      </c>
      <c r="CS33" s="3">
        <v>1135</v>
      </c>
      <c r="CT33" s="3">
        <v>1032</v>
      </c>
      <c r="CU33" s="3">
        <v>838</v>
      </c>
      <c r="CV33" s="3">
        <v>1262</v>
      </c>
      <c r="CW33" s="3">
        <v>1125</v>
      </c>
      <c r="CX33" s="3">
        <v>1323</v>
      </c>
      <c r="CY33" s="3">
        <v>1511</v>
      </c>
      <c r="CZ33" s="3">
        <v>1175</v>
      </c>
      <c r="DA33" s="3">
        <v>865</v>
      </c>
      <c r="DB33" s="3">
        <v>1638</v>
      </c>
      <c r="DC33" s="3">
        <v>1335</v>
      </c>
      <c r="DD33" s="3">
        <v>1754</v>
      </c>
      <c r="DE33" s="3">
        <v>1423</v>
      </c>
      <c r="DF33" s="3">
        <v>700</v>
      </c>
      <c r="DG33" s="3">
        <v>643</v>
      </c>
      <c r="DH33" s="3">
        <v>1000</v>
      </c>
      <c r="DI33" s="3">
        <v>1101</v>
      </c>
      <c r="DJ33" s="3">
        <v>1277</v>
      </c>
      <c r="DK33" s="3">
        <v>1291</v>
      </c>
      <c r="DL33" s="3">
        <v>2037</v>
      </c>
      <c r="DM33" s="3">
        <v>1480</v>
      </c>
      <c r="DN33" s="3">
        <v>1939</v>
      </c>
      <c r="DO33" s="3">
        <v>1766</v>
      </c>
      <c r="DP33" s="3">
        <v>2670</v>
      </c>
      <c r="DQ33" s="3">
        <v>2006</v>
      </c>
      <c r="DR33" s="3">
        <v>1214</v>
      </c>
      <c r="DS33" s="3">
        <v>1150</v>
      </c>
      <c r="DT33" s="3">
        <v>1830</v>
      </c>
      <c r="DU33" s="3">
        <v>2065</v>
      </c>
      <c r="DV33" s="3">
        <v>2250</v>
      </c>
      <c r="DW33" s="3">
        <v>2458</v>
      </c>
      <c r="DX33" s="3">
        <v>1797</v>
      </c>
      <c r="DY33" s="3">
        <v>1635</v>
      </c>
      <c r="DZ33" s="3">
        <v>2280</v>
      </c>
      <c r="EA33" s="3">
        <v>1839</v>
      </c>
      <c r="EB33" s="3">
        <v>2787</v>
      </c>
      <c r="EC33" s="3">
        <v>2447</v>
      </c>
      <c r="ED33" s="3">
        <v>1485</v>
      </c>
      <c r="EE33" s="3">
        <v>1625</v>
      </c>
      <c r="EF33" s="3">
        <v>3000</v>
      </c>
      <c r="EG33" s="3">
        <v>2766</v>
      </c>
      <c r="EH33" s="3">
        <v>3844</v>
      </c>
      <c r="EI33" s="3">
        <v>3736</v>
      </c>
      <c r="EJ33" s="3">
        <v>2235</v>
      </c>
      <c r="EK33" s="3">
        <v>1532</v>
      </c>
      <c r="EL33" s="3">
        <v>3394</v>
      </c>
      <c r="EM33" s="3">
        <v>2597</v>
      </c>
      <c r="EN33" s="3">
        <v>3835</v>
      </c>
      <c r="EO33" s="3">
        <v>3269</v>
      </c>
      <c r="EP33" s="3">
        <v>441</v>
      </c>
      <c r="EQ33" s="3">
        <v>304</v>
      </c>
      <c r="ER33" s="3">
        <v>585</v>
      </c>
      <c r="ES33" s="3">
        <v>471</v>
      </c>
      <c r="ET33" s="3">
        <v>640</v>
      </c>
      <c r="EU33" s="3">
        <v>700</v>
      </c>
      <c r="EV33" s="3">
        <v>784</v>
      </c>
      <c r="EW33" s="3">
        <v>952</v>
      </c>
      <c r="EX33" s="3">
        <v>1171</v>
      </c>
      <c r="EY33" s="3">
        <v>826</v>
      </c>
      <c r="EZ33" s="3">
        <v>1061</v>
      </c>
      <c r="FA33" s="3">
        <v>1256</v>
      </c>
      <c r="FB33" s="3">
        <v>373</v>
      </c>
      <c r="FC33" s="3">
        <v>470</v>
      </c>
      <c r="FD33" s="3">
        <v>773</v>
      </c>
      <c r="FE33" s="3">
        <v>1101</v>
      </c>
      <c r="FF33" s="3">
        <v>1180</v>
      </c>
      <c r="FG33" s="3">
        <v>1100</v>
      </c>
      <c r="FH33" s="3">
        <v>614</v>
      </c>
      <c r="FI33" s="3">
        <v>648</v>
      </c>
      <c r="FJ33" s="3">
        <v>1084</v>
      </c>
      <c r="FK33" s="3">
        <v>921</v>
      </c>
      <c r="FL33" s="3">
        <v>1221</v>
      </c>
      <c r="FM33" s="3">
        <v>1254</v>
      </c>
      <c r="FN33" s="3">
        <v>832</v>
      </c>
      <c r="FO33" s="3">
        <v>563</v>
      </c>
      <c r="FP33" s="3">
        <v>1522</v>
      </c>
      <c r="FQ33" s="3">
        <v>1332</v>
      </c>
      <c r="FR33" s="3">
        <v>1813</v>
      </c>
      <c r="FS33" s="3">
        <v>1559</v>
      </c>
      <c r="FT33" s="3">
        <v>1012</v>
      </c>
      <c r="FU33" s="3">
        <v>805</v>
      </c>
      <c r="FV33" s="3">
        <v>1334</v>
      </c>
      <c r="FW33" s="3">
        <v>1272</v>
      </c>
      <c r="FX33" s="3">
        <v>1618</v>
      </c>
      <c r="FY33" s="3">
        <v>1567</v>
      </c>
      <c r="FZ33" s="3">
        <v>561</v>
      </c>
      <c r="GA33" s="3">
        <v>679</v>
      </c>
      <c r="GB33" s="3">
        <v>1163</v>
      </c>
      <c r="GC33" s="3">
        <v>877</v>
      </c>
      <c r="GD33" s="3">
        <v>1342</v>
      </c>
      <c r="GE33" s="3">
        <v>1316</v>
      </c>
      <c r="GF33" s="3">
        <v>1587</v>
      </c>
      <c r="GG33" s="3">
        <v>1278</v>
      </c>
      <c r="GH33" s="3">
        <v>2105</v>
      </c>
      <c r="GI33" s="3">
        <v>1832</v>
      </c>
      <c r="GJ33" s="3">
        <v>2551</v>
      </c>
      <c r="GK33" s="3">
        <v>2178</v>
      </c>
      <c r="GL33" s="3">
        <v>1200</v>
      </c>
      <c r="GM33" s="3">
        <v>1269</v>
      </c>
      <c r="GN33" s="3">
        <v>2099</v>
      </c>
      <c r="GO33" s="3">
        <v>1978</v>
      </c>
      <c r="GP33" s="3">
        <v>2662</v>
      </c>
      <c r="GQ33" s="3">
        <v>2551</v>
      </c>
      <c r="GR33" s="3">
        <v>1961</v>
      </c>
      <c r="GS33" s="3">
        <v>1570</v>
      </c>
      <c r="GT33" s="3">
        <v>2255</v>
      </c>
      <c r="GU33" s="3">
        <v>2013</v>
      </c>
      <c r="GV33" s="3">
        <v>2912</v>
      </c>
      <c r="GW33" s="3">
        <v>2288</v>
      </c>
      <c r="GX33" s="3">
        <v>1755</v>
      </c>
      <c r="GY33" s="3">
        <v>1741</v>
      </c>
      <c r="GZ33" s="3">
        <v>3097</v>
      </c>
      <c r="HA33" s="3">
        <v>2889</v>
      </c>
      <c r="HB33" s="3">
        <v>3551</v>
      </c>
      <c r="HC33" s="3">
        <v>3864</v>
      </c>
      <c r="HD33" s="3">
        <v>2023</v>
      </c>
      <c r="HE33" s="3">
        <v>1753</v>
      </c>
      <c r="HF33" s="3">
        <v>3150</v>
      </c>
      <c r="HG33" s="3">
        <v>2828</v>
      </c>
      <c r="HH33" s="3">
        <v>3983</v>
      </c>
      <c r="HI33" s="3">
        <v>3409</v>
      </c>
      <c r="HJ33" s="3">
        <v>218</v>
      </c>
      <c r="HK33" s="3">
        <v>341</v>
      </c>
      <c r="HL33" s="3">
        <v>464</v>
      </c>
      <c r="HM33" s="3">
        <v>543</v>
      </c>
      <c r="HN33" s="3">
        <v>671</v>
      </c>
      <c r="HO33" s="3">
        <v>607</v>
      </c>
      <c r="HP33" s="3">
        <v>664</v>
      </c>
      <c r="HQ33" s="3">
        <v>740</v>
      </c>
      <c r="HR33" s="3">
        <v>1154</v>
      </c>
      <c r="HS33" s="3">
        <v>1027</v>
      </c>
      <c r="HT33" s="3">
        <v>1242</v>
      </c>
      <c r="HU33" s="3">
        <v>927</v>
      </c>
      <c r="HV33" s="3">
        <v>726</v>
      </c>
      <c r="HW33" s="3">
        <v>663</v>
      </c>
      <c r="HX33" s="3">
        <v>999</v>
      </c>
      <c r="HY33" s="3">
        <v>853</v>
      </c>
      <c r="HZ33" s="3">
        <v>692</v>
      </c>
      <c r="IA33" s="3">
        <v>1445</v>
      </c>
      <c r="IB33" s="3">
        <v>1183</v>
      </c>
      <c r="IC33" s="3">
        <v>948</v>
      </c>
      <c r="ID33" s="3">
        <v>1276</v>
      </c>
      <c r="IE33" s="3">
        <v>846</v>
      </c>
      <c r="IF33" s="3">
        <v>1389</v>
      </c>
      <c r="IG33" s="3">
        <v>1131</v>
      </c>
      <c r="IH33" s="3">
        <v>945</v>
      </c>
      <c r="II33" s="3">
        <v>888</v>
      </c>
      <c r="IJ33" s="3">
        <v>1280</v>
      </c>
      <c r="IK33" s="3">
        <v>1435</v>
      </c>
      <c r="IL33" s="3">
        <v>1787</v>
      </c>
      <c r="IM33" s="3">
        <v>1920</v>
      </c>
      <c r="IN33" s="3">
        <v>1159</v>
      </c>
      <c r="IO33" s="3">
        <v>932</v>
      </c>
      <c r="IP33" s="3">
        <v>1731</v>
      </c>
      <c r="IQ33" s="3">
        <v>1230</v>
      </c>
      <c r="IR33" s="3">
        <v>1742</v>
      </c>
      <c r="IS33" s="3">
        <v>1691</v>
      </c>
      <c r="IT33" s="3">
        <v>719</v>
      </c>
      <c r="IU33" s="3">
        <v>571</v>
      </c>
      <c r="IV33" s="3">
        <v>895</v>
      </c>
      <c r="IW33" s="3">
        <v>860</v>
      </c>
      <c r="IX33" s="3">
        <v>1255</v>
      </c>
      <c r="IY33" s="3">
        <v>1399</v>
      </c>
      <c r="IZ33" s="3">
        <v>1969</v>
      </c>
      <c r="JA33" s="3">
        <v>1200</v>
      </c>
      <c r="JB33" s="3">
        <v>1995</v>
      </c>
      <c r="JC33" s="3">
        <v>1756</v>
      </c>
      <c r="JD33" s="3">
        <v>2019</v>
      </c>
      <c r="JE33" s="3">
        <v>2029</v>
      </c>
      <c r="JF33" s="3">
        <v>1164</v>
      </c>
      <c r="JG33" s="3">
        <v>1181</v>
      </c>
      <c r="JH33" s="3">
        <v>2235</v>
      </c>
      <c r="JI33" s="3">
        <v>1875</v>
      </c>
      <c r="JJ33" s="3">
        <v>2630</v>
      </c>
      <c r="JK33" s="3">
        <v>2311</v>
      </c>
      <c r="JL33" s="3">
        <v>1849</v>
      </c>
      <c r="JM33" s="3">
        <v>1553</v>
      </c>
      <c r="JN33" s="3">
        <v>2517</v>
      </c>
      <c r="JO33" s="3">
        <v>1984</v>
      </c>
      <c r="JP33" s="3">
        <v>2769</v>
      </c>
      <c r="JQ33" s="3">
        <v>2350</v>
      </c>
      <c r="JR33" s="3">
        <v>1560</v>
      </c>
      <c r="JS33" s="3">
        <v>1592</v>
      </c>
      <c r="JT33" s="3">
        <v>2953</v>
      </c>
      <c r="JU33" s="3">
        <v>3157</v>
      </c>
      <c r="JV33" s="3">
        <v>3934</v>
      </c>
      <c r="JW33" s="3">
        <v>3420</v>
      </c>
      <c r="JX33" s="3">
        <v>1769</v>
      </c>
      <c r="JY33" s="3">
        <v>1559</v>
      </c>
      <c r="JZ33" s="3">
        <v>3040</v>
      </c>
      <c r="KA33" s="3">
        <v>2790</v>
      </c>
      <c r="KB33" s="3">
        <v>3703</v>
      </c>
      <c r="KC33" s="3">
        <v>3290</v>
      </c>
      <c r="KD33" s="3">
        <v>289</v>
      </c>
      <c r="KE33" s="3">
        <v>368</v>
      </c>
      <c r="KF33" s="3">
        <v>485</v>
      </c>
      <c r="KG33" s="3">
        <v>458</v>
      </c>
      <c r="KH33" s="3">
        <v>676</v>
      </c>
      <c r="KI33" s="3">
        <v>622</v>
      </c>
      <c r="KJ33" s="3">
        <v>810</v>
      </c>
      <c r="KK33" s="3">
        <v>862</v>
      </c>
      <c r="KL33" s="3">
        <v>1211</v>
      </c>
      <c r="KM33" s="3">
        <v>1021</v>
      </c>
      <c r="KN33" s="3">
        <v>1112</v>
      </c>
      <c r="KO33" s="3">
        <v>1291</v>
      </c>
      <c r="KP33" s="3">
        <v>440</v>
      </c>
      <c r="KQ33" s="3">
        <v>522</v>
      </c>
      <c r="KR33" s="3">
        <v>786</v>
      </c>
      <c r="KS33" s="3">
        <v>908</v>
      </c>
      <c r="KT33" s="3">
        <v>1192</v>
      </c>
      <c r="KU33" s="3">
        <v>1225</v>
      </c>
      <c r="KV33" s="3">
        <v>1011</v>
      </c>
      <c r="KW33" s="3">
        <v>998</v>
      </c>
      <c r="KX33" s="3">
        <v>1253</v>
      </c>
      <c r="KY33" s="3">
        <v>1049</v>
      </c>
      <c r="KZ33" s="3">
        <v>1396</v>
      </c>
      <c r="LA33" s="3">
        <v>1004</v>
      </c>
      <c r="LB33" s="3">
        <v>850</v>
      </c>
      <c r="LC33" s="3">
        <v>967</v>
      </c>
      <c r="LD33" s="3">
        <v>1535</v>
      </c>
      <c r="LE33" s="3">
        <v>1198</v>
      </c>
      <c r="LF33" s="3">
        <v>1617</v>
      </c>
      <c r="LG33" s="3">
        <v>1499</v>
      </c>
      <c r="LH33" s="3">
        <v>1074</v>
      </c>
      <c r="LI33" s="3">
        <v>848</v>
      </c>
      <c r="LJ33" s="3">
        <v>1343</v>
      </c>
      <c r="LK33" s="3">
        <v>1285</v>
      </c>
      <c r="LL33" s="3">
        <v>1776</v>
      </c>
      <c r="LM33" s="3">
        <v>1757</v>
      </c>
      <c r="LN33" s="3">
        <v>579</v>
      </c>
      <c r="LO33" s="3">
        <v>711</v>
      </c>
      <c r="LP33" s="3">
        <v>999</v>
      </c>
      <c r="LQ33" s="3">
        <v>977</v>
      </c>
      <c r="LR33" s="3">
        <v>1198</v>
      </c>
      <c r="LS33" s="3">
        <v>1115</v>
      </c>
      <c r="LT33" s="3">
        <v>1422</v>
      </c>
      <c r="LU33" s="3">
        <v>1156</v>
      </c>
      <c r="LV33" s="3">
        <v>2309</v>
      </c>
      <c r="LW33" s="3">
        <v>1946</v>
      </c>
      <c r="LX33" s="3">
        <v>2240</v>
      </c>
      <c r="LY33" s="3">
        <v>2080</v>
      </c>
      <c r="LZ33" s="3">
        <v>1146</v>
      </c>
      <c r="MA33" s="3">
        <v>1552</v>
      </c>
      <c r="MB33" s="3">
        <v>2097</v>
      </c>
      <c r="MC33" s="3">
        <v>2080</v>
      </c>
      <c r="MD33" s="3">
        <v>2169</v>
      </c>
      <c r="ME33" s="3">
        <v>2499</v>
      </c>
      <c r="MF33" s="3">
        <v>1929</v>
      </c>
      <c r="MG33" s="3">
        <v>1385</v>
      </c>
      <c r="MH33" s="3">
        <v>2320</v>
      </c>
      <c r="MI33" s="3">
        <v>2416</v>
      </c>
      <c r="MJ33" s="3">
        <v>2569</v>
      </c>
      <c r="MK33" s="3">
        <v>2648</v>
      </c>
      <c r="ML33" s="3">
        <v>1834</v>
      </c>
      <c r="MM33" s="3">
        <v>2002</v>
      </c>
      <c r="MN33" s="3">
        <v>3025</v>
      </c>
      <c r="MO33" s="3">
        <v>2752</v>
      </c>
      <c r="MP33" s="3">
        <v>3811</v>
      </c>
      <c r="MQ33" s="3">
        <v>4104</v>
      </c>
      <c r="MR33" s="3">
        <v>2070</v>
      </c>
      <c r="MS33" s="3">
        <v>1719</v>
      </c>
      <c r="MT33" s="3">
        <v>2851</v>
      </c>
      <c r="MU33" s="3">
        <v>2741</v>
      </c>
      <c r="MV33" s="3">
        <v>3917</v>
      </c>
      <c r="MW33" s="3">
        <v>3425</v>
      </c>
    </row>
    <row r="34" spans="1:361" x14ac:dyDescent="0.3">
      <c r="A34" s="3">
        <v>23</v>
      </c>
      <c r="B34" s="3">
        <v>440</v>
      </c>
      <c r="C34" s="3">
        <v>283</v>
      </c>
      <c r="D34" s="3">
        <v>473</v>
      </c>
      <c r="E34" s="3">
        <v>468</v>
      </c>
      <c r="F34" s="3">
        <v>591</v>
      </c>
      <c r="G34" s="3">
        <v>534</v>
      </c>
      <c r="H34" s="3">
        <v>1006</v>
      </c>
      <c r="I34" s="3">
        <v>973</v>
      </c>
      <c r="J34" s="3">
        <v>1067</v>
      </c>
      <c r="K34" s="3">
        <v>800</v>
      </c>
      <c r="L34" s="3">
        <v>1429</v>
      </c>
      <c r="M34" s="3">
        <v>900</v>
      </c>
      <c r="N34" s="3">
        <v>553</v>
      </c>
      <c r="O34" s="3">
        <v>487</v>
      </c>
      <c r="P34" s="3">
        <v>1041</v>
      </c>
      <c r="Q34" s="3">
        <v>1014</v>
      </c>
      <c r="R34" s="3">
        <v>1038</v>
      </c>
      <c r="S34" s="3">
        <v>902</v>
      </c>
      <c r="T34" s="3">
        <v>820</v>
      </c>
      <c r="U34" s="3">
        <v>904</v>
      </c>
      <c r="V34" s="3">
        <v>1035</v>
      </c>
      <c r="W34" s="3">
        <v>1121</v>
      </c>
      <c r="X34" s="3">
        <v>1299</v>
      </c>
      <c r="Y34" s="3">
        <v>996</v>
      </c>
      <c r="Z34" s="3">
        <v>1056</v>
      </c>
      <c r="AA34" s="3">
        <v>913</v>
      </c>
      <c r="AB34" s="3">
        <v>1180</v>
      </c>
      <c r="AC34" s="3">
        <v>1348</v>
      </c>
      <c r="AD34" s="3">
        <v>1840</v>
      </c>
      <c r="AE34" s="3">
        <v>1841</v>
      </c>
      <c r="AF34" s="3">
        <v>1080</v>
      </c>
      <c r="AG34" s="3">
        <v>1123</v>
      </c>
      <c r="AH34" s="3">
        <v>1849</v>
      </c>
      <c r="AI34" s="3">
        <v>1124</v>
      </c>
      <c r="AJ34" s="3">
        <v>2017</v>
      </c>
      <c r="AK34" s="3">
        <v>1318</v>
      </c>
      <c r="AL34" s="3">
        <v>741</v>
      </c>
      <c r="AM34" s="3">
        <v>665</v>
      </c>
      <c r="AN34" s="3">
        <v>1112</v>
      </c>
      <c r="AO34" s="3">
        <v>839</v>
      </c>
      <c r="AP34" s="3">
        <v>1375</v>
      </c>
      <c r="AQ34" s="3">
        <v>1288</v>
      </c>
      <c r="AR34" s="3">
        <v>2007</v>
      </c>
      <c r="AS34" s="3">
        <v>1538</v>
      </c>
      <c r="AT34" s="3">
        <v>2226</v>
      </c>
      <c r="AU34" s="3">
        <v>1704</v>
      </c>
      <c r="AV34" s="3">
        <v>2356</v>
      </c>
      <c r="AW34" s="3">
        <v>2211</v>
      </c>
      <c r="AX34" s="3">
        <v>1153</v>
      </c>
      <c r="AY34" s="3">
        <v>1470</v>
      </c>
      <c r="AZ34" s="3">
        <v>1751</v>
      </c>
      <c r="BA34" s="3">
        <v>1997</v>
      </c>
      <c r="BB34" s="3">
        <v>2705</v>
      </c>
      <c r="BC34" s="3">
        <v>2243</v>
      </c>
      <c r="BD34" s="3">
        <v>1743</v>
      </c>
      <c r="BE34" s="3">
        <v>1459</v>
      </c>
      <c r="BF34" s="3">
        <v>2516</v>
      </c>
      <c r="BG34" s="3">
        <v>2038</v>
      </c>
      <c r="BH34" s="3">
        <v>2588</v>
      </c>
      <c r="BI34" s="3">
        <v>2496</v>
      </c>
      <c r="BJ34" s="3">
        <v>1572</v>
      </c>
      <c r="BK34" s="3">
        <v>1996</v>
      </c>
      <c r="BL34" s="3">
        <v>2853</v>
      </c>
      <c r="BM34" s="3">
        <v>2291</v>
      </c>
      <c r="BN34" s="3">
        <v>3857</v>
      </c>
      <c r="BO34" s="3">
        <v>3452</v>
      </c>
      <c r="BP34" s="3">
        <v>2055</v>
      </c>
      <c r="BQ34" s="3">
        <v>1388</v>
      </c>
      <c r="BR34" s="3">
        <v>2719</v>
      </c>
      <c r="BS34" s="3">
        <v>2671</v>
      </c>
      <c r="BT34" s="3">
        <v>3436</v>
      </c>
      <c r="BU34" s="3">
        <v>3036</v>
      </c>
      <c r="BV34" s="3">
        <v>381</v>
      </c>
      <c r="BW34" s="3">
        <v>261</v>
      </c>
      <c r="BX34" s="3">
        <v>413</v>
      </c>
      <c r="BY34" s="3">
        <v>434</v>
      </c>
      <c r="BZ34" s="3">
        <v>596</v>
      </c>
      <c r="CA34" s="3">
        <v>573</v>
      </c>
      <c r="CB34" s="3">
        <v>553</v>
      </c>
      <c r="CC34" s="3">
        <v>682</v>
      </c>
      <c r="CD34" s="3">
        <v>1122</v>
      </c>
      <c r="CE34" s="3">
        <v>1098</v>
      </c>
      <c r="CF34" s="3">
        <v>915</v>
      </c>
      <c r="CG34" s="3">
        <v>1027</v>
      </c>
      <c r="CH34" s="3">
        <v>656</v>
      </c>
      <c r="CI34" s="3">
        <v>576</v>
      </c>
      <c r="CJ34" s="3">
        <v>1137</v>
      </c>
      <c r="CK34" s="3">
        <v>981</v>
      </c>
      <c r="CL34" s="3">
        <v>1120</v>
      </c>
      <c r="CM34" s="3">
        <v>900</v>
      </c>
      <c r="CN34" s="3">
        <v>750</v>
      </c>
      <c r="CO34" s="3">
        <v>785</v>
      </c>
      <c r="CP34" s="3">
        <v>1110</v>
      </c>
      <c r="CQ34" s="3">
        <v>1098</v>
      </c>
      <c r="CR34" s="3">
        <v>1428</v>
      </c>
      <c r="CS34" s="3">
        <v>1136</v>
      </c>
      <c r="CT34" s="3">
        <v>1032</v>
      </c>
      <c r="CU34" s="3">
        <v>838</v>
      </c>
      <c r="CV34" s="3">
        <v>1262</v>
      </c>
      <c r="CW34" s="3">
        <v>1125</v>
      </c>
      <c r="CX34" s="3">
        <v>1323</v>
      </c>
      <c r="CY34" s="3">
        <v>1511</v>
      </c>
      <c r="CZ34" s="3">
        <v>1175</v>
      </c>
      <c r="DA34" s="3">
        <v>865</v>
      </c>
      <c r="DB34" s="3">
        <v>1638</v>
      </c>
      <c r="DC34" s="3">
        <v>1324</v>
      </c>
      <c r="DD34" s="3">
        <v>1751</v>
      </c>
      <c r="DE34" s="3">
        <v>1426</v>
      </c>
      <c r="DF34" s="3">
        <v>700</v>
      </c>
      <c r="DG34" s="3">
        <v>646</v>
      </c>
      <c r="DH34" s="3">
        <v>1000</v>
      </c>
      <c r="DI34" s="3">
        <v>1090</v>
      </c>
      <c r="DJ34" s="3">
        <v>1277</v>
      </c>
      <c r="DK34" s="3">
        <v>1284</v>
      </c>
      <c r="DL34" s="3">
        <v>2037</v>
      </c>
      <c r="DM34" s="3">
        <v>1480</v>
      </c>
      <c r="DN34" s="3">
        <v>1939</v>
      </c>
      <c r="DO34" s="3">
        <v>1766</v>
      </c>
      <c r="DP34" s="3">
        <v>2670</v>
      </c>
      <c r="DQ34" s="3">
        <v>2006</v>
      </c>
      <c r="DR34" s="3">
        <v>1214</v>
      </c>
      <c r="DS34" s="3">
        <v>1150</v>
      </c>
      <c r="DT34" s="3">
        <v>1833</v>
      </c>
      <c r="DU34" s="3">
        <v>2072</v>
      </c>
      <c r="DV34" s="3">
        <v>2250</v>
      </c>
      <c r="DW34" s="3">
        <v>2458</v>
      </c>
      <c r="DX34" s="3">
        <v>1797</v>
      </c>
      <c r="DY34" s="3">
        <v>1635</v>
      </c>
      <c r="DZ34" s="3">
        <v>2284</v>
      </c>
      <c r="EA34" s="3">
        <v>1836</v>
      </c>
      <c r="EB34" s="3">
        <v>2777</v>
      </c>
      <c r="EC34" s="3">
        <v>2483</v>
      </c>
      <c r="ED34" s="3">
        <v>1487</v>
      </c>
      <c r="EE34" s="3">
        <v>1625</v>
      </c>
      <c r="EF34" s="3">
        <v>2983</v>
      </c>
      <c r="EG34" s="3">
        <v>2747</v>
      </c>
      <c r="EH34" s="3">
        <v>3844</v>
      </c>
      <c r="EI34" s="3">
        <v>3749</v>
      </c>
      <c r="EJ34" s="3">
        <v>2226</v>
      </c>
      <c r="EK34" s="3">
        <v>1540</v>
      </c>
      <c r="EL34" s="3">
        <v>3388</v>
      </c>
      <c r="EM34" s="3">
        <v>2603</v>
      </c>
      <c r="EN34" s="3">
        <v>3833</v>
      </c>
      <c r="EO34" s="3">
        <v>3268</v>
      </c>
      <c r="EP34" s="3">
        <v>441</v>
      </c>
      <c r="EQ34" s="3">
        <v>304</v>
      </c>
      <c r="ER34" s="3">
        <v>585</v>
      </c>
      <c r="ES34" s="3">
        <v>471</v>
      </c>
      <c r="ET34" s="3">
        <v>640</v>
      </c>
      <c r="EU34" s="3">
        <v>694</v>
      </c>
      <c r="EV34" s="3">
        <v>784</v>
      </c>
      <c r="EW34" s="3">
        <v>952</v>
      </c>
      <c r="EX34" s="3">
        <v>1171</v>
      </c>
      <c r="EY34" s="3">
        <v>826</v>
      </c>
      <c r="EZ34" s="3">
        <v>1061</v>
      </c>
      <c r="FA34" s="3">
        <v>1256</v>
      </c>
      <c r="FB34" s="3">
        <v>373</v>
      </c>
      <c r="FC34" s="3">
        <v>470</v>
      </c>
      <c r="FD34" s="3">
        <v>771</v>
      </c>
      <c r="FE34" s="3">
        <v>1101</v>
      </c>
      <c r="FF34" s="3">
        <v>1180</v>
      </c>
      <c r="FG34" s="3">
        <v>1098</v>
      </c>
      <c r="FH34" s="3">
        <v>614</v>
      </c>
      <c r="FI34" s="3">
        <v>648</v>
      </c>
      <c r="FJ34" s="3">
        <v>1084</v>
      </c>
      <c r="FK34" s="3">
        <v>921</v>
      </c>
      <c r="FL34" s="3">
        <v>1224</v>
      </c>
      <c r="FM34" s="3">
        <v>1252</v>
      </c>
      <c r="FN34" s="3">
        <v>832</v>
      </c>
      <c r="FO34" s="3">
        <v>563</v>
      </c>
      <c r="FP34" s="3">
        <v>1522</v>
      </c>
      <c r="FQ34" s="3">
        <v>1332</v>
      </c>
      <c r="FR34" s="3">
        <v>1811</v>
      </c>
      <c r="FS34" s="3">
        <v>1559</v>
      </c>
      <c r="FT34" s="3">
        <v>1013</v>
      </c>
      <c r="FU34" s="3">
        <v>805</v>
      </c>
      <c r="FV34" s="3">
        <v>1326</v>
      </c>
      <c r="FW34" s="3">
        <v>1271</v>
      </c>
      <c r="FX34" s="3">
        <v>1620</v>
      </c>
      <c r="FY34" s="3">
        <v>1582</v>
      </c>
      <c r="FZ34" s="3">
        <v>561</v>
      </c>
      <c r="GA34" s="3">
        <v>679</v>
      </c>
      <c r="GB34" s="3">
        <v>1163</v>
      </c>
      <c r="GC34" s="3">
        <v>876</v>
      </c>
      <c r="GD34" s="3">
        <v>1342</v>
      </c>
      <c r="GE34" s="3">
        <v>1316</v>
      </c>
      <c r="GF34" s="3">
        <v>1587</v>
      </c>
      <c r="GG34" s="3">
        <v>1278</v>
      </c>
      <c r="GH34" s="3">
        <v>2105</v>
      </c>
      <c r="GI34" s="3">
        <v>1832</v>
      </c>
      <c r="GJ34" s="3">
        <v>2551</v>
      </c>
      <c r="GK34" s="3">
        <v>2178</v>
      </c>
      <c r="GL34" s="3">
        <v>1201</v>
      </c>
      <c r="GM34" s="3">
        <v>1267</v>
      </c>
      <c r="GN34" s="3">
        <v>2092</v>
      </c>
      <c r="GO34" s="3">
        <v>1974</v>
      </c>
      <c r="GP34" s="3">
        <v>2662</v>
      </c>
      <c r="GQ34" s="3">
        <v>2551</v>
      </c>
      <c r="GR34" s="3">
        <v>1961</v>
      </c>
      <c r="GS34" s="3">
        <v>1570</v>
      </c>
      <c r="GT34" s="3">
        <v>2247</v>
      </c>
      <c r="GU34" s="3">
        <v>2013</v>
      </c>
      <c r="GV34" s="3">
        <v>2929</v>
      </c>
      <c r="GW34" s="3">
        <v>2293</v>
      </c>
      <c r="GX34" s="3">
        <v>1752</v>
      </c>
      <c r="GY34" s="3">
        <v>1741</v>
      </c>
      <c r="GZ34" s="3">
        <v>3097</v>
      </c>
      <c r="HA34" s="3">
        <v>2893</v>
      </c>
      <c r="HB34" s="3">
        <v>3544</v>
      </c>
      <c r="HC34" s="3">
        <v>3864</v>
      </c>
      <c r="HD34" s="3">
        <v>2020</v>
      </c>
      <c r="HE34" s="3">
        <v>1741</v>
      </c>
      <c r="HF34" s="3">
        <v>3146</v>
      </c>
      <c r="HG34" s="3">
        <v>2860</v>
      </c>
      <c r="HH34" s="3">
        <v>3985</v>
      </c>
      <c r="HI34" s="3">
        <v>3425</v>
      </c>
      <c r="HJ34" s="3">
        <v>218</v>
      </c>
      <c r="HK34" s="3">
        <v>341</v>
      </c>
      <c r="HL34" s="3">
        <v>464</v>
      </c>
      <c r="HM34" s="3">
        <v>549</v>
      </c>
      <c r="HN34" s="3">
        <v>671</v>
      </c>
      <c r="HO34" s="3">
        <v>607</v>
      </c>
      <c r="HP34" s="3">
        <v>664</v>
      </c>
      <c r="HQ34" s="3">
        <v>740</v>
      </c>
      <c r="HR34" s="3">
        <v>1154</v>
      </c>
      <c r="HS34" s="3">
        <v>1027</v>
      </c>
      <c r="HT34" s="3">
        <v>1242</v>
      </c>
      <c r="HU34" s="3">
        <v>927</v>
      </c>
      <c r="HV34" s="3">
        <v>726</v>
      </c>
      <c r="HW34" s="3">
        <v>663</v>
      </c>
      <c r="HX34" s="3">
        <v>999</v>
      </c>
      <c r="HY34" s="3">
        <v>853</v>
      </c>
      <c r="HZ34" s="3">
        <v>692</v>
      </c>
      <c r="IA34" s="3">
        <v>1445</v>
      </c>
      <c r="IB34" s="3">
        <v>1183</v>
      </c>
      <c r="IC34" s="3">
        <v>948</v>
      </c>
      <c r="ID34" s="3">
        <v>1276</v>
      </c>
      <c r="IE34" s="3">
        <v>849</v>
      </c>
      <c r="IF34" s="3">
        <v>1389</v>
      </c>
      <c r="IG34" s="3">
        <v>1138</v>
      </c>
      <c r="IH34" s="3">
        <v>945</v>
      </c>
      <c r="II34" s="3">
        <v>886</v>
      </c>
      <c r="IJ34" s="3">
        <v>1275</v>
      </c>
      <c r="IK34" s="3">
        <v>1444</v>
      </c>
      <c r="IL34" s="3">
        <v>1787</v>
      </c>
      <c r="IM34" s="3">
        <v>1920</v>
      </c>
      <c r="IN34" s="3">
        <v>1159</v>
      </c>
      <c r="IO34" s="3">
        <v>932</v>
      </c>
      <c r="IP34" s="3">
        <v>1733</v>
      </c>
      <c r="IQ34" s="3">
        <v>1226</v>
      </c>
      <c r="IR34" s="3">
        <v>1744</v>
      </c>
      <c r="IS34" s="3">
        <v>1688</v>
      </c>
      <c r="IT34" s="3">
        <v>719</v>
      </c>
      <c r="IU34" s="3">
        <v>571</v>
      </c>
      <c r="IV34" s="3">
        <v>893</v>
      </c>
      <c r="IW34" s="3">
        <v>860</v>
      </c>
      <c r="IX34" s="3">
        <v>1258</v>
      </c>
      <c r="IY34" s="3">
        <v>1399</v>
      </c>
      <c r="IZ34" s="3">
        <v>1969</v>
      </c>
      <c r="JA34" s="3">
        <v>1200</v>
      </c>
      <c r="JB34" s="3">
        <v>1995</v>
      </c>
      <c r="JC34" s="3">
        <v>1756</v>
      </c>
      <c r="JD34" s="3">
        <v>2020</v>
      </c>
      <c r="JE34" s="3">
        <v>2029</v>
      </c>
      <c r="JF34" s="3">
        <v>1166</v>
      </c>
      <c r="JG34" s="3">
        <v>1181</v>
      </c>
      <c r="JH34" s="3">
        <v>2235</v>
      </c>
      <c r="JI34" s="3">
        <v>1875</v>
      </c>
      <c r="JJ34" s="3">
        <v>2630</v>
      </c>
      <c r="JK34" s="3">
        <v>2307</v>
      </c>
      <c r="JL34" s="3">
        <v>1849</v>
      </c>
      <c r="JM34" s="3">
        <v>1553</v>
      </c>
      <c r="JN34" s="3">
        <v>2520</v>
      </c>
      <c r="JO34" s="3">
        <v>1996</v>
      </c>
      <c r="JP34" s="3">
        <v>2772</v>
      </c>
      <c r="JQ34" s="3">
        <v>2339</v>
      </c>
      <c r="JR34" s="3">
        <v>1560</v>
      </c>
      <c r="JS34" s="3">
        <v>1600</v>
      </c>
      <c r="JT34" s="3">
        <v>2951</v>
      </c>
      <c r="JU34" s="3">
        <v>3157</v>
      </c>
      <c r="JV34" s="3">
        <v>3939</v>
      </c>
      <c r="JW34" s="3">
        <v>3420</v>
      </c>
      <c r="JX34" s="3">
        <v>1769</v>
      </c>
      <c r="JY34" s="3">
        <v>1547</v>
      </c>
      <c r="JZ34" s="3">
        <v>3041</v>
      </c>
      <c r="KA34" s="3">
        <v>2787</v>
      </c>
      <c r="KB34" s="3">
        <v>3703</v>
      </c>
      <c r="KC34" s="3">
        <v>3296</v>
      </c>
      <c r="KD34" s="3">
        <v>289</v>
      </c>
      <c r="KE34" s="3">
        <v>368</v>
      </c>
      <c r="KF34" s="3">
        <v>485</v>
      </c>
      <c r="KG34" s="3">
        <v>452</v>
      </c>
      <c r="KH34" s="3">
        <v>676</v>
      </c>
      <c r="KI34" s="3">
        <v>627</v>
      </c>
      <c r="KJ34" s="3">
        <v>810</v>
      </c>
      <c r="KK34" s="3">
        <v>862</v>
      </c>
      <c r="KL34" s="3">
        <v>1211</v>
      </c>
      <c r="KM34" s="3">
        <v>1021</v>
      </c>
      <c r="KN34" s="3">
        <v>1112</v>
      </c>
      <c r="KO34" s="3">
        <v>1291</v>
      </c>
      <c r="KP34" s="3">
        <v>440</v>
      </c>
      <c r="KQ34" s="3">
        <v>522</v>
      </c>
      <c r="KR34" s="3">
        <v>786</v>
      </c>
      <c r="KS34" s="3">
        <v>908</v>
      </c>
      <c r="KT34" s="3">
        <v>1192</v>
      </c>
      <c r="KU34" s="3">
        <v>1225</v>
      </c>
      <c r="KV34" s="3">
        <v>1011</v>
      </c>
      <c r="KW34" s="3">
        <v>998</v>
      </c>
      <c r="KX34" s="3">
        <v>1253</v>
      </c>
      <c r="KY34" s="3">
        <v>1049</v>
      </c>
      <c r="KZ34" s="3">
        <v>1397</v>
      </c>
      <c r="LA34" s="3">
        <v>1011</v>
      </c>
      <c r="LB34" s="3">
        <v>850</v>
      </c>
      <c r="LC34" s="3">
        <v>967</v>
      </c>
      <c r="LD34" s="3">
        <v>1535</v>
      </c>
      <c r="LE34" s="3">
        <v>1202</v>
      </c>
      <c r="LF34" s="3">
        <v>1617</v>
      </c>
      <c r="LG34" s="3">
        <v>1499</v>
      </c>
      <c r="LH34" s="3">
        <v>1074</v>
      </c>
      <c r="LI34" s="3">
        <v>848</v>
      </c>
      <c r="LJ34" s="3">
        <v>1341</v>
      </c>
      <c r="LK34" s="3">
        <v>1281</v>
      </c>
      <c r="LL34" s="3">
        <v>1775</v>
      </c>
      <c r="LM34" s="3">
        <v>1758</v>
      </c>
      <c r="LN34" s="3">
        <v>579</v>
      </c>
      <c r="LO34" s="3">
        <v>711</v>
      </c>
      <c r="LP34" s="3">
        <v>1003</v>
      </c>
      <c r="LQ34" s="3">
        <v>979</v>
      </c>
      <c r="LR34" s="3">
        <v>1200</v>
      </c>
      <c r="LS34" s="3">
        <v>1119</v>
      </c>
      <c r="LT34" s="3">
        <v>1422</v>
      </c>
      <c r="LU34" s="3">
        <v>1156</v>
      </c>
      <c r="LV34" s="3">
        <v>2309</v>
      </c>
      <c r="LW34" s="3">
        <v>1946</v>
      </c>
      <c r="LX34" s="3">
        <v>2240</v>
      </c>
      <c r="LY34" s="3">
        <v>2080</v>
      </c>
      <c r="LZ34" s="3">
        <v>1147</v>
      </c>
      <c r="MA34" s="3">
        <v>1552</v>
      </c>
      <c r="MB34" s="3">
        <v>2101</v>
      </c>
      <c r="MC34" s="3">
        <v>2080</v>
      </c>
      <c r="MD34" s="3">
        <v>2166</v>
      </c>
      <c r="ME34" s="3">
        <v>2499</v>
      </c>
      <c r="MF34" s="3">
        <v>1929</v>
      </c>
      <c r="MG34" s="3">
        <v>1385</v>
      </c>
      <c r="MH34" s="3">
        <v>2318</v>
      </c>
      <c r="MI34" s="3">
        <v>2416</v>
      </c>
      <c r="MJ34" s="3">
        <v>2587</v>
      </c>
      <c r="MK34" s="3">
        <v>2624</v>
      </c>
      <c r="ML34" s="3">
        <v>1836</v>
      </c>
      <c r="MM34" s="3">
        <v>2002</v>
      </c>
      <c r="MN34" s="3">
        <v>3023</v>
      </c>
      <c r="MO34" s="3">
        <v>2748</v>
      </c>
      <c r="MP34" s="3">
        <v>3811</v>
      </c>
      <c r="MQ34" s="3">
        <v>4104</v>
      </c>
      <c r="MR34" s="3">
        <v>2067</v>
      </c>
      <c r="MS34" s="3">
        <v>1719</v>
      </c>
      <c r="MT34" s="3">
        <v>2846</v>
      </c>
      <c r="MU34" s="3">
        <v>2757</v>
      </c>
      <c r="MV34" s="3">
        <v>3917</v>
      </c>
      <c r="MW34" s="3">
        <v>3451</v>
      </c>
    </row>
    <row r="35" spans="1:361" x14ac:dyDescent="0.3">
      <c r="A35" s="3">
        <v>24</v>
      </c>
      <c r="B35" s="3">
        <v>440</v>
      </c>
      <c r="C35" s="3">
        <v>283</v>
      </c>
      <c r="D35" s="3">
        <v>473</v>
      </c>
      <c r="E35" s="3">
        <v>470</v>
      </c>
      <c r="F35" s="3">
        <v>591</v>
      </c>
      <c r="G35" s="3">
        <v>534</v>
      </c>
      <c r="H35" s="3">
        <v>1006</v>
      </c>
      <c r="I35" s="3">
        <v>973</v>
      </c>
      <c r="J35" s="3">
        <v>1067</v>
      </c>
      <c r="K35" s="3">
        <v>800</v>
      </c>
      <c r="L35" s="3">
        <v>1429</v>
      </c>
      <c r="M35" s="3">
        <v>900</v>
      </c>
      <c r="N35" s="3">
        <v>553</v>
      </c>
      <c r="O35" s="3">
        <v>487</v>
      </c>
      <c r="P35" s="3">
        <v>1043</v>
      </c>
      <c r="Q35" s="3">
        <v>1014</v>
      </c>
      <c r="R35" s="3">
        <v>1039</v>
      </c>
      <c r="S35" s="3">
        <v>897</v>
      </c>
      <c r="T35" s="3">
        <v>820</v>
      </c>
      <c r="U35" s="3">
        <v>904</v>
      </c>
      <c r="V35" s="3">
        <v>1035</v>
      </c>
      <c r="W35" s="3">
        <v>1121</v>
      </c>
      <c r="X35" s="3">
        <v>1294</v>
      </c>
      <c r="Y35" s="3">
        <v>1008</v>
      </c>
      <c r="Z35" s="3">
        <v>1056</v>
      </c>
      <c r="AA35" s="3">
        <v>913</v>
      </c>
      <c r="AB35" s="3">
        <v>1180</v>
      </c>
      <c r="AC35" s="3">
        <v>1337</v>
      </c>
      <c r="AD35" s="3">
        <v>1847</v>
      </c>
      <c r="AE35" s="3">
        <v>1841</v>
      </c>
      <c r="AF35" s="3">
        <v>1080</v>
      </c>
      <c r="AG35" s="3">
        <v>1123</v>
      </c>
      <c r="AH35" s="3">
        <v>1850</v>
      </c>
      <c r="AI35" s="3">
        <v>1128</v>
      </c>
      <c r="AJ35" s="3">
        <v>2015</v>
      </c>
      <c r="AK35" s="3">
        <v>1312</v>
      </c>
      <c r="AL35" s="3">
        <v>741</v>
      </c>
      <c r="AM35" s="3">
        <v>665</v>
      </c>
      <c r="AN35" s="3">
        <v>1110</v>
      </c>
      <c r="AO35" s="3">
        <v>839</v>
      </c>
      <c r="AP35" s="3">
        <v>1374</v>
      </c>
      <c r="AQ35" s="3">
        <v>1288</v>
      </c>
      <c r="AR35" s="3">
        <v>2007</v>
      </c>
      <c r="AS35" s="3">
        <v>1538</v>
      </c>
      <c r="AT35" s="3">
        <v>2226</v>
      </c>
      <c r="AU35" s="3">
        <v>1704</v>
      </c>
      <c r="AV35" s="3">
        <v>2356</v>
      </c>
      <c r="AW35" s="3">
        <v>2211</v>
      </c>
      <c r="AX35" s="3">
        <v>1153</v>
      </c>
      <c r="AY35" s="3">
        <v>1475</v>
      </c>
      <c r="AZ35" s="3">
        <v>1750</v>
      </c>
      <c r="BA35" s="3">
        <v>1997</v>
      </c>
      <c r="BB35" s="3">
        <v>2706</v>
      </c>
      <c r="BC35" s="3">
        <v>2228</v>
      </c>
      <c r="BD35" s="3">
        <v>1743</v>
      </c>
      <c r="BE35" s="3">
        <v>1459</v>
      </c>
      <c r="BF35" s="3">
        <v>2516</v>
      </c>
      <c r="BG35" s="3">
        <v>2038</v>
      </c>
      <c r="BH35" s="3">
        <v>2590</v>
      </c>
      <c r="BI35" s="3">
        <v>2515</v>
      </c>
      <c r="BJ35" s="3">
        <v>1573</v>
      </c>
      <c r="BK35" s="3">
        <v>1985</v>
      </c>
      <c r="BL35" s="3">
        <v>2853</v>
      </c>
      <c r="BM35" s="3">
        <v>2289</v>
      </c>
      <c r="BN35" s="3">
        <v>3864</v>
      </c>
      <c r="BO35" s="3">
        <v>3460</v>
      </c>
      <c r="BP35" s="3">
        <v>2057</v>
      </c>
      <c r="BQ35" s="3">
        <v>1388</v>
      </c>
      <c r="BR35" s="3">
        <v>2715</v>
      </c>
      <c r="BS35" s="3">
        <v>2659</v>
      </c>
      <c r="BT35" s="3">
        <v>3438</v>
      </c>
      <c r="BU35" s="3">
        <v>3065</v>
      </c>
      <c r="BV35" s="3">
        <v>381</v>
      </c>
      <c r="BW35" s="3">
        <v>261</v>
      </c>
      <c r="BX35" s="3">
        <v>413</v>
      </c>
      <c r="BY35" s="3">
        <v>434</v>
      </c>
      <c r="BZ35" s="3">
        <v>596</v>
      </c>
      <c r="CA35" s="3">
        <v>573</v>
      </c>
      <c r="CB35" s="3">
        <v>553</v>
      </c>
      <c r="CC35" s="3">
        <v>682</v>
      </c>
      <c r="CD35" s="3">
        <v>1122</v>
      </c>
      <c r="CE35" s="3">
        <v>1098</v>
      </c>
      <c r="CF35" s="3">
        <v>915</v>
      </c>
      <c r="CG35" s="3">
        <v>1027</v>
      </c>
      <c r="CH35" s="3">
        <v>656</v>
      </c>
      <c r="CI35" s="3">
        <v>576</v>
      </c>
      <c r="CJ35" s="3">
        <v>1137</v>
      </c>
      <c r="CK35" s="3">
        <v>971</v>
      </c>
      <c r="CL35" s="3">
        <v>1120</v>
      </c>
      <c r="CM35" s="3">
        <v>900</v>
      </c>
      <c r="CN35" s="3">
        <v>750</v>
      </c>
      <c r="CO35" s="3">
        <v>785</v>
      </c>
      <c r="CP35" s="3">
        <v>1108</v>
      </c>
      <c r="CQ35" s="3">
        <v>1098</v>
      </c>
      <c r="CR35" s="3">
        <v>1427</v>
      </c>
      <c r="CS35" s="3">
        <v>1132</v>
      </c>
      <c r="CT35" s="3">
        <v>1032</v>
      </c>
      <c r="CU35" s="3">
        <v>838</v>
      </c>
      <c r="CV35" s="3">
        <v>1262</v>
      </c>
      <c r="CW35" s="3">
        <v>1125</v>
      </c>
      <c r="CX35" s="3">
        <v>1323</v>
      </c>
      <c r="CY35" s="3">
        <v>1511</v>
      </c>
      <c r="CZ35" s="3">
        <v>1175</v>
      </c>
      <c r="DA35" s="3">
        <v>865</v>
      </c>
      <c r="DB35" s="3">
        <v>1642</v>
      </c>
      <c r="DC35" s="3">
        <v>1321</v>
      </c>
      <c r="DD35" s="3">
        <v>1754</v>
      </c>
      <c r="DE35" s="3">
        <v>1430</v>
      </c>
      <c r="DF35" s="3">
        <v>700</v>
      </c>
      <c r="DG35" s="3">
        <v>643</v>
      </c>
      <c r="DH35" s="3">
        <v>1000</v>
      </c>
      <c r="DI35" s="3">
        <v>1093</v>
      </c>
      <c r="DJ35" s="3">
        <v>1277</v>
      </c>
      <c r="DK35" s="3">
        <v>1273</v>
      </c>
      <c r="DL35" s="3">
        <v>2037</v>
      </c>
      <c r="DM35" s="3">
        <v>1480</v>
      </c>
      <c r="DN35" s="3">
        <v>1939</v>
      </c>
      <c r="DO35" s="3">
        <v>1766</v>
      </c>
      <c r="DP35" s="3">
        <v>2670</v>
      </c>
      <c r="DQ35" s="3">
        <v>2006</v>
      </c>
      <c r="DR35" s="3">
        <v>1214</v>
      </c>
      <c r="DS35" s="3">
        <v>1150</v>
      </c>
      <c r="DT35" s="3">
        <v>1831</v>
      </c>
      <c r="DU35" s="3">
        <v>2063</v>
      </c>
      <c r="DV35" s="3">
        <v>2250</v>
      </c>
      <c r="DW35" s="3">
        <v>2458</v>
      </c>
      <c r="DX35" s="3">
        <v>1797</v>
      </c>
      <c r="DY35" s="3">
        <v>1635</v>
      </c>
      <c r="DZ35" s="3">
        <v>2279</v>
      </c>
      <c r="EA35" s="3">
        <v>1847</v>
      </c>
      <c r="EB35" s="3">
        <v>2768</v>
      </c>
      <c r="EC35" s="3">
        <v>2454</v>
      </c>
      <c r="ED35" s="3">
        <v>1485</v>
      </c>
      <c r="EE35" s="3">
        <v>1625</v>
      </c>
      <c r="EF35" s="3">
        <v>3005</v>
      </c>
      <c r="EG35" s="3">
        <v>2750</v>
      </c>
      <c r="EH35" s="3">
        <v>3854</v>
      </c>
      <c r="EI35" s="3">
        <v>3749</v>
      </c>
      <c r="EJ35" s="3">
        <v>2228</v>
      </c>
      <c r="EK35" s="3">
        <v>1538</v>
      </c>
      <c r="EL35" s="3">
        <v>3395</v>
      </c>
      <c r="EM35" s="3">
        <v>2624</v>
      </c>
      <c r="EN35" s="3">
        <v>3848</v>
      </c>
      <c r="EO35" s="3">
        <v>3271</v>
      </c>
      <c r="EP35" s="3">
        <v>441</v>
      </c>
      <c r="EQ35" s="3">
        <v>304</v>
      </c>
      <c r="ER35" s="3">
        <v>585</v>
      </c>
      <c r="ES35" s="3">
        <v>471</v>
      </c>
      <c r="ET35" s="3">
        <v>640</v>
      </c>
      <c r="EU35" s="3">
        <v>694</v>
      </c>
      <c r="EV35" s="3">
        <v>784</v>
      </c>
      <c r="EW35" s="3">
        <v>952</v>
      </c>
      <c r="EX35" s="3">
        <v>1171</v>
      </c>
      <c r="EY35" s="3">
        <v>826</v>
      </c>
      <c r="EZ35" s="3">
        <v>1061</v>
      </c>
      <c r="FA35" s="3">
        <v>1256</v>
      </c>
      <c r="FB35" s="3">
        <v>373</v>
      </c>
      <c r="FC35" s="3">
        <v>470</v>
      </c>
      <c r="FD35" s="3">
        <v>772</v>
      </c>
      <c r="FE35" s="3">
        <v>1101</v>
      </c>
      <c r="FF35" s="3">
        <v>1180</v>
      </c>
      <c r="FG35" s="3">
        <v>1100</v>
      </c>
      <c r="FH35" s="3">
        <v>614</v>
      </c>
      <c r="FI35" s="3">
        <v>648</v>
      </c>
      <c r="FJ35" s="3">
        <v>1084</v>
      </c>
      <c r="FK35" s="3">
        <v>921</v>
      </c>
      <c r="FL35" s="3">
        <v>1220</v>
      </c>
      <c r="FM35" s="3">
        <v>1246</v>
      </c>
      <c r="FN35" s="3">
        <v>832</v>
      </c>
      <c r="FO35" s="3">
        <v>563</v>
      </c>
      <c r="FP35" s="3">
        <v>1522</v>
      </c>
      <c r="FQ35" s="3">
        <v>1328</v>
      </c>
      <c r="FR35" s="3">
        <v>1813</v>
      </c>
      <c r="FS35" s="3">
        <v>1559</v>
      </c>
      <c r="FT35" s="3">
        <v>1013</v>
      </c>
      <c r="FU35" s="3">
        <v>805</v>
      </c>
      <c r="FV35" s="3">
        <v>1332</v>
      </c>
      <c r="FW35" s="3">
        <v>1268</v>
      </c>
      <c r="FX35" s="3">
        <v>1617</v>
      </c>
      <c r="FY35" s="3">
        <v>1584</v>
      </c>
      <c r="FZ35" s="3">
        <v>561</v>
      </c>
      <c r="GA35" s="3">
        <v>679</v>
      </c>
      <c r="GB35" s="3">
        <v>1165</v>
      </c>
      <c r="GC35" s="3">
        <v>875</v>
      </c>
      <c r="GD35" s="3">
        <v>1342</v>
      </c>
      <c r="GE35" s="3">
        <v>1316</v>
      </c>
      <c r="GF35" s="3">
        <v>1587</v>
      </c>
      <c r="GG35" s="3">
        <v>1278</v>
      </c>
      <c r="GH35" s="3">
        <v>2105</v>
      </c>
      <c r="GI35" s="3">
        <v>1832</v>
      </c>
      <c r="GJ35" s="3">
        <v>2551</v>
      </c>
      <c r="GK35" s="3">
        <v>2178</v>
      </c>
      <c r="GL35" s="3">
        <v>1200</v>
      </c>
      <c r="GM35" s="3">
        <v>1272</v>
      </c>
      <c r="GN35" s="3">
        <v>2096</v>
      </c>
      <c r="GO35" s="3">
        <v>1966</v>
      </c>
      <c r="GP35" s="3">
        <v>2662</v>
      </c>
      <c r="GQ35" s="3">
        <v>2551</v>
      </c>
      <c r="GR35" s="3">
        <v>1961</v>
      </c>
      <c r="GS35" s="3">
        <v>1570</v>
      </c>
      <c r="GT35" s="3">
        <v>2260</v>
      </c>
      <c r="GU35" s="3">
        <v>2013</v>
      </c>
      <c r="GV35" s="3">
        <v>2904</v>
      </c>
      <c r="GW35" s="3">
        <v>2282</v>
      </c>
      <c r="GX35" s="3">
        <v>1755</v>
      </c>
      <c r="GY35" s="3">
        <v>1741</v>
      </c>
      <c r="GZ35" s="3">
        <v>3097</v>
      </c>
      <c r="HA35" s="3">
        <v>2895</v>
      </c>
      <c r="HB35" s="3">
        <v>3535</v>
      </c>
      <c r="HC35" s="3">
        <v>3864</v>
      </c>
      <c r="HD35" s="3">
        <v>2025</v>
      </c>
      <c r="HE35" s="3">
        <v>1751</v>
      </c>
      <c r="HF35" s="3">
        <v>3142</v>
      </c>
      <c r="HG35" s="3">
        <v>2885</v>
      </c>
      <c r="HH35" s="3">
        <v>3976</v>
      </c>
      <c r="HI35" s="3">
        <v>3418</v>
      </c>
      <c r="HJ35" s="3">
        <v>218</v>
      </c>
      <c r="HK35" s="3">
        <v>341</v>
      </c>
      <c r="HL35" s="3">
        <v>464</v>
      </c>
      <c r="HM35" s="3">
        <v>549</v>
      </c>
      <c r="HN35" s="3">
        <v>671</v>
      </c>
      <c r="HO35" s="3">
        <v>607</v>
      </c>
      <c r="HP35" s="3">
        <v>664</v>
      </c>
      <c r="HQ35" s="3">
        <v>740</v>
      </c>
      <c r="HR35" s="3">
        <v>1154</v>
      </c>
      <c r="HS35" s="3">
        <v>1027</v>
      </c>
      <c r="HT35" s="3">
        <v>1242</v>
      </c>
      <c r="HU35" s="3">
        <v>927</v>
      </c>
      <c r="HV35" s="3">
        <v>726</v>
      </c>
      <c r="HW35" s="3">
        <v>663</v>
      </c>
      <c r="HX35" s="3">
        <v>999</v>
      </c>
      <c r="HY35" s="3">
        <v>853</v>
      </c>
      <c r="HZ35" s="3">
        <v>693</v>
      </c>
      <c r="IA35" s="3">
        <v>1445</v>
      </c>
      <c r="IB35" s="3">
        <v>1183</v>
      </c>
      <c r="IC35" s="3">
        <v>948</v>
      </c>
      <c r="ID35" s="3">
        <v>1276</v>
      </c>
      <c r="IE35" s="3">
        <v>841</v>
      </c>
      <c r="IF35" s="3">
        <v>1391</v>
      </c>
      <c r="IG35" s="3">
        <v>1119</v>
      </c>
      <c r="IH35" s="3">
        <v>945</v>
      </c>
      <c r="II35" s="3">
        <v>886</v>
      </c>
      <c r="IJ35" s="3">
        <v>1279</v>
      </c>
      <c r="IK35" s="3">
        <v>1444</v>
      </c>
      <c r="IL35" s="3">
        <v>1787</v>
      </c>
      <c r="IM35" s="3">
        <v>1920</v>
      </c>
      <c r="IN35" s="3">
        <v>1159</v>
      </c>
      <c r="IO35" s="3">
        <v>932</v>
      </c>
      <c r="IP35" s="3">
        <v>1732</v>
      </c>
      <c r="IQ35" s="3">
        <v>1226</v>
      </c>
      <c r="IR35" s="3">
        <v>1744</v>
      </c>
      <c r="IS35" s="3">
        <v>1669</v>
      </c>
      <c r="IT35" s="3">
        <v>719</v>
      </c>
      <c r="IU35" s="3">
        <v>571</v>
      </c>
      <c r="IV35" s="3">
        <v>893</v>
      </c>
      <c r="IW35" s="3">
        <v>860</v>
      </c>
      <c r="IX35" s="3">
        <v>1254</v>
      </c>
      <c r="IY35" s="3">
        <v>1399</v>
      </c>
      <c r="IZ35" s="3">
        <v>1969</v>
      </c>
      <c r="JA35" s="3">
        <v>1200</v>
      </c>
      <c r="JB35" s="3">
        <v>1995</v>
      </c>
      <c r="JC35" s="3">
        <v>1756</v>
      </c>
      <c r="JD35" s="3">
        <v>2020</v>
      </c>
      <c r="JE35" s="3">
        <v>2029</v>
      </c>
      <c r="JF35" s="3">
        <v>1164</v>
      </c>
      <c r="JG35" s="3">
        <v>1181</v>
      </c>
      <c r="JH35" s="3">
        <v>2235</v>
      </c>
      <c r="JI35" s="3">
        <v>1875</v>
      </c>
      <c r="JJ35" s="3">
        <v>2630</v>
      </c>
      <c r="JK35" s="3">
        <v>2309</v>
      </c>
      <c r="JL35" s="3">
        <v>1849</v>
      </c>
      <c r="JM35" s="3">
        <v>1553</v>
      </c>
      <c r="JN35" s="3">
        <v>2516</v>
      </c>
      <c r="JO35" s="3">
        <v>2004</v>
      </c>
      <c r="JP35" s="3">
        <v>2766</v>
      </c>
      <c r="JQ35" s="3">
        <v>2349</v>
      </c>
      <c r="JR35" s="3">
        <v>1560</v>
      </c>
      <c r="JS35" s="3">
        <v>1597</v>
      </c>
      <c r="JT35" s="3">
        <v>2949</v>
      </c>
      <c r="JU35" s="3">
        <v>3157</v>
      </c>
      <c r="JV35" s="3">
        <v>3927</v>
      </c>
      <c r="JW35" s="3">
        <v>3420</v>
      </c>
      <c r="JX35" s="3">
        <v>1768</v>
      </c>
      <c r="JY35" s="3">
        <v>1560</v>
      </c>
      <c r="JZ35" s="3">
        <v>3042</v>
      </c>
      <c r="KA35" s="3">
        <v>2778</v>
      </c>
      <c r="KB35" s="3">
        <v>3706</v>
      </c>
      <c r="KC35" s="3">
        <v>3277</v>
      </c>
      <c r="KD35" s="3">
        <v>289</v>
      </c>
      <c r="KE35" s="3">
        <v>368</v>
      </c>
      <c r="KF35" s="3">
        <v>485</v>
      </c>
      <c r="KG35" s="3">
        <v>456</v>
      </c>
      <c r="KH35" s="3">
        <v>676</v>
      </c>
      <c r="KI35" s="3">
        <v>621</v>
      </c>
      <c r="KJ35" s="3">
        <v>810</v>
      </c>
      <c r="KK35" s="3">
        <v>862</v>
      </c>
      <c r="KL35" s="3">
        <v>1211</v>
      </c>
      <c r="KM35" s="3">
        <v>1021</v>
      </c>
      <c r="KN35" s="3">
        <v>1112</v>
      </c>
      <c r="KO35" s="3">
        <v>1291</v>
      </c>
      <c r="KP35" s="3">
        <v>440</v>
      </c>
      <c r="KQ35" s="3">
        <v>522</v>
      </c>
      <c r="KR35" s="3">
        <v>786</v>
      </c>
      <c r="KS35" s="3">
        <v>908</v>
      </c>
      <c r="KT35" s="3">
        <v>1192</v>
      </c>
      <c r="KU35" s="3">
        <v>1225</v>
      </c>
      <c r="KV35" s="3">
        <v>1011</v>
      </c>
      <c r="KW35" s="3">
        <v>998</v>
      </c>
      <c r="KX35" s="3">
        <v>1253</v>
      </c>
      <c r="KY35" s="3">
        <v>1049</v>
      </c>
      <c r="KZ35" s="3">
        <v>1396</v>
      </c>
      <c r="LA35" s="3">
        <v>1001</v>
      </c>
      <c r="LB35" s="3">
        <v>850</v>
      </c>
      <c r="LC35" s="3">
        <v>967</v>
      </c>
      <c r="LD35" s="3">
        <v>1538</v>
      </c>
      <c r="LE35" s="3">
        <v>1196</v>
      </c>
      <c r="LF35" s="3">
        <v>1617</v>
      </c>
      <c r="LG35" s="3">
        <v>1499</v>
      </c>
      <c r="LH35" s="3">
        <v>1074</v>
      </c>
      <c r="LI35" s="3">
        <v>848</v>
      </c>
      <c r="LJ35" s="3">
        <v>1340</v>
      </c>
      <c r="LK35" s="3">
        <v>1281</v>
      </c>
      <c r="LL35" s="3">
        <v>1774</v>
      </c>
      <c r="LM35" s="3">
        <v>1767</v>
      </c>
      <c r="LN35" s="3">
        <v>579</v>
      </c>
      <c r="LO35" s="3">
        <v>711</v>
      </c>
      <c r="LP35" s="3">
        <v>997</v>
      </c>
      <c r="LQ35" s="3">
        <v>977</v>
      </c>
      <c r="LR35" s="3">
        <v>1199</v>
      </c>
      <c r="LS35" s="3">
        <v>1109</v>
      </c>
      <c r="LT35" s="3">
        <v>1422</v>
      </c>
      <c r="LU35" s="3">
        <v>1156</v>
      </c>
      <c r="LV35" s="3">
        <v>2309</v>
      </c>
      <c r="LW35" s="3">
        <v>1946</v>
      </c>
      <c r="LX35" s="3">
        <v>2240</v>
      </c>
      <c r="LY35" s="3">
        <v>2080</v>
      </c>
      <c r="LZ35" s="3">
        <v>1147</v>
      </c>
      <c r="MA35" s="3">
        <v>1552</v>
      </c>
      <c r="MB35" s="3">
        <v>2102</v>
      </c>
      <c r="MC35" s="3">
        <v>2080</v>
      </c>
      <c r="MD35" s="3">
        <v>2173</v>
      </c>
      <c r="ME35" s="3">
        <v>2499</v>
      </c>
      <c r="MF35" s="3">
        <v>1929</v>
      </c>
      <c r="MG35" s="3">
        <v>1385</v>
      </c>
      <c r="MH35" s="3">
        <v>2321</v>
      </c>
      <c r="MI35" s="3">
        <v>2416</v>
      </c>
      <c r="MJ35" s="3">
        <v>2601</v>
      </c>
      <c r="MK35" s="3">
        <v>2646</v>
      </c>
      <c r="ML35" s="3">
        <v>1829</v>
      </c>
      <c r="MM35" s="3">
        <v>2002</v>
      </c>
      <c r="MN35" s="3">
        <v>3024</v>
      </c>
      <c r="MO35" s="3">
        <v>2762</v>
      </c>
      <c r="MP35" s="3">
        <v>3811</v>
      </c>
      <c r="MQ35" s="3">
        <v>4104</v>
      </c>
      <c r="MR35" s="3">
        <v>2067</v>
      </c>
      <c r="MS35" s="3">
        <v>1719</v>
      </c>
      <c r="MT35" s="3">
        <v>2843</v>
      </c>
      <c r="MU35" s="3">
        <v>2771</v>
      </c>
      <c r="MV35" s="3">
        <v>3910</v>
      </c>
      <c r="MW35" s="3">
        <v>3441</v>
      </c>
    </row>
    <row r="36" spans="1:361" x14ac:dyDescent="0.3">
      <c r="A36" s="3">
        <v>25</v>
      </c>
      <c r="B36" s="3">
        <v>440</v>
      </c>
      <c r="C36" s="3">
        <v>283</v>
      </c>
      <c r="D36" s="3">
        <v>473</v>
      </c>
      <c r="E36" s="3">
        <v>464</v>
      </c>
      <c r="F36" s="3">
        <v>591</v>
      </c>
      <c r="G36" s="3">
        <v>534</v>
      </c>
      <c r="H36" s="3">
        <v>1006</v>
      </c>
      <c r="I36" s="3">
        <v>973</v>
      </c>
      <c r="J36" s="3">
        <v>1067</v>
      </c>
      <c r="K36" s="3">
        <v>800</v>
      </c>
      <c r="L36" s="3">
        <v>1429</v>
      </c>
      <c r="M36" s="3">
        <v>900</v>
      </c>
      <c r="N36" s="3">
        <v>553</v>
      </c>
      <c r="O36" s="3">
        <v>487</v>
      </c>
      <c r="P36" s="3">
        <v>1042</v>
      </c>
      <c r="Q36" s="3">
        <v>1014</v>
      </c>
      <c r="R36" s="3">
        <v>1040</v>
      </c>
      <c r="S36" s="3">
        <v>902</v>
      </c>
      <c r="T36" s="3">
        <v>820</v>
      </c>
      <c r="U36" s="3">
        <v>904</v>
      </c>
      <c r="V36" s="3">
        <v>1035</v>
      </c>
      <c r="W36" s="3">
        <v>1121</v>
      </c>
      <c r="X36" s="3">
        <v>1299</v>
      </c>
      <c r="Y36" s="3">
        <v>1007</v>
      </c>
      <c r="Z36" s="3">
        <v>1058</v>
      </c>
      <c r="AA36" s="3">
        <v>913</v>
      </c>
      <c r="AB36" s="3">
        <v>1180</v>
      </c>
      <c r="AC36" s="3">
        <v>1348</v>
      </c>
      <c r="AD36" s="3">
        <v>1843</v>
      </c>
      <c r="AE36" s="3">
        <v>1841</v>
      </c>
      <c r="AF36" s="3">
        <v>1080</v>
      </c>
      <c r="AG36" s="3">
        <v>1123</v>
      </c>
      <c r="AH36" s="3">
        <v>1851</v>
      </c>
      <c r="AI36" s="3">
        <v>1128</v>
      </c>
      <c r="AJ36" s="3">
        <v>2017</v>
      </c>
      <c r="AK36" s="3">
        <v>1318</v>
      </c>
      <c r="AL36" s="3">
        <v>741</v>
      </c>
      <c r="AM36" s="3">
        <v>665</v>
      </c>
      <c r="AN36" s="3">
        <v>1109</v>
      </c>
      <c r="AO36" s="3">
        <v>839</v>
      </c>
      <c r="AP36" s="3">
        <v>1375</v>
      </c>
      <c r="AQ36" s="3">
        <v>1288</v>
      </c>
      <c r="AR36" s="3">
        <v>2007</v>
      </c>
      <c r="AS36" s="3">
        <v>1538</v>
      </c>
      <c r="AT36" s="3">
        <v>2226</v>
      </c>
      <c r="AU36" s="3">
        <v>1704</v>
      </c>
      <c r="AV36" s="3">
        <v>2356</v>
      </c>
      <c r="AW36" s="3">
        <v>2211</v>
      </c>
      <c r="AX36" s="3">
        <v>1153</v>
      </c>
      <c r="AY36" s="3">
        <v>1479</v>
      </c>
      <c r="AZ36" s="3">
        <v>1750</v>
      </c>
      <c r="BA36" s="3">
        <v>1997</v>
      </c>
      <c r="BB36" s="3">
        <v>2709</v>
      </c>
      <c r="BC36" s="3">
        <v>2237</v>
      </c>
      <c r="BD36" s="3">
        <v>1743</v>
      </c>
      <c r="BE36" s="3">
        <v>1459</v>
      </c>
      <c r="BF36" s="3">
        <v>2516</v>
      </c>
      <c r="BG36" s="3">
        <v>2038</v>
      </c>
      <c r="BH36" s="3">
        <v>2571</v>
      </c>
      <c r="BI36" s="3">
        <v>2528</v>
      </c>
      <c r="BJ36" s="3">
        <v>1573</v>
      </c>
      <c r="BK36" s="3">
        <v>1980</v>
      </c>
      <c r="BL36" s="3">
        <v>2853</v>
      </c>
      <c r="BM36" s="3">
        <v>2286</v>
      </c>
      <c r="BN36" s="3">
        <v>3865</v>
      </c>
      <c r="BO36" s="3">
        <v>3439</v>
      </c>
      <c r="BP36" s="3">
        <v>2057</v>
      </c>
      <c r="BQ36" s="3">
        <v>1388</v>
      </c>
      <c r="BR36" s="3">
        <v>2712</v>
      </c>
      <c r="BS36" s="3">
        <v>2658</v>
      </c>
      <c r="BT36" s="3">
        <v>3429</v>
      </c>
      <c r="BU36" s="3">
        <v>3066</v>
      </c>
      <c r="BV36" s="3">
        <v>381</v>
      </c>
      <c r="BW36" s="3">
        <v>261</v>
      </c>
      <c r="BX36" s="3">
        <v>413</v>
      </c>
      <c r="BY36" s="3">
        <v>434</v>
      </c>
      <c r="BZ36" s="3">
        <v>595</v>
      </c>
      <c r="CA36" s="3">
        <v>573</v>
      </c>
      <c r="CB36" s="3">
        <v>553</v>
      </c>
      <c r="CC36" s="3">
        <v>682</v>
      </c>
      <c r="CD36" s="3">
        <v>1122</v>
      </c>
      <c r="CE36" s="3">
        <v>1098</v>
      </c>
      <c r="CF36" s="3">
        <v>915</v>
      </c>
      <c r="CG36" s="3">
        <v>1027</v>
      </c>
      <c r="CH36" s="3">
        <v>656</v>
      </c>
      <c r="CI36" s="3">
        <v>576</v>
      </c>
      <c r="CJ36" s="3">
        <v>1137</v>
      </c>
      <c r="CK36" s="3">
        <v>971</v>
      </c>
      <c r="CL36" s="3">
        <v>1120</v>
      </c>
      <c r="CM36" s="3">
        <v>900</v>
      </c>
      <c r="CN36" s="3">
        <v>750</v>
      </c>
      <c r="CO36" s="3">
        <v>785</v>
      </c>
      <c r="CP36" s="3">
        <v>1108</v>
      </c>
      <c r="CQ36" s="3">
        <v>1098</v>
      </c>
      <c r="CR36" s="3">
        <v>1425</v>
      </c>
      <c r="CS36" s="3">
        <v>1136</v>
      </c>
      <c r="CT36" s="3">
        <v>1032</v>
      </c>
      <c r="CU36" s="3">
        <v>838</v>
      </c>
      <c r="CV36" s="3">
        <v>1262</v>
      </c>
      <c r="CW36" s="3">
        <v>1125</v>
      </c>
      <c r="CX36" s="3">
        <v>1323</v>
      </c>
      <c r="CY36" s="3">
        <v>1511</v>
      </c>
      <c r="CZ36" s="3">
        <v>1175</v>
      </c>
      <c r="DA36" s="3">
        <v>865</v>
      </c>
      <c r="DB36" s="3">
        <v>1643</v>
      </c>
      <c r="DC36" s="3">
        <v>1328</v>
      </c>
      <c r="DD36" s="3">
        <v>1754</v>
      </c>
      <c r="DE36" s="3">
        <v>1413</v>
      </c>
      <c r="DF36" s="3">
        <v>700</v>
      </c>
      <c r="DG36" s="3">
        <v>645</v>
      </c>
      <c r="DH36" s="3">
        <v>1000</v>
      </c>
      <c r="DI36" s="3">
        <v>1087</v>
      </c>
      <c r="DJ36" s="3">
        <v>1277</v>
      </c>
      <c r="DK36" s="3">
        <v>1287</v>
      </c>
      <c r="DL36" s="3">
        <v>2037</v>
      </c>
      <c r="DM36" s="3">
        <v>1480</v>
      </c>
      <c r="DN36" s="3">
        <v>1939</v>
      </c>
      <c r="DO36" s="3">
        <v>1766</v>
      </c>
      <c r="DP36" s="3">
        <v>2670</v>
      </c>
      <c r="DQ36" s="3">
        <v>2006</v>
      </c>
      <c r="DR36" s="3">
        <v>1214</v>
      </c>
      <c r="DS36" s="3">
        <v>1150</v>
      </c>
      <c r="DT36" s="3">
        <v>1830</v>
      </c>
      <c r="DU36" s="3">
        <v>2071</v>
      </c>
      <c r="DV36" s="3">
        <v>2250</v>
      </c>
      <c r="DW36" s="3">
        <v>2458</v>
      </c>
      <c r="DX36" s="3">
        <v>1797</v>
      </c>
      <c r="DY36" s="3">
        <v>1635</v>
      </c>
      <c r="DZ36" s="3">
        <v>2286</v>
      </c>
      <c r="EA36" s="3">
        <v>1852</v>
      </c>
      <c r="EB36" s="3">
        <v>2791</v>
      </c>
      <c r="EC36" s="3">
        <v>2463</v>
      </c>
      <c r="ED36" s="3">
        <v>1486</v>
      </c>
      <c r="EE36" s="3">
        <v>1625</v>
      </c>
      <c r="EF36" s="3">
        <v>2997</v>
      </c>
      <c r="EG36" s="3">
        <v>2765</v>
      </c>
      <c r="EH36" s="3">
        <v>3852</v>
      </c>
      <c r="EI36" s="3">
        <v>3750</v>
      </c>
      <c r="EJ36" s="3">
        <v>2227</v>
      </c>
      <c r="EK36" s="3">
        <v>1550</v>
      </c>
      <c r="EL36" s="3">
        <v>3389</v>
      </c>
      <c r="EM36" s="3">
        <v>2603</v>
      </c>
      <c r="EN36" s="3">
        <v>3843</v>
      </c>
      <c r="EO36" s="3">
        <v>3284</v>
      </c>
      <c r="EP36" s="3">
        <v>441</v>
      </c>
      <c r="EQ36" s="3">
        <v>304</v>
      </c>
      <c r="ER36" s="3">
        <v>585</v>
      </c>
      <c r="ES36" s="3">
        <v>471</v>
      </c>
      <c r="ET36" s="3">
        <v>640</v>
      </c>
      <c r="EU36" s="3">
        <v>694</v>
      </c>
      <c r="EV36" s="3">
        <v>784</v>
      </c>
      <c r="EW36" s="3">
        <v>952</v>
      </c>
      <c r="EX36" s="3">
        <v>1171</v>
      </c>
      <c r="EY36" s="3">
        <v>826</v>
      </c>
      <c r="EZ36" s="3">
        <v>1061</v>
      </c>
      <c r="FA36" s="3">
        <v>1256</v>
      </c>
      <c r="FB36" s="3">
        <v>373</v>
      </c>
      <c r="FC36" s="3">
        <v>470</v>
      </c>
      <c r="FD36" s="3">
        <v>771</v>
      </c>
      <c r="FE36" s="3">
        <v>1101</v>
      </c>
      <c r="FF36" s="3">
        <v>1179</v>
      </c>
      <c r="FG36" s="3">
        <v>1098</v>
      </c>
      <c r="FH36" s="3">
        <v>614</v>
      </c>
      <c r="FI36" s="3">
        <v>648</v>
      </c>
      <c r="FJ36" s="3">
        <v>1084</v>
      </c>
      <c r="FK36" s="3">
        <v>921</v>
      </c>
      <c r="FL36" s="3">
        <v>1221</v>
      </c>
      <c r="FM36" s="3">
        <v>1252</v>
      </c>
      <c r="FN36" s="3">
        <v>832</v>
      </c>
      <c r="FO36" s="3">
        <v>563</v>
      </c>
      <c r="FP36" s="3">
        <v>1522</v>
      </c>
      <c r="FQ36" s="3">
        <v>1336</v>
      </c>
      <c r="FR36" s="3">
        <v>1811</v>
      </c>
      <c r="FS36" s="3">
        <v>1559</v>
      </c>
      <c r="FT36" s="3">
        <v>1013</v>
      </c>
      <c r="FU36" s="3">
        <v>805</v>
      </c>
      <c r="FV36" s="3">
        <v>1329</v>
      </c>
      <c r="FW36" s="3">
        <v>1268</v>
      </c>
      <c r="FX36" s="3">
        <v>1621</v>
      </c>
      <c r="FY36" s="3">
        <v>1571</v>
      </c>
      <c r="FZ36" s="3">
        <v>561</v>
      </c>
      <c r="GA36" s="3">
        <v>679</v>
      </c>
      <c r="GB36" s="3">
        <v>1165</v>
      </c>
      <c r="GC36" s="3">
        <v>874</v>
      </c>
      <c r="GD36" s="3">
        <v>1342</v>
      </c>
      <c r="GE36" s="3">
        <v>1316</v>
      </c>
      <c r="GF36" s="3">
        <v>1587</v>
      </c>
      <c r="GG36" s="3">
        <v>1278</v>
      </c>
      <c r="GH36" s="3">
        <v>2105</v>
      </c>
      <c r="GI36" s="3">
        <v>1832</v>
      </c>
      <c r="GJ36" s="3">
        <v>2551</v>
      </c>
      <c r="GK36" s="3">
        <v>2178</v>
      </c>
      <c r="GL36" s="3">
        <v>1202</v>
      </c>
      <c r="GM36" s="3">
        <v>1267</v>
      </c>
      <c r="GN36" s="3">
        <v>2094</v>
      </c>
      <c r="GO36" s="3">
        <v>1973</v>
      </c>
      <c r="GP36" s="3">
        <v>2662</v>
      </c>
      <c r="GQ36" s="3">
        <v>2551</v>
      </c>
      <c r="GR36" s="3">
        <v>1961</v>
      </c>
      <c r="GS36" s="3">
        <v>1570</v>
      </c>
      <c r="GT36" s="3">
        <v>2267</v>
      </c>
      <c r="GU36" s="3">
        <v>2013</v>
      </c>
      <c r="GV36" s="3">
        <v>2883</v>
      </c>
      <c r="GW36" s="3">
        <v>2289</v>
      </c>
      <c r="GX36" s="3">
        <v>1757</v>
      </c>
      <c r="GY36" s="3">
        <v>1741</v>
      </c>
      <c r="GZ36" s="3">
        <v>3097</v>
      </c>
      <c r="HA36" s="3">
        <v>2882</v>
      </c>
      <c r="HB36" s="3">
        <v>3544</v>
      </c>
      <c r="HC36" s="3">
        <v>3864</v>
      </c>
      <c r="HD36" s="3">
        <v>2022</v>
      </c>
      <c r="HE36" s="3">
        <v>1756</v>
      </c>
      <c r="HF36" s="3">
        <v>3152</v>
      </c>
      <c r="HG36" s="3">
        <v>2856</v>
      </c>
      <c r="HH36" s="3">
        <v>3987</v>
      </c>
      <c r="HI36" s="3">
        <v>3441</v>
      </c>
      <c r="HJ36" s="3">
        <v>218</v>
      </c>
      <c r="HK36" s="3">
        <v>341</v>
      </c>
      <c r="HL36" s="3">
        <v>464</v>
      </c>
      <c r="HM36" s="3">
        <v>548</v>
      </c>
      <c r="HN36" s="3">
        <v>671</v>
      </c>
      <c r="HO36" s="3">
        <v>607</v>
      </c>
      <c r="HP36" s="3">
        <v>664</v>
      </c>
      <c r="HQ36" s="3">
        <v>740</v>
      </c>
      <c r="HR36" s="3">
        <v>1154</v>
      </c>
      <c r="HS36" s="3">
        <v>1027</v>
      </c>
      <c r="HT36" s="3">
        <v>1242</v>
      </c>
      <c r="HU36" s="3">
        <v>927</v>
      </c>
      <c r="HV36" s="3">
        <v>726</v>
      </c>
      <c r="HW36" s="3">
        <v>663</v>
      </c>
      <c r="HX36" s="3">
        <v>999</v>
      </c>
      <c r="HY36" s="3">
        <v>853</v>
      </c>
      <c r="HZ36" s="3">
        <v>693</v>
      </c>
      <c r="IA36" s="3">
        <v>1445</v>
      </c>
      <c r="IB36" s="3">
        <v>1183</v>
      </c>
      <c r="IC36" s="3">
        <v>948</v>
      </c>
      <c r="ID36" s="3">
        <v>1276</v>
      </c>
      <c r="IE36" s="3">
        <v>841</v>
      </c>
      <c r="IF36" s="3">
        <v>1394</v>
      </c>
      <c r="IG36" s="3">
        <v>1111</v>
      </c>
      <c r="IH36" s="3">
        <v>945</v>
      </c>
      <c r="II36" s="3">
        <v>886</v>
      </c>
      <c r="IJ36" s="3">
        <v>1279</v>
      </c>
      <c r="IK36" s="3">
        <v>1447</v>
      </c>
      <c r="IL36" s="3">
        <v>1787</v>
      </c>
      <c r="IM36" s="3">
        <v>1920</v>
      </c>
      <c r="IN36" s="3">
        <v>1159</v>
      </c>
      <c r="IO36" s="3">
        <v>932</v>
      </c>
      <c r="IP36" s="3">
        <v>1727</v>
      </c>
      <c r="IQ36" s="3">
        <v>1205</v>
      </c>
      <c r="IR36" s="3">
        <v>1746</v>
      </c>
      <c r="IS36" s="3">
        <v>1689</v>
      </c>
      <c r="IT36" s="3">
        <v>719</v>
      </c>
      <c r="IU36" s="3">
        <v>571</v>
      </c>
      <c r="IV36" s="3">
        <v>893</v>
      </c>
      <c r="IW36" s="3">
        <v>860</v>
      </c>
      <c r="IX36" s="3">
        <v>1258</v>
      </c>
      <c r="IY36" s="3">
        <v>1399</v>
      </c>
      <c r="IZ36" s="3">
        <v>1969</v>
      </c>
      <c r="JA36" s="3">
        <v>1200</v>
      </c>
      <c r="JB36" s="3">
        <v>1995</v>
      </c>
      <c r="JC36" s="3">
        <v>1756</v>
      </c>
      <c r="JD36" s="3">
        <v>2020</v>
      </c>
      <c r="JE36" s="3">
        <v>2029</v>
      </c>
      <c r="JF36" s="3">
        <v>1166</v>
      </c>
      <c r="JG36" s="3">
        <v>1181</v>
      </c>
      <c r="JH36" s="3">
        <v>2235</v>
      </c>
      <c r="JI36" s="3">
        <v>1875</v>
      </c>
      <c r="JJ36" s="3">
        <v>2630</v>
      </c>
      <c r="JK36" s="3">
        <v>2307</v>
      </c>
      <c r="JL36" s="3">
        <v>1849</v>
      </c>
      <c r="JM36" s="3">
        <v>1553</v>
      </c>
      <c r="JN36" s="3">
        <v>2516</v>
      </c>
      <c r="JO36" s="3">
        <v>1995</v>
      </c>
      <c r="JP36" s="3">
        <v>2759</v>
      </c>
      <c r="JQ36" s="3">
        <v>2365</v>
      </c>
      <c r="JR36" s="3">
        <v>1560</v>
      </c>
      <c r="JS36" s="3">
        <v>1594</v>
      </c>
      <c r="JT36" s="3">
        <v>2951</v>
      </c>
      <c r="JU36" s="3">
        <v>3157</v>
      </c>
      <c r="JV36" s="3">
        <v>3933</v>
      </c>
      <c r="JW36" s="3">
        <v>3420</v>
      </c>
      <c r="JX36" s="3">
        <v>1772</v>
      </c>
      <c r="JY36" s="3">
        <v>1552</v>
      </c>
      <c r="JZ36" s="3">
        <v>3032</v>
      </c>
      <c r="KA36" s="3">
        <v>2786</v>
      </c>
      <c r="KB36" s="3">
        <v>3702</v>
      </c>
      <c r="KC36" s="3">
        <v>3250</v>
      </c>
      <c r="KD36" s="3">
        <v>289</v>
      </c>
      <c r="KE36" s="3">
        <v>368</v>
      </c>
      <c r="KF36" s="3">
        <v>485</v>
      </c>
      <c r="KG36" s="3">
        <v>459</v>
      </c>
      <c r="KH36" s="3">
        <v>677</v>
      </c>
      <c r="KI36" s="3">
        <v>623</v>
      </c>
      <c r="KJ36" s="3">
        <v>810</v>
      </c>
      <c r="KK36" s="3">
        <v>862</v>
      </c>
      <c r="KL36" s="3">
        <v>1211</v>
      </c>
      <c r="KM36" s="3">
        <v>1021</v>
      </c>
      <c r="KN36" s="3">
        <v>1112</v>
      </c>
      <c r="KO36" s="3">
        <v>1291</v>
      </c>
      <c r="KP36" s="3">
        <v>440</v>
      </c>
      <c r="KQ36" s="3">
        <v>522</v>
      </c>
      <c r="KR36" s="3">
        <v>786</v>
      </c>
      <c r="KS36" s="3">
        <v>912</v>
      </c>
      <c r="KT36" s="3">
        <v>1192</v>
      </c>
      <c r="KU36" s="3">
        <v>1225</v>
      </c>
      <c r="KV36" s="3">
        <v>1011</v>
      </c>
      <c r="KW36" s="3">
        <v>998</v>
      </c>
      <c r="KX36" s="3">
        <v>1253</v>
      </c>
      <c r="KY36" s="3">
        <v>1049</v>
      </c>
      <c r="KZ36" s="3">
        <v>1395</v>
      </c>
      <c r="LA36" s="3">
        <v>1008</v>
      </c>
      <c r="LB36" s="3">
        <v>850</v>
      </c>
      <c r="LC36" s="3">
        <v>967</v>
      </c>
      <c r="LD36" s="3">
        <v>1536</v>
      </c>
      <c r="LE36" s="3">
        <v>1192</v>
      </c>
      <c r="LF36" s="3">
        <v>1617</v>
      </c>
      <c r="LG36" s="3">
        <v>1499</v>
      </c>
      <c r="LH36" s="3">
        <v>1074</v>
      </c>
      <c r="LI36" s="3">
        <v>848</v>
      </c>
      <c r="LJ36" s="3">
        <v>1343</v>
      </c>
      <c r="LK36" s="3">
        <v>1281</v>
      </c>
      <c r="LL36" s="3">
        <v>1773</v>
      </c>
      <c r="LM36" s="3">
        <v>1768</v>
      </c>
      <c r="LN36" s="3">
        <v>579</v>
      </c>
      <c r="LO36" s="3">
        <v>711</v>
      </c>
      <c r="LP36" s="3">
        <v>1000</v>
      </c>
      <c r="LQ36" s="3">
        <v>980</v>
      </c>
      <c r="LR36" s="3">
        <v>1195</v>
      </c>
      <c r="LS36" s="3">
        <v>1104</v>
      </c>
      <c r="LT36" s="3">
        <v>1422</v>
      </c>
      <c r="LU36" s="3">
        <v>1156</v>
      </c>
      <c r="LV36" s="3">
        <v>2309</v>
      </c>
      <c r="LW36" s="3">
        <v>1946</v>
      </c>
      <c r="LX36" s="3">
        <v>2240</v>
      </c>
      <c r="LY36" s="3">
        <v>2080</v>
      </c>
      <c r="LZ36" s="3">
        <v>1146</v>
      </c>
      <c r="MA36" s="3">
        <v>1552</v>
      </c>
      <c r="MB36" s="3">
        <v>2103</v>
      </c>
      <c r="MC36" s="3">
        <v>2080</v>
      </c>
      <c r="MD36" s="3">
        <v>2172</v>
      </c>
      <c r="ME36" s="3">
        <v>2499</v>
      </c>
      <c r="MF36" s="3">
        <v>1929</v>
      </c>
      <c r="MG36" s="3">
        <v>1385</v>
      </c>
      <c r="MH36" s="3">
        <v>2320</v>
      </c>
      <c r="MI36" s="3">
        <v>2416</v>
      </c>
      <c r="MJ36" s="3">
        <v>2578</v>
      </c>
      <c r="MK36" s="3">
        <v>2657</v>
      </c>
      <c r="ML36" s="3">
        <v>1831</v>
      </c>
      <c r="MM36" s="3">
        <v>2002</v>
      </c>
      <c r="MN36" s="3">
        <v>3022</v>
      </c>
      <c r="MO36" s="3">
        <v>2767</v>
      </c>
      <c r="MP36" s="3">
        <v>3811</v>
      </c>
      <c r="MQ36" s="3">
        <v>4104</v>
      </c>
      <c r="MR36" s="3">
        <v>2071</v>
      </c>
      <c r="MS36" s="3">
        <v>1719</v>
      </c>
      <c r="MT36" s="3">
        <v>2849</v>
      </c>
      <c r="MU36" s="3">
        <v>2753</v>
      </c>
      <c r="MV36" s="3">
        <v>3906</v>
      </c>
      <c r="MW36" s="3">
        <v>3463</v>
      </c>
    </row>
    <row r="37" spans="1:361" x14ac:dyDescent="0.3">
      <c r="A37" s="3">
        <v>26</v>
      </c>
      <c r="B37" s="3">
        <v>440</v>
      </c>
      <c r="C37" s="3">
        <v>283</v>
      </c>
      <c r="D37" s="3">
        <v>473</v>
      </c>
      <c r="E37" s="3">
        <v>463</v>
      </c>
      <c r="F37" s="3">
        <v>591</v>
      </c>
      <c r="G37" s="3">
        <v>534</v>
      </c>
      <c r="H37" s="3">
        <v>1006</v>
      </c>
      <c r="I37" s="3">
        <v>973</v>
      </c>
      <c r="J37" s="3">
        <v>1067</v>
      </c>
      <c r="K37" s="3">
        <v>800</v>
      </c>
      <c r="L37" s="3">
        <v>1429</v>
      </c>
      <c r="M37" s="3">
        <v>900</v>
      </c>
      <c r="N37" s="3">
        <v>553</v>
      </c>
      <c r="O37" s="3">
        <v>487</v>
      </c>
      <c r="P37" s="3">
        <v>1040</v>
      </c>
      <c r="Q37" s="3">
        <v>1014</v>
      </c>
      <c r="R37" s="3">
        <v>1040</v>
      </c>
      <c r="S37" s="3">
        <v>907</v>
      </c>
      <c r="T37" s="3">
        <v>820</v>
      </c>
      <c r="U37" s="3">
        <v>904</v>
      </c>
      <c r="V37" s="3">
        <v>1035</v>
      </c>
      <c r="W37" s="3">
        <v>1110</v>
      </c>
      <c r="X37" s="3">
        <v>1302</v>
      </c>
      <c r="Y37" s="3">
        <v>999</v>
      </c>
      <c r="Z37" s="3">
        <v>1056</v>
      </c>
      <c r="AA37" s="3">
        <v>913</v>
      </c>
      <c r="AB37" s="3">
        <v>1179</v>
      </c>
      <c r="AC37" s="3">
        <v>1337</v>
      </c>
      <c r="AD37" s="3">
        <v>1842</v>
      </c>
      <c r="AE37" s="3">
        <v>1841</v>
      </c>
      <c r="AF37" s="3">
        <v>1080</v>
      </c>
      <c r="AG37" s="3">
        <v>1123</v>
      </c>
      <c r="AH37" s="3">
        <v>1847</v>
      </c>
      <c r="AI37" s="3">
        <v>1128</v>
      </c>
      <c r="AJ37" s="3">
        <v>2015</v>
      </c>
      <c r="AK37" s="3">
        <v>1321</v>
      </c>
      <c r="AL37" s="3">
        <v>741</v>
      </c>
      <c r="AM37" s="3">
        <v>665</v>
      </c>
      <c r="AN37" s="3">
        <v>1110</v>
      </c>
      <c r="AO37" s="3">
        <v>839</v>
      </c>
      <c r="AP37" s="3">
        <v>1375</v>
      </c>
      <c r="AQ37" s="3">
        <v>1288</v>
      </c>
      <c r="AR37" s="3">
        <v>2007</v>
      </c>
      <c r="AS37" s="3">
        <v>1538</v>
      </c>
      <c r="AT37" s="3">
        <v>2226</v>
      </c>
      <c r="AU37" s="3">
        <v>1704</v>
      </c>
      <c r="AV37" s="3">
        <v>2356</v>
      </c>
      <c r="AW37" s="3">
        <v>2211</v>
      </c>
      <c r="AX37" s="3">
        <v>1153</v>
      </c>
      <c r="AY37" s="3">
        <v>1469</v>
      </c>
      <c r="AZ37" s="3">
        <v>1746</v>
      </c>
      <c r="BA37" s="3">
        <v>1997</v>
      </c>
      <c r="BB37" s="3">
        <v>2703</v>
      </c>
      <c r="BC37" s="3">
        <v>2239</v>
      </c>
      <c r="BD37" s="3">
        <v>1743</v>
      </c>
      <c r="BE37" s="3">
        <v>1459</v>
      </c>
      <c r="BF37" s="3">
        <v>2516</v>
      </c>
      <c r="BG37" s="3">
        <v>2038</v>
      </c>
      <c r="BH37" s="3">
        <v>2592</v>
      </c>
      <c r="BI37" s="3">
        <v>2505</v>
      </c>
      <c r="BJ37" s="3">
        <v>1571</v>
      </c>
      <c r="BK37" s="3">
        <v>1985</v>
      </c>
      <c r="BL37" s="3">
        <v>2853</v>
      </c>
      <c r="BM37" s="3">
        <v>2294</v>
      </c>
      <c r="BN37" s="3">
        <v>3866</v>
      </c>
      <c r="BO37" s="3">
        <v>3458</v>
      </c>
      <c r="BP37" s="3">
        <v>2061</v>
      </c>
      <c r="BQ37" s="3">
        <v>1388</v>
      </c>
      <c r="BR37" s="3">
        <v>2719</v>
      </c>
      <c r="BS37" s="3">
        <v>2661</v>
      </c>
      <c r="BT37" s="3">
        <v>3433</v>
      </c>
      <c r="BU37" s="3">
        <v>3049</v>
      </c>
      <c r="BV37" s="3">
        <v>381</v>
      </c>
      <c r="BW37" s="3">
        <v>261</v>
      </c>
      <c r="BX37" s="3">
        <v>413</v>
      </c>
      <c r="BY37" s="3">
        <v>433</v>
      </c>
      <c r="BZ37" s="3">
        <v>596</v>
      </c>
      <c r="CA37" s="3">
        <v>573</v>
      </c>
      <c r="CB37" s="3">
        <v>553</v>
      </c>
      <c r="CC37" s="3">
        <v>682</v>
      </c>
      <c r="CD37" s="3">
        <v>1122</v>
      </c>
      <c r="CE37" s="3">
        <v>1098</v>
      </c>
      <c r="CF37" s="3">
        <v>915</v>
      </c>
      <c r="CG37" s="3">
        <v>1027</v>
      </c>
      <c r="CH37" s="3">
        <v>656</v>
      </c>
      <c r="CI37" s="3">
        <v>576</v>
      </c>
      <c r="CJ37" s="3">
        <v>1137</v>
      </c>
      <c r="CK37" s="3">
        <v>971</v>
      </c>
      <c r="CL37" s="3">
        <v>1120</v>
      </c>
      <c r="CM37" s="3">
        <v>900</v>
      </c>
      <c r="CN37" s="3">
        <v>750</v>
      </c>
      <c r="CO37" s="3">
        <v>785</v>
      </c>
      <c r="CP37" s="3">
        <v>1107</v>
      </c>
      <c r="CQ37" s="3">
        <v>1098</v>
      </c>
      <c r="CR37" s="3">
        <v>1421</v>
      </c>
      <c r="CS37" s="3">
        <v>1129</v>
      </c>
      <c r="CT37" s="3">
        <v>1032</v>
      </c>
      <c r="CU37" s="3">
        <v>838</v>
      </c>
      <c r="CV37" s="3">
        <v>1262</v>
      </c>
      <c r="CW37" s="3">
        <v>1125</v>
      </c>
      <c r="CX37" s="3">
        <v>1323</v>
      </c>
      <c r="CY37" s="3">
        <v>1511</v>
      </c>
      <c r="CZ37" s="3">
        <v>1175</v>
      </c>
      <c r="DA37" s="3">
        <v>865</v>
      </c>
      <c r="DB37" s="3">
        <v>1641</v>
      </c>
      <c r="DC37" s="3">
        <v>1321</v>
      </c>
      <c r="DD37" s="3">
        <v>1754</v>
      </c>
      <c r="DE37" s="3">
        <v>1422</v>
      </c>
      <c r="DF37" s="3">
        <v>700</v>
      </c>
      <c r="DG37" s="3">
        <v>646</v>
      </c>
      <c r="DH37" s="3">
        <v>1000</v>
      </c>
      <c r="DI37" s="3">
        <v>1088</v>
      </c>
      <c r="DJ37" s="3">
        <v>1277</v>
      </c>
      <c r="DK37" s="3">
        <v>1290</v>
      </c>
      <c r="DL37" s="3">
        <v>2037</v>
      </c>
      <c r="DM37" s="3">
        <v>1480</v>
      </c>
      <c r="DN37" s="3">
        <v>1939</v>
      </c>
      <c r="DO37" s="3">
        <v>1766</v>
      </c>
      <c r="DP37" s="3">
        <v>2670</v>
      </c>
      <c r="DQ37" s="3">
        <v>2006</v>
      </c>
      <c r="DR37" s="3">
        <v>1214</v>
      </c>
      <c r="DS37" s="3">
        <v>1150</v>
      </c>
      <c r="DT37" s="3">
        <v>1832</v>
      </c>
      <c r="DU37" s="3">
        <v>2071</v>
      </c>
      <c r="DV37" s="3">
        <v>2250</v>
      </c>
      <c r="DW37" s="3">
        <v>2458</v>
      </c>
      <c r="DX37" s="3">
        <v>1797</v>
      </c>
      <c r="DY37" s="3">
        <v>1635</v>
      </c>
      <c r="DZ37" s="3">
        <v>2283</v>
      </c>
      <c r="EA37" s="3">
        <v>1869</v>
      </c>
      <c r="EB37" s="3">
        <v>2801</v>
      </c>
      <c r="EC37" s="3">
        <v>2489</v>
      </c>
      <c r="ED37" s="3">
        <v>1485</v>
      </c>
      <c r="EE37" s="3">
        <v>1625</v>
      </c>
      <c r="EF37" s="3">
        <v>3004</v>
      </c>
      <c r="EG37" s="3">
        <v>2772</v>
      </c>
      <c r="EH37" s="3">
        <v>3845</v>
      </c>
      <c r="EI37" s="3">
        <v>3737</v>
      </c>
      <c r="EJ37" s="3">
        <v>2227</v>
      </c>
      <c r="EK37" s="3">
        <v>1538</v>
      </c>
      <c r="EL37" s="3">
        <v>3387</v>
      </c>
      <c r="EM37" s="3">
        <v>2580</v>
      </c>
      <c r="EN37" s="3">
        <v>3843</v>
      </c>
      <c r="EO37" s="3">
        <v>3288</v>
      </c>
      <c r="EP37" s="3">
        <v>441</v>
      </c>
      <c r="EQ37" s="3">
        <v>304</v>
      </c>
      <c r="ER37" s="3">
        <v>585</v>
      </c>
      <c r="ES37" s="3">
        <v>471</v>
      </c>
      <c r="ET37" s="3">
        <v>640</v>
      </c>
      <c r="EU37" s="3">
        <v>694</v>
      </c>
      <c r="EV37" s="3">
        <v>784</v>
      </c>
      <c r="EW37" s="3">
        <v>952</v>
      </c>
      <c r="EX37" s="3">
        <v>1171</v>
      </c>
      <c r="EY37" s="3">
        <v>826</v>
      </c>
      <c r="EZ37" s="3">
        <v>1061</v>
      </c>
      <c r="FA37" s="3">
        <v>1256</v>
      </c>
      <c r="FB37" s="3">
        <v>373</v>
      </c>
      <c r="FC37" s="3">
        <v>470</v>
      </c>
      <c r="FD37" s="3">
        <v>772</v>
      </c>
      <c r="FE37" s="3">
        <v>1101</v>
      </c>
      <c r="FF37" s="3">
        <v>1179</v>
      </c>
      <c r="FG37" s="3">
        <v>1094</v>
      </c>
      <c r="FH37" s="3">
        <v>614</v>
      </c>
      <c r="FI37" s="3">
        <v>648</v>
      </c>
      <c r="FJ37" s="3">
        <v>1084</v>
      </c>
      <c r="FK37" s="3">
        <v>921</v>
      </c>
      <c r="FL37" s="3">
        <v>1224</v>
      </c>
      <c r="FM37" s="3">
        <v>1246</v>
      </c>
      <c r="FN37" s="3">
        <v>832</v>
      </c>
      <c r="FO37" s="3">
        <v>563</v>
      </c>
      <c r="FP37" s="3">
        <v>1522</v>
      </c>
      <c r="FQ37" s="3">
        <v>1332</v>
      </c>
      <c r="FR37" s="3">
        <v>1810</v>
      </c>
      <c r="FS37" s="3">
        <v>1559</v>
      </c>
      <c r="FT37" s="3">
        <v>1012</v>
      </c>
      <c r="FU37" s="3">
        <v>805</v>
      </c>
      <c r="FV37" s="3">
        <v>1331</v>
      </c>
      <c r="FW37" s="3">
        <v>1268</v>
      </c>
      <c r="FX37" s="3">
        <v>1618</v>
      </c>
      <c r="FY37" s="3">
        <v>1567</v>
      </c>
      <c r="FZ37" s="3">
        <v>561</v>
      </c>
      <c r="GA37" s="3">
        <v>679</v>
      </c>
      <c r="GB37" s="3">
        <v>1165</v>
      </c>
      <c r="GC37" s="3">
        <v>872</v>
      </c>
      <c r="GD37" s="3">
        <v>1342</v>
      </c>
      <c r="GE37" s="3">
        <v>1316</v>
      </c>
      <c r="GF37" s="3">
        <v>1587</v>
      </c>
      <c r="GG37" s="3">
        <v>1278</v>
      </c>
      <c r="GH37" s="3">
        <v>2105</v>
      </c>
      <c r="GI37" s="3">
        <v>1832</v>
      </c>
      <c r="GJ37" s="3">
        <v>2551</v>
      </c>
      <c r="GK37" s="3">
        <v>2178</v>
      </c>
      <c r="GL37" s="3">
        <v>1202</v>
      </c>
      <c r="GM37" s="3">
        <v>1281</v>
      </c>
      <c r="GN37" s="3">
        <v>2095</v>
      </c>
      <c r="GO37" s="3">
        <v>1967</v>
      </c>
      <c r="GP37" s="3">
        <v>2662</v>
      </c>
      <c r="GQ37" s="3">
        <v>2551</v>
      </c>
      <c r="GR37" s="3">
        <v>1961</v>
      </c>
      <c r="GS37" s="3">
        <v>1570</v>
      </c>
      <c r="GT37" s="3">
        <v>2258</v>
      </c>
      <c r="GU37" s="3">
        <v>2013</v>
      </c>
      <c r="GV37" s="3">
        <v>2892</v>
      </c>
      <c r="GW37" s="3">
        <v>2293</v>
      </c>
      <c r="GX37" s="3">
        <v>1753</v>
      </c>
      <c r="GY37" s="3">
        <v>1741</v>
      </c>
      <c r="GZ37" s="3">
        <v>3097</v>
      </c>
      <c r="HA37" s="3">
        <v>2894</v>
      </c>
      <c r="HB37" s="3">
        <v>3544</v>
      </c>
      <c r="HC37" s="3">
        <v>3864</v>
      </c>
      <c r="HD37" s="3">
        <v>2021</v>
      </c>
      <c r="HE37" s="3">
        <v>1763</v>
      </c>
      <c r="HF37" s="3">
        <v>3147</v>
      </c>
      <c r="HG37" s="3">
        <v>2848</v>
      </c>
      <c r="HH37" s="3">
        <v>3981</v>
      </c>
      <c r="HI37" s="3">
        <v>3413</v>
      </c>
      <c r="HJ37" s="3">
        <v>218</v>
      </c>
      <c r="HK37" s="3">
        <v>341</v>
      </c>
      <c r="HL37" s="3">
        <v>464</v>
      </c>
      <c r="HM37" s="3">
        <v>544</v>
      </c>
      <c r="HN37" s="3">
        <v>671</v>
      </c>
      <c r="HO37" s="3">
        <v>607</v>
      </c>
      <c r="HP37" s="3">
        <v>664</v>
      </c>
      <c r="HQ37" s="3">
        <v>740</v>
      </c>
      <c r="HR37" s="3">
        <v>1154</v>
      </c>
      <c r="HS37" s="3">
        <v>1027</v>
      </c>
      <c r="HT37" s="3">
        <v>1242</v>
      </c>
      <c r="HU37" s="3">
        <v>927</v>
      </c>
      <c r="HV37" s="3">
        <v>726</v>
      </c>
      <c r="HW37" s="3">
        <v>663</v>
      </c>
      <c r="HX37" s="3">
        <v>999</v>
      </c>
      <c r="HY37" s="3">
        <v>853</v>
      </c>
      <c r="HZ37" s="3">
        <v>693</v>
      </c>
      <c r="IA37" s="3">
        <v>1445</v>
      </c>
      <c r="IB37" s="3">
        <v>1183</v>
      </c>
      <c r="IC37" s="3">
        <v>948</v>
      </c>
      <c r="ID37" s="3">
        <v>1276</v>
      </c>
      <c r="IE37" s="3">
        <v>841</v>
      </c>
      <c r="IF37" s="3">
        <v>1389</v>
      </c>
      <c r="IG37" s="3">
        <v>1127</v>
      </c>
      <c r="IH37" s="3">
        <v>945</v>
      </c>
      <c r="II37" s="3">
        <v>888</v>
      </c>
      <c r="IJ37" s="3">
        <v>1277</v>
      </c>
      <c r="IK37" s="3">
        <v>1443</v>
      </c>
      <c r="IL37" s="3">
        <v>1787</v>
      </c>
      <c r="IM37" s="3">
        <v>1920</v>
      </c>
      <c r="IN37" s="3">
        <v>1159</v>
      </c>
      <c r="IO37" s="3">
        <v>932</v>
      </c>
      <c r="IP37" s="3">
        <v>1733</v>
      </c>
      <c r="IQ37" s="3">
        <v>1227</v>
      </c>
      <c r="IR37" s="3">
        <v>1737</v>
      </c>
      <c r="IS37" s="3">
        <v>1677</v>
      </c>
      <c r="IT37" s="3">
        <v>719</v>
      </c>
      <c r="IU37" s="3">
        <v>571</v>
      </c>
      <c r="IV37" s="3">
        <v>893</v>
      </c>
      <c r="IW37" s="3">
        <v>860</v>
      </c>
      <c r="IX37" s="3">
        <v>1257</v>
      </c>
      <c r="IY37" s="3">
        <v>1399</v>
      </c>
      <c r="IZ37" s="3">
        <v>1969</v>
      </c>
      <c r="JA37" s="3">
        <v>1200</v>
      </c>
      <c r="JB37" s="3">
        <v>1995</v>
      </c>
      <c r="JC37" s="3">
        <v>1756</v>
      </c>
      <c r="JD37" s="3">
        <v>2019</v>
      </c>
      <c r="JE37" s="3">
        <v>2029</v>
      </c>
      <c r="JF37" s="3">
        <v>1164</v>
      </c>
      <c r="JG37" s="3">
        <v>1181</v>
      </c>
      <c r="JH37" s="3">
        <v>2235</v>
      </c>
      <c r="JI37" s="3">
        <v>1875</v>
      </c>
      <c r="JJ37" s="3">
        <v>2630</v>
      </c>
      <c r="JK37" s="3">
        <v>2309</v>
      </c>
      <c r="JL37" s="3">
        <v>1849</v>
      </c>
      <c r="JM37" s="3">
        <v>1553</v>
      </c>
      <c r="JN37" s="3">
        <v>2516</v>
      </c>
      <c r="JO37" s="3">
        <v>1997</v>
      </c>
      <c r="JP37" s="3">
        <v>2785</v>
      </c>
      <c r="JQ37" s="3">
        <v>2335</v>
      </c>
      <c r="JR37" s="3">
        <v>1560</v>
      </c>
      <c r="JS37" s="3">
        <v>1589</v>
      </c>
      <c r="JT37" s="3">
        <v>2953</v>
      </c>
      <c r="JU37" s="3">
        <v>3157</v>
      </c>
      <c r="JV37" s="3">
        <v>3935</v>
      </c>
      <c r="JW37" s="3">
        <v>3420</v>
      </c>
      <c r="JX37" s="3">
        <v>1771</v>
      </c>
      <c r="JY37" s="3">
        <v>1560</v>
      </c>
      <c r="JZ37" s="3">
        <v>3036</v>
      </c>
      <c r="KA37" s="3">
        <v>2776</v>
      </c>
      <c r="KB37" s="3">
        <v>3707</v>
      </c>
      <c r="KC37" s="3">
        <v>3269</v>
      </c>
      <c r="KD37" s="3">
        <v>289</v>
      </c>
      <c r="KE37" s="3">
        <v>368</v>
      </c>
      <c r="KF37" s="3">
        <v>485</v>
      </c>
      <c r="KG37" s="3">
        <v>460</v>
      </c>
      <c r="KH37" s="3">
        <v>677</v>
      </c>
      <c r="KI37" s="3">
        <v>627</v>
      </c>
      <c r="KJ37" s="3">
        <v>810</v>
      </c>
      <c r="KK37" s="3">
        <v>862</v>
      </c>
      <c r="KL37" s="3">
        <v>1211</v>
      </c>
      <c r="KM37" s="3">
        <v>1021</v>
      </c>
      <c r="KN37" s="3">
        <v>1112</v>
      </c>
      <c r="KO37" s="3">
        <v>1291</v>
      </c>
      <c r="KP37" s="3">
        <v>440</v>
      </c>
      <c r="KQ37" s="3">
        <v>522</v>
      </c>
      <c r="KR37" s="3">
        <v>786</v>
      </c>
      <c r="KS37" s="3">
        <v>908</v>
      </c>
      <c r="KT37" s="3">
        <v>1192</v>
      </c>
      <c r="KU37" s="3">
        <v>1225</v>
      </c>
      <c r="KV37" s="3">
        <v>1011</v>
      </c>
      <c r="KW37" s="3">
        <v>998</v>
      </c>
      <c r="KX37" s="3">
        <v>1253</v>
      </c>
      <c r="KY37" s="3">
        <v>1049</v>
      </c>
      <c r="KZ37" s="3">
        <v>1395</v>
      </c>
      <c r="LA37" s="3">
        <v>1012</v>
      </c>
      <c r="LB37" s="3">
        <v>850</v>
      </c>
      <c r="LC37" s="3">
        <v>967</v>
      </c>
      <c r="LD37" s="3">
        <v>1536</v>
      </c>
      <c r="LE37" s="3">
        <v>1198</v>
      </c>
      <c r="LF37" s="3">
        <v>1617</v>
      </c>
      <c r="LG37" s="3">
        <v>1499</v>
      </c>
      <c r="LH37" s="3">
        <v>1074</v>
      </c>
      <c r="LI37" s="3">
        <v>848</v>
      </c>
      <c r="LJ37" s="3">
        <v>1341</v>
      </c>
      <c r="LK37" s="3">
        <v>1285</v>
      </c>
      <c r="LL37" s="3">
        <v>1775</v>
      </c>
      <c r="LM37" s="3">
        <v>1769</v>
      </c>
      <c r="LN37" s="3">
        <v>579</v>
      </c>
      <c r="LO37" s="3">
        <v>711</v>
      </c>
      <c r="LP37" s="3">
        <v>1002</v>
      </c>
      <c r="LQ37" s="3">
        <v>979</v>
      </c>
      <c r="LR37" s="3">
        <v>1199</v>
      </c>
      <c r="LS37" s="3">
        <v>1116</v>
      </c>
      <c r="LT37" s="3">
        <v>1422</v>
      </c>
      <c r="LU37" s="3">
        <v>1156</v>
      </c>
      <c r="LV37" s="3">
        <v>2309</v>
      </c>
      <c r="LW37" s="3">
        <v>1946</v>
      </c>
      <c r="LX37" s="3">
        <v>2240</v>
      </c>
      <c r="LY37" s="3">
        <v>2080</v>
      </c>
      <c r="LZ37" s="3">
        <v>1147</v>
      </c>
      <c r="MA37" s="3">
        <v>1552</v>
      </c>
      <c r="MB37" s="3">
        <v>2103</v>
      </c>
      <c r="MC37" s="3">
        <v>2080</v>
      </c>
      <c r="MD37" s="3">
        <v>2167</v>
      </c>
      <c r="ME37" s="3">
        <v>2499</v>
      </c>
      <c r="MF37" s="3">
        <v>1929</v>
      </c>
      <c r="MG37" s="3">
        <v>1385</v>
      </c>
      <c r="MH37" s="3">
        <v>2322</v>
      </c>
      <c r="MI37" s="3">
        <v>2416</v>
      </c>
      <c r="MJ37" s="3">
        <v>2585</v>
      </c>
      <c r="MK37" s="3">
        <v>2630</v>
      </c>
      <c r="ML37" s="3">
        <v>1833</v>
      </c>
      <c r="MM37" s="3">
        <v>2002</v>
      </c>
      <c r="MN37" s="3">
        <v>3022</v>
      </c>
      <c r="MO37" s="3">
        <v>2769</v>
      </c>
      <c r="MP37" s="3">
        <v>3811</v>
      </c>
      <c r="MQ37" s="3">
        <v>4104</v>
      </c>
      <c r="MR37" s="3">
        <v>2072</v>
      </c>
      <c r="MS37" s="3">
        <v>1719</v>
      </c>
      <c r="MT37" s="3">
        <v>2851</v>
      </c>
      <c r="MU37" s="3">
        <v>2750</v>
      </c>
      <c r="MV37" s="3">
        <v>3907</v>
      </c>
      <c r="MW37" s="3">
        <v>3460</v>
      </c>
    </row>
    <row r="38" spans="1:361" x14ac:dyDescent="0.3">
      <c r="A38" s="3">
        <v>27</v>
      </c>
      <c r="B38" s="3">
        <v>440</v>
      </c>
      <c r="C38" s="3">
        <v>283</v>
      </c>
      <c r="D38" s="3">
        <v>473</v>
      </c>
      <c r="E38" s="3">
        <v>464</v>
      </c>
      <c r="F38" s="3">
        <v>591</v>
      </c>
      <c r="G38" s="3">
        <v>534</v>
      </c>
      <c r="H38" s="3">
        <v>1006</v>
      </c>
      <c r="I38" s="3">
        <v>973</v>
      </c>
      <c r="J38" s="3">
        <v>1067</v>
      </c>
      <c r="K38" s="3">
        <v>800</v>
      </c>
      <c r="L38" s="3">
        <v>1429</v>
      </c>
      <c r="M38" s="3">
        <v>900</v>
      </c>
      <c r="N38" s="3">
        <v>553</v>
      </c>
      <c r="O38" s="3">
        <v>487</v>
      </c>
      <c r="P38" s="3">
        <v>1043</v>
      </c>
      <c r="Q38" s="3">
        <v>1014</v>
      </c>
      <c r="R38" s="3">
        <v>1042</v>
      </c>
      <c r="S38" s="3">
        <v>909</v>
      </c>
      <c r="T38" s="3">
        <v>820</v>
      </c>
      <c r="U38" s="3">
        <v>904</v>
      </c>
      <c r="V38" s="3">
        <v>1035</v>
      </c>
      <c r="W38" s="3">
        <v>1110</v>
      </c>
      <c r="X38" s="3">
        <v>1295</v>
      </c>
      <c r="Y38" s="3">
        <v>1016</v>
      </c>
      <c r="Z38" s="3">
        <v>1056</v>
      </c>
      <c r="AA38" s="3">
        <v>913</v>
      </c>
      <c r="AB38" s="3">
        <v>1180</v>
      </c>
      <c r="AC38" s="3">
        <v>1349</v>
      </c>
      <c r="AD38" s="3">
        <v>1844</v>
      </c>
      <c r="AE38" s="3">
        <v>1841</v>
      </c>
      <c r="AF38" s="3">
        <v>1080</v>
      </c>
      <c r="AG38" s="3">
        <v>1123</v>
      </c>
      <c r="AH38" s="3">
        <v>1853</v>
      </c>
      <c r="AI38" s="3">
        <v>1138</v>
      </c>
      <c r="AJ38" s="3">
        <v>2016</v>
      </c>
      <c r="AK38" s="3">
        <v>1325</v>
      </c>
      <c r="AL38" s="3">
        <v>741</v>
      </c>
      <c r="AM38" s="3">
        <v>665</v>
      </c>
      <c r="AN38" s="3">
        <v>1109</v>
      </c>
      <c r="AO38" s="3">
        <v>839</v>
      </c>
      <c r="AP38" s="3">
        <v>1376</v>
      </c>
      <c r="AQ38" s="3">
        <v>1288</v>
      </c>
      <c r="AR38" s="3">
        <v>2007</v>
      </c>
      <c r="AS38" s="3">
        <v>1538</v>
      </c>
      <c r="AT38" s="3">
        <v>2226</v>
      </c>
      <c r="AU38" s="3">
        <v>1704</v>
      </c>
      <c r="AV38" s="3">
        <v>2356</v>
      </c>
      <c r="AW38" s="3">
        <v>2211</v>
      </c>
      <c r="AX38" s="3">
        <v>1153</v>
      </c>
      <c r="AY38" s="3">
        <v>1464</v>
      </c>
      <c r="AZ38" s="3">
        <v>1751</v>
      </c>
      <c r="BA38" s="3">
        <v>1997</v>
      </c>
      <c r="BB38" s="3">
        <v>2708</v>
      </c>
      <c r="BC38" s="3">
        <v>2223</v>
      </c>
      <c r="BD38" s="3">
        <v>1743</v>
      </c>
      <c r="BE38" s="3">
        <v>1459</v>
      </c>
      <c r="BF38" s="3">
        <v>2516</v>
      </c>
      <c r="BG38" s="3">
        <v>2038</v>
      </c>
      <c r="BH38" s="3">
        <v>2593</v>
      </c>
      <c r="BI38" s="3">
        <v>2508</v>
      </c>
      <c r="BJ38" s="3">
        <v>1573</v>
      </c>
      <c r="BK38" s="3">
        <v>1989</v>
      </c>
      <c r="BL38" s="3">
        <v>2853</v>
      </c>
      <c r="BM38" s="3">
        <v>2285</v>
      </c>
      <c r="BN38" s="3">
        <v>3864</v>
      </c>
      <c r="BO38" s="3">
        <v>3455</v>
      </c>
      <c r="BP38" s="3">
        <v>2058</v>
      </c>
      <c r="BQ38" s="3">
        <v>1388</v>
      </c>
      <c r="BR38" s="3">
        <v>2715</v>
      </c>
      <c r="BS38" s="3">
        <v>2672</v>
      </c>
      <c r="BT38" s="3">
        <v>3425</v>
      </c>
      <c r="BU38" s="3">
        <v>3063</v>
      </c>
      <c r="BV38" s="3">
        <v>381</v>
      </c>
      <c r="BW38" s="3">
        <v>261</v>
      </c>
      <c r="BX38" s="3">
        <v>413</v>
      </c>
      <c r="BY38" s="3">
        <v>434</v>
      </c>
      <c r="BZ38" s="3">
        <v>597</v>
      </c>
      <c r="CA38" s="3">
        <v>573</v>
      </c>
      <c r="CB38" s="3">
        <v>553</v>
      </c>
      <c r="CC38" s="3">
        <v>682</v>
      </c>
      <c r="CD38" s="3">
        <v>1122</v>
      </c>
      <c r="CE38" s="3">
        <v>1098</v>
      </c>
      <c r="CF38" s="3">
        <v>915</v>
      </c>
      <c r="CG38" s="3">
        <v>1027</v>
      </c>
      <c r="CH38" s="3">
        <v>656</v>
      </c>
      <c r="CI38" s="3">
        <v>576</v>
      </c>
      <c r="CJ38" s="3">
        <v>1137</v>
      </c>
      <c r="CK38" s="3">
        <v>981</v>
      </c>
      <c r="CL38" s="3">
        <v>1120</v>
      </c>
      <c r="CM38" s="3">
        <v>900</v>
      </c>
      <c r="CN38" s="3">
        <v>750</v>
      </c>
      <c r="CO38" s="3">
        <v>785</v>
      </c>
      <c r="CP38" s="3">
        <v>1108</v>
      </c>
      <c r="CQ38" s="3">
        <v>1098</v>
      </c>
      <c r="CR38" s="3">
        <v>1428</v>
      </c>
      <c r="CS38" s="3">
        <v>1136</v>
      </c>
      <c r="CT38" s="3">
        <v>1032</v>
      </c>
      <c r="CU38" s="3">
        <v>838</v>
      </c>
      <c r="CV38" s="3">
        <v>1262</v>
      </c>
      <c r="CW38" s="3">
        <v>1125</v>
      </c>
      <c r="CX38" s="3">
        <v>1323</v>
      </c>
      <c r="CY38" s="3">
        <v>1511</v>
      </c>
      <c r="CZ38" s="3">
        <v>1175</v>
      </c>
      <c r="DA38" s="3">
        <v>865</v>
      </c>
      <c r="DB38" s="3">
        <v>1640</v>
      </c>
      <c r="DC38" s="3">
        <v>1328</v>
      </c>
      <c r="DD38" s="3">
        <v>1754</v>
      </c>
      <c r="DE38" s="3">
        <v>1420</v>
      </c>
      <c r="DF38" s="3">
        <v>700</v>
      </c>
      <c r="DG38" s="3">
        <v>644</v>
      </c>
      <c r="DH38" s="3">
        <v>1000</v>
      </c>
      <c r="DI38" s="3">
        <v>1093</v>
      </c>
      <c r="DJ38" s="3">
        <v>1277</v>
      </c>
      <c r="DK38" s="3">
        <v>1293</v>
      </c>
      <c r="DL38" s="3">
        <v>2037</v>
      </c>
      <c r="DM38" s="3">
        <v>1480</v>
      </c>
      <c r="DN38" s="3">
        <v>1939</v>
      </c>
      <c r="DO38" s="3">
        <v>1766</v>
      </c>
      <c r="DP38" s="3">
        <v>2670</v>
      </c>
      <c r="DQ38" s="3">
        <v>2006</v>
      </c>
      <c r="DR38" s="3">
        <v>1214</v>
      </c>
      <c r="DS38" s="3">
        <v>1150</v>
      </c>
      <c r="DT38" s="3">
        <v>1832</v>
      </c>
      <c r="DU38" s="3">
        <v>2084</v>
      </c>
      <c r="DV38" s="3">
        <v>2250</v>
      </c>
      <c r="DW38" s="3">
        <v>2458</v>
      </c>
      <c r="DX38" s="3">
        <v>1797</v>
      </c>
      <c r="DY38" s="3">
        <v>1635</v>
      </c>
      <c r="DZ38" s="3">
        <v>2280</v>
      </c>
      <c r="EA38" s="3">
        <v>1841</v>
      </c>
      <c r="EB38" s="3">
        <v>2798</v>
      </c>
      <c r="EC38" s="3">
        <v>2474</v>
      </c>
      <c r="ED38" s="3">
        <v>1483</v>
      </c>
      <c r="EE38" s="3">
        <v>1625</v>
      </c>
      <c r="EF38" s="3">
        <v>2994</v>
      </c>
      <c r="EG38" s="3">
        <v>2747</v>
      </c>
      <c r="EH38" s="3">
        <v>3842</v>
      </c>
      <c r="EI38" s="3">
        <v>3726</v>
      </c>
      <c r="EJ38" s="3">
        <v>2229</v>
      </c>
      <c r="EK38" s="3">
        <v>1547</v>
      </c>
      <c r="EL38" s="3">
        <v>3392</v>
      </c>
      <c r="EM38" s="3">
        <v>2603</v>
      </c>
      <c r="EN38" s="3">
        <v>3843</v>
      </c>
      <c r="EO38" s="3">
        <v>3277</v>
      </c>
      <c r="EP38" s="3">
        <v>441</v>
      </c>
      <c r="EQ38" s="3">
        <v>304</v>
      </c>
      <c r="ER38" s="3">
        <v>585</v>
      </c>
      <c r="ES38" s="3">
        <v>471</v>
      </c>
      <c r="ET38" s="3">
        <v>640</v>
      </c>
      <c r="EU38" s="3">
        <v>694</v>
      </c>
      <c r="EV38" s="3">
        <v>784</v>
      </c>
      <c r="EW38" s="3">
        <v>952</v>
      </c>
      <c r="EX38" s="3">
        <v>1171</v>
      </c>
      <c r="EY38" s="3">
        <v>826</v>
      </c>
      <c r="EZ38" s="3">
        <v>1061</v>
      </c>
      <c r="FA38" s="3">
        <v>1256</v>
      </c>
      <c r="FB38" s="3">
        <v>373</v>
      </c>
      <c r="FC38" s="3">
        <v>470</v>
      </c>
      <c r="FD38" s="3">
        <v>771</v>
      </c>
      <c r="FE38" s="3">
        <v>1101</v>
      </c>
      <c r="FF38" s="3">
        <v>1176</v>
      </c>
      <c r="FG38" s="3">
        <v>1094</v>
      </c>
      <c r="FH38" s="3">
        <v>614</v>
      </c>
      <c r="FI38" s="3">
        <v>648</v>
      </c>
      <c r="FJ38" s="3">
        <v>1084</v>
      </c>
      <c r="FK38" s="3">
        <v>921</v>
      </c>
      <c r="FL38" s="3">
        <v>1217</v>
      </c>
      <c r="FM38" s="3">
        <v>1242</v>
      </c>
      <c r="FN38" s="3">
        <v>832</v>
      </c>
      <c r="FO38" s="3">
        <v>563</v>
      </c>
      <c r="FP38" s="3">
        <v>1522</v>
      </c>
      <c r="FQ38" s="3">
        <v>1335</v>
      </c>
      <c r="FR38" s="3">
        <v>1808</v>
      </c>
      <c r="FS38" s="3">
        <v>1559</v>
      </c>
      <c r="FT38" s="3">
        <v>1012</v>
      </c>
      <c r="FU38" s="3">
        <v>805</v>
      </c>
      <c r="FV38" s="3">
        <v>1330</v>
      </c>
      <c r="FW38" s="3">
        <v>1271</v>
      </c>
      <c r="FX38" s="3">
        <v>1623</v>
      </c>
      <c r="FY38" s="3">
        <v>1584</v>
      </c>
      <c r="FZ38" s="3">
        <v>561</v>
      </c>
      <c r="GA38" s="3">
        <v>679</v>
      </c>
      <c r="GB38" s="3">
        <v>1165</v>
      </c>
      <c r="GC38" s="3">
        <v>876</v>
      </c>
      <c r="GD38" s="3">
        <v>1342</v>
      </c>
      <c r="GE38" s="3">
        <v>1316</v>
      </c>
      <c r="GF38" s="3">
        <v>1587</v>
      </c>
      <c r="GG38" s="3">
        <v>1278</v>
      </c>
      <c r="GH38" s="3">
        <v>2105</v>
      </c>
      <c r="GI38" s="3">
        <v>1832</v>
      </c>
      <c r="GJ38" s="3">
        <v>2551</v>
      </c>
      <c r="GK38" s="3">
        <v>2178</v>
      </c>
      <c r="GL38" s="3">
        <v>1198</v>
      </c>
      <c r="GM38" s="3">
        <v>1277</v>
      </c>
      <c r="GN38" s="3">
        <v>2093</v>
      </c>
      <c r="GO38" s="3">
        <v>1975</v>
      </c>
      <c r="GP38" s="3">
        <v>2662</v>
      </c>
      <c r="GQ38" s="3">
        <v>2551</v>
      </c>
      <c r="GR38" s="3">
        <v>1961</v>
      </c>
      <c r="GS38" s="3">
        <v>1570</v>
      </c>
      <c r="GT38" s="3">
        <v>2259</v>
      </c>
      <c r="GU38" s="3">
        <v>2013</v>
      </c>
      <c r="GV38" s="3">
        <v>2900</v>
      </c>
      <c r="GW38" s="3">
        <v>2268</v>
      </c>
      <c r="GX38" s="3">
        <v>1752</v>
      </c>
      <c r="GY38" s="3">
        <v>1741</v>
      </c>
      <c r="GZ38" s="3">
        <v>3097</v>
      </c>
      <c r="HA38" s="3">
        <v>2877</v>
      </c>
      <c r="HB38" s="3">
        <v>3545</v>
      </c>
      <c r="HC38" s="3">
        <v>3864</v>
      </c>
      <c r="HD38" s="3">
        <v>2020</v>
      </c>
      <c r="HE38" s="3">
        <v>1754</v>
      </c>
      <c r="HF38" s="3">
        <v>3142</v>
      </c>
      <c r="HG38" s="3">
        <v>2843</v>
      </c>
      <c r="HH38" s="3">
        <v>3983</v>
      </c>
      <c r="HI38" s="3">
        <v>3416</v>
      </c>
      <c r="HJ38" s="3">
        <v>218</v>
      </c>
      <c r="HK38" s="3">
        <v>341</v>
      </c>
      <c r="HL38" s="3">
        <v>464</v>
      </c>
      <c r="HM38" s="3">
        <v>543</v>
      </c>
      <c r="HN38" s="3">
        <v>671</v>
      </c>
      <c r="HO38" s="3">
        <v>607</v>
      </c>
      <c r="HP38" s="3">
        <v>664</v>
      </c>
      <c r="HQ38" s="3">
        <v>740</v>
      </c>
      <c r="HR38" s="3">
        <v>1154</v>
      </c>
      <c r="HS38" s="3">
        <v>1027</v>
      </c>
      <c r="HT38" s="3">
        <v>1242</v>
      </c>
      <c r="HU38" s="3">
        <v>927</v>
      </c>
      <c r="HV38" s="3">
        <v>726</v>
      </c>
      <c r="HW38" s="3">
        <v>663</v>
      </c>
      <c r="HX38" s="3">
        <v>999</v>
      </c>
      <c r="HY38" s="3">
        <v>853</v>
      </c>
      <c r="HZ38" s="3">
        <v>694</v>
      </c>
      <c r="IA38" s="3">
        <v>1445</v>
      </c>
      <c r="IB38" s="3">
        <v>1183</v>
      </c>
      <c r="IC38" s="3">
        <v>948</v>
      </c>
      <c r="ID38" s="3">
        <v>1276</v>
      </c>
      <c r="IE38" s="3">
        <v>847</v>
      </c>
      <c r="IF38" s="3">
        <v>1391</v>
      </c>
      <c r="IG38" s="3">
        <v>1134</v>
      </c>
      <c r="IH38" s="3">
        <v>945</v>
      </c>
      <c r="II38" s="3">
        <v>886</v>
      </c>
      <c r="IJ38" s="3">
        <v>1278</v>
      </c>
      <c r="IK38" s="3">
        <v>1446</v>
      </c>
      <c r="IL38" s="3">
        <v>1787</v>
      </c>
      <c r="IM38" s="3">
        <v>1920</v>
      </c>
      <c r="IN38" s="3">
        <v>1159</v>
      </c>
      <c r="IO38" s="3">
        <v>932</v>
      </c>
      <c r="IP38" s="3">
        <v>1734</v>
      </c>
      <c r="IQ38" s="3">
        <v>1228</v>
      </c>
      <c r="IR38" s="3">
        <v>1743</v>
      </c>
      <c r="IS38" s="3">
        <v>1700</v>
      </c>
      <c r="IT38" s="3">
        <v>719</v>
      </c>
      <c r="IU38" s="3">
        <v>571</v>
      </c>
      <c r="IV38" s="3">
        <v>894</v>
      </c>
      <c r="IW38" s="3">
        <v>860</v>
      </c>
      <c r="IX38" s="3">
        <v>1255</v>
      </c>
      <c r="IY38" s="3">
        <v>1399</v>
      </c>
      <c r="IZ38" s="3">
        <v>1969</v>
      </c>
      <c r="JA38" s="3">
        <v>1200</v>
      </c>
      <c r="JB38" s="3">
        <v>1995</v>
      </c>
      <c r="JC38" s="3">
        <v>1756</v>
      </c>
      <c r="JD38" s="3">
        <v>2019</v>
      </c>
      <c r="JE38" s="3">
        <v>2029</v>
      </c>
      <c r="JF38" s="3">
        <v>1164</v>
      </c>
      <c r="JG38" s="3">
        <v>1181</v>
      </c>
      <c r="JH38" s="3">
        <v>2235</v>
      </c>
      <c r="JI38" s="3">
        <v>1875</v>
      </c>
      <c r="JJ38" s="3">
        <v>2630</v>
      </c>
      <c r="JK38" s="3">
        <v>2294</v>
      </c>
      <c r="JL38" s="3">
        <v>1849</v>
      </c>
      <c r="JM38" s="3">
        <v>1553</v>
      </c>
      <c r="JN38" s="3">
        <v>2521</v>
      </c>
      <c r="JO38" s="3">
        <v>2006</v>
      </c>
      <c r="JP38" s="3">
        <v>2741</v>
      </c>
      <c r="JQ38" s="3">
        <v>2357</v>
      </c>
      <c r="JR38" s="3">
        <v>1560</v>
      </c>
      <c r="JS38" s="3">
        <v>1604</v>
      </c>
      <c r="JT38" s="3">
        <v>2946</v>
      </c>
      <c r="JU38" s="3">
        <v>3157</v>
      </c>
      <c r="JV38" s="3">
        <v>3942</v>
      </c>
      <c r="JW38" s="3">
        <v>3421</v>
      </c>
      <c r="JX38" s="3">
        <v>1768</v>
      </c>
      <c r="JY38" s="3">
        <v>1557</v>
      </c>
      <c r="JZ38" s="3">
        <v>3044</v>
      </c>
      <c r="KA38" s="3">
        <v>2808</v>
      </c>
      <c r="KB38" s="3">
        <v>3703</v>
      </c>
      <c r="KC38" s="3">
        <v>3277</v>
      </c>
      <c r="KD38" s="3">
        <v>289</v>
      </c>
      <c r="KE38" s="3">
        <v>368</v>
      </c>
      <c r="KF38" s="3">
        <v>485</v>
      </c>
      <c r="KG38" s="3">
        <v>456</v>
      </c>
      <c r="KH38" s="3">
        <v>676</v>
      </c>
      <c r="KI38" s="3">
        <v>612</v>
      </c>
      <c r="KJ38" s="3">
        <v>810</v>
      </c>
      <c r="KK38" s="3">
        <v>862</v>
      </c>
      <c r="KL38" s="3">
        <v>1211</v>
      </c>
      <c r="KM38" s="3">
        <v>1021</v>
      </c>
      <c r="KN38" s="3">
        <v>1112</v>
      </c>
      <c r="KO38" s="3">
        <v>1291</v>
      </c>
      <c r="KP38" s="3">
        <v>440</v>
      </c>
      <c r="KQ38" s="3">
        <v>522</v>
      </c>
      <c r="KR38" s="3">
        <v>786</v>
      </c>
      <c r="KS38" s="3">
        <v>908</v>
      </c>
      <c r="KT38" s="3">
        <v>1192</v>
      </c>
      <c r="KU38" s="3">
        <v>1225</v>
      </c>
      <c r="KV38" s="3">
        <v>1011</v>
      </c>
      <c r="KW38" s="3">
        <v>998</v>
      </c>
      <c r="KX38" s="3">
        <v>1253</v>
      </c>
      <c r="KY38" s="3">
        <v>1049</v>
      </c>
      <c r="KZ38" s="3">
        <v>1395</v>
      </c>
      <c r="LA38" s="3">
        <v>1016</v>
      </c>
      <c r="LB38" s="3">
        <v>850</v>
      </c>
      <c r="LC38" s="3">
        <v>967</v>
      </c>
      <c r="LD38" s="3">
        <v>1535</v>
      </c>
      <c r="LE38" s="3">
        <v>1198</v>
      </c>
      <c r="LF38" s="3">
        <v>1617</v>
      </c>
      <c r="LG38" s="3">
        <v>1499</v>
      </c>
      <c r="LH38" s="3">
        <v>1074</v>
      </c>
      <c r="LI38" s="3">
        <v>848</v>
      </c>
      <c r="LJ38" s="3">
        <v>1340</v>
      </c>
      <c r="LK38" s="3">
        <v>1281</v>
      </c>
      <c r="LL38" s="3">
        <v>1774</v>
      </c>
      <c r="LM38" s="3">
        <v>1761</v>
      </c>
      <c r="LN38" s="3">
        <v>579</v>
      </c>
      <c r="LO38" s="3">
        <v>711</v>
      </c>
      <c r="LP38" s="3">
        <v>1001</v>
      </c>
      <c r="LQ38" s="3">
        <v>977</v>
      </c>
      <c r="LR38" s="3">
        <v>1195</v>
      </c>
      <c r="LS38" s="3">
        <v>1111</v>
      </c>
      <c r="LT38" s="3">
        <v>1422</v>
      </c>
      <c r="LU38" s="3">
        <v>1156</v>
      </c>
      <c r="LV38" s="3">
        <v>2309</v>
      </c>
      <c r="LW38" s="3">
        <v>1946</v>
      </c>
      <c r="LX38" s="3">
        <v>2240</v>
      </c>
      <c r="LY38" s="3">
        <v>2080</v>
      </c>
      <c r="LZ38" s="3">
        <v>1147</v>
      </c>
      <c r="MA38" s="3">
        <v>1552</v>
      </c>
      <c r="MB38" s="3">
        <v>2093</v>
      </c>
      <c r="MC38" s="3">
        <v>2080</v>
      </c>
      <c r="MD38" s="3">
        <v>2172</v>
      </c>
      <c r="ME38" s="3">
        <v>2499</v>
      </c>
      <c r="MF38" s="3">
        <v>1929</v>
      </c>
      <c r="MG38" s="3">
        <v>1385</v>
      </c>
      <c r="MH38" s="3">
        <v>2321</v>
      </c>
      <c r="MI38" s="3">
        <v>2416</v>
      </c>
      <c r="MJ38" s="3">
        <v>2584</v>
      </c>
      <c r="MK38" s="3">
        <v>2640</v>
      </c>
      <c r="ML38" s="3">
        <v>1832</v>
      </c>
      <c r="MM38" s="3">
        <v>2002</v>
      </c>
      <c r="MN38" s="3">
        <v>3024</v>
      </c>
      <c r="MO38" s="3">
        <v>2753</v>
      </c>
      <c r="MP38" s="3">
        <v>3811</v>
      </c>
      <c r="MQ38" s="3">
        <v>4104</v>
      </c>
      <c r="MR38" s="3">
        <v>2069</v>
      </c>
      <c r="MS38" s="3">
        <v>1719</v>
      </c>
      <c r="MT38" s="3">
        <v>2847</v>
      </c>
      <c r="MU38" s="3">
        <v>2757</v>
      </c>
      <c r="MV38" s="3">
        <v>3909</v>
      </c>
      <c r="MW38" s="3">
        <v>3433</v>
      </c>
    </row>
    <row r="39" spans="1:361" x14ac:dyDescent="0.3">
      <c r="A39" s="3">
        <v>28</v>
      </c>
      <c r="B39" s="3">
        <v>440</v>
      </c>
      <c r="C39" s="3">
        <v>283</v>
      </c>
      <c r="D39" s="3">
        <v>473</v>
      </c>
      <c r="E39" s="3">
        <v>464</v>
      </c>
      <c r="F39" s="3">
        <v>591</v>
      </c>
      <c r="G39" s="3">
        <v>534</v>
      </c>
      <c r="H39" s="3">
        <v>1006</v>
      </c>
      <c r="I39" s="3">
        <v>973</v>
      </c>
      <c r="J39" s="3">
        <v>1067</v>
      </c>
      <c r="K39" s="3">
        <v>800</v>
      </c>
      <c r="L39" s="3">
        <v>1429</v>
      </c>
      <c r="M39" s="3">
        <v>900</v>
      </c>
      <c r="N39" s="3">
        <v>553</v>
      </c>
      <c r="O39" s="3">
        <v>487</v>
      </c>
      <c r="P39" s="3">
        <v>1041</v>
      </c>
      <c r="Q39" s="3">
        <v>1014</v>
      </c>
      <c r="R39" s="3">
        <v>1040</v>
      </c>
      <c r="S39" s="3">
        <v>911</v>
      </c>
      <c r="T39" s="3">
        <v>820</v>
      </c>
      <c r="U39" s="3">
        <v>904</v>
      </c>
      <c r="V39" s="3">
        <v>1035</v>
      </c>
      <c r="W39" s="3">
        <v>1115</v>
      </c>
      <c r="X39" s="3">
        <v>1294</v>
      </c>
      <c r="Y39" s="3">
        <v>1007</v>
      </c>
      <c r="Z39" s="3">
        <v>1056</v>
      </c>
      <c r="AA39" s="3">
        <v>913</v>
      </c>
      <c r="AB39" s="3">
        <v>1180</v>
      </c>
      <c r="AC39" s="3">
        <v>1347</v>
      </c>
      <c r="AD39" s="3">
        <v>1845</v>
      </c>
      <c r="AE39" s="3">
        <v>1841</v>
      </c>
      <c r="AF39" s="3">
        <v>1080</v>
      </c>
      <c r="AG39" s="3">
        <v>1123</v>
      </c>
      <c r="AH39" s="3">
        <v>1850</v>
      </c>
      <c r="AI39" s="3">
        <v>1128</v>
      </c>
      <c r="AJ39" s="3">
        <v>2020</v>
      </c>
      <c r="AK39" s="3">
        <v>1313</v>
      </c>
      <c r="AL39" s="3">
        <v>741</v>
      </c>
      <c r="AM39" s="3">
        <v>665</v>
      </c>
      <c r="AN39" s="3">
        <v>1114</v>
      </c>
      <c r="AO39" s="3">
        <v>839</v>
      </c>
      <c r="AP39" s="3">
        <v>1374</v>
      </c>
      <c r="AQ39" s="3">
        <v>1288</v>
      </c>
      <c r="AR39" s="3">
        <v>2007</v>
      </c>
      <c r="AS39" s="3">
        <v>1538</v>
      </c>
      <c r="AT39" s="3">
        <v>2226</v>
      </c>
      <c r="AU39" s="3">
        <v>1704</v>
      </c>
      <c r="AV39" s="3">
        <v>2356</v>
      </c>
      <c r="AW39" s="3">
        <v>2211</v>
      </c>
      <c r="AX39" s="3">
        <v>1153</v>
      </c>
      <c r="AY39" s="3">
        <v>1471</v>
      </c>
      <c r="AZ39" s="3">
        <v>1748</v>
      </c>
      <c r="BA39" s="3">
        <v>1997</v>
      </c>
      <c r="BB39" s="3">
        <v>2703</v>
      </c>
      <c r="BC39" s="3">
        <v>2231</v>
      </c>
      <c r="BD39" s="3">
        <v>1743</v>
      </c>
      <c r="BE39" s="3">
        <v>1459</v>
      </c>
      <c r="BF39" s="3">
        <v>2516</v>
      </c>
      <c r="BG39" s="3">
        <v>2038</v>
      </c>
      <c r="BH39" s="3">
        <v>2589</v>
      </c>
      <c r="BI39" s="3">
        <v>2499</v>
      </c>
      <c r="BJ39" s="3">
        <v>1573</v>
      </c>
      <c r="BK39" s="3">
        <v>1975</v>
      </c>
      <c r="BL39" s="3">
        <v>2853</v>
      </c>
      <c r="BM39" s="3">
        <v>2284</v>
      </c>
      <c r="BN39" s="3">
        <v>3868</v>
      </c>
      <c r="BO39" s="3">
        <v>3451</v>
      </c>
      <c r="BP39" s="3">
        <v>2049</v>
      </c>
      <c r="BQ39" s="3">
        <v>1388</v>
      </c>
      <c r="BR39" s="3">
        <v>2719</v>
      </c>
      <c r="BS39" s="3">
        <v>2634</v>
      </c>
      <c r="BT39" s="3">
        <v>3427</v>
      </c>
      <c r="BU39" s="3">
        <v>3075</v>
      </c>
      <c r="BV39" s="3">
        <v>381</v>
      </c>
      <c r="BW39" s="3">
        <v>261</v>
      </c>
      <c r="BX39" s="3">
        <v>413</v>
      </c>
      <c r="BY39" s="3">
        <v>434</v>
      </c>
      <c r="BZ39" s="3">
        <v>597</v>
      </c>
      <c r="CA39" s="3">
        <v>573</v>
      </c>
      <c r="CB39" s="3">
        <v>553</v>
      </c>
      <c r="CC39" s="3">
        <v>682</v>
      </c>
      <c r="CD39" s="3">
        <v>1122</v>
      </c>
      <c r="CE39" s="3">
        <v>1098</v>
      </c>
      <c r="CF39" s="3">
        <v>915</v>
      </c>
      <c r="CG39" s="3">
        <v>1027</v>
      </c>
      <c r="CH39" s="3">
        <v>656</v>
      </c>
      <c r="CI39" s="3">
        <v>576</v>
      </c>
      <c r="CJ39" s="3">
        <v>1138</v>
      </c>
      <c r="CK39" s="3">
        <v>973</v>
      </c>
      <c r="CL39" s="3">
        <v>1120</v>
      </c>
      <c r="CM39" s="3">
        <v>900</v>
      </c>
      <c r="CN39" s="3">
        <v>750</v>
      </c>
      <c r="CO39" s="3">
        <v>785</v>
      </c>
      <c r="CP39" s="3">
        <v>1108</v>
      </c>
      <c r="CQ39" s="3">
        <v>1098</v>
      </c>
      <c r="CR39" s="3">
        <v>1426</v>
      </c>
      <c r="CS39" s="3">
        <v>1147</v>
      </c>
      <c r="CT39" s="3">
        <v>1032</v>
      </c>
      <c r="CU39" s="3">
        <v>838</v>
      </c>
      <c r="CV39" s="3">
        <v>1262</v>
      </c>
      <c r="CW39" s="3">
        <v>1125</v>
      </c>
      <c r="CX39" s="3">
        <v>1323</v>
      </c>
      <c r="CY39" s="3">
        <v>1511</v>
      </c>
      <c r="CZ39" s="3">
        <v>1175</v>
      </c>
      <c r="DA39" s="3">
        <v>865</v>
      </c>
      <c r="DB39" s="3">
        <v>1644</v>
      </c>
      <c r="DC39" s="3">
        <v>1316</v>
      </c>
      <c r="DD39" s="3">
        <v>1753</v>
      </c>
      <c r="DE39" s="3">
        <v>1397</v>
      </c>
      <c r="DF39" s="3">
        <v>700</v>
      </c>
      <c r="DG39" s="3">
        <v>643</v>
      </c>
      <c r="DH39" s="3">
        <v>1000</v>
      </c>
      <c r="DI39" s="3">
        <v>1097</v>
      </c>
      <c r="DJ39" s="3">
        <v>1277</v>
      </c>
      <c r="DK39" s="3">
        <v>1290</v>
      </c>
      <c r="DL39" s="3">
        <v>2037</v>
      </c>
      <c r="DM39" s="3">
        <v>1480</v>
      </c>
      <c r="DN39" s="3">
        <v>1939</v>
      </c>
      <c r="DO39" s="3">
        <v>1766</v>
      </c>
      <c r="DP39" s="3">
        <v>2670</v>
      </c>
      <c r="DQ39" s="3">
        <v>2006</v>
      </c>
      <c r="DR39" s="3">
        <v>1214</v>
      </c>
      <c r="DS39" s="3">
        <v>1150</v>
      </c>
      <c r="DT39" s="3">
        <v>1831</v>
      </c>
      <c r="DU39" s="3">
        <v>2082</v>
      </c>
      <c r="DV39" s="3">
        <v>2250</v>
      </c>
      <c r="DW39" s="3">
        <v>2458</v>
      </c>
      <c r="DX39" s="3">
        <v>1797</v>
      </c>
      <c r="DY39" s="3">
        <v>1635</v>
      </c>
      <c r="DZ39" s="3">
        <v>2284</v>
      </c>
      <c r="EA39" s="3">
        <v>1834</v>
      </c>
      <c r="EB39" s="3">
        <v>2788</v>
      </c>
      <c r="EC39" s="3">
        <v>2478</v>
      </c>
      <c r="ED39" s="3">
        <v>1482</v>
      </c>
      <c r="EE39" s="3">
        <v>1625</v>
      </c>
      <c r="EF39" s="3">
        <v>3008</v>
      </c>
      <c r="EG39" s="3">
        <v>2758</v>
      </c>
      <c r="EH39" s="3">
        <v>3850</v>
      </c>
      <c r="EI39" s="3">
        <v>3733</v>
      </c>
      <c r="EJ39" s="3">
        <v>2229</v>
      </c>
      <c r="EK39" s="3">
        <v>1538</v>
      </c>
      <c r="EL39" s="3">
        <v>3387</v>
      </c>
      <c r="EM39" s="3">
        <v>2582</v>
      </c>
      <c r="EN39" s="3">
        <v>3841</v>
      </c>
      <c r="EO39" s="3">
        <v>3291</v>
      </c>
      <c r="EP39" s="3">
        <v>441</v>
      </c>
      <c r="EQ39" s="3">
        <v>304</v>
      </c>
      <c r="ER39" s="3">
        <v>585</v>
      </c>
      <c r="ES39" s="3">
        <v>471</v>
      </c>
      <c r="ET39" s="3">
        <v>640</v>
      </c>
      <c r="EU39" s="3">
        <v>694</v>
      </c>
      <c r="EV39" s="3">
        <v>784</v>
      </c>
      <c r="EW39" s="3">
        <v>952</v>
      </c>
      <c r="EX39" s="3">
        <v>1171</v>
      </c>
      <c r="EY39" s="3">
        <v>826</v>
      </c>
      <c r="EZ39" s="3">
        <v>1061</v>
      </c>
      <c r="FA39" s="3">
        <v>1256</v>
      </c>
      <c r="FB39" s="3">
        <v>373</v>
      </c>
      <c r="FC39" s="3">
        <v>470</v>
      </c>
      <c r="FD39" s="3">
        <v>771</v>
      </c>
      <c r="FE39" s="3">
        <v>1101</v>
      </c>
      <c r="FF39" s="3">
        <v>1180</v>
      </c>
      <c r="FG39" s="3">
        <v>1094</v>
      </c>
      <c r="FH39" s="3">
        <v>614</v>
      </c>
      <c r="FI39" s="3">
        <v>648</v>
      </c>
      <c r="FJ39" s="3">
        <v>1084</v>
      </c>
      <c r="FK39" s="3">
        <v>921</v>
      </c>
      <c r="FL39" s="3">
        <v>1220</v>
      </c>
      <c r="FM39" s="3">
        <v>1250</v>
      </c>
      <c r="FN39" s="3">
        <v>832</v>
      </c>
      <c r="FO39" s="3">
        <v>563</v>
      </c>
      <c r="FP39" s="3">
        <v>1522</v>
      </c>
      <c r="FQ39" s="3">
        <v>1337</v>
      </c>
      <c r="FR39" s="3">
        <v>1813</v>
      </c>
      <c r="FS39" s="3">
        <v>1559</v>
      </c>
      <c r="FT39" s="3">
        <v>1012</v>
      </c>
      <c r="FU39" s="3">
        <v>805</v>
      </c>
      <c r="FV39" s="3">
        <v>1331</v>
      </c>
      <c r="FW39" s="3">
        <v>1271</v>
      </c>
      <c r="FX39" s="3">
        <v>1622</v>
      </c>
      <c r="FY39" s="3">
        <v>1577</v>
      </c>
      <c r="FZ39" s="3">
        <v>561</v>
      </c>
      <c r="GA39" s="3">
        <v>679</v>
      </c>
      <c r="GB39" s="3">
        <v>1162</v>
      </c>
      <c r="GC39" s="3">
        <v>879</v>
      </c>
      <c r="GD39" s="3">
        <v>1342</v>
      </c>
      <c r="GE39" s="3">
        <v>1316</v>
      </c>
      <c r="GF39" s="3">
        <v>1587</v>
      </c>
      <c r="GG39" s="3">
        <v>1278</v>
      </c>
      <c r="GH39" s="3">
        <v>2105</v>
      </c>
      <c r="GI39" s="3">
        <v>1832</v>
      </c>
      <c r="GJ39" s="3">
        <v>2551</v>
      </c>
      <c r="GK39" s="3">
        <v>2178</v>
      </c>
      <c r="GL39" s="3">
        <v>1198</v>
      </c>
      <c r="GM39" s="3">
        <v>1271</v>
      </c>
      <c r="GN39" s="3">
        <v>2093</v>
      </c>
      <c r="GO39" s="3">
        <v>1971</v>
      </c>
      <c r="GP39" s="3">
        <v>2662</v>
      </c>
      <c r="GQ39" s="3">
        <v>2551</v>
      </c>
      <c r="GR39" s="3">
        <v>1961</v>
      </c>
      <c r="GS39" s="3">
        <v>1570</v>
      </c>
      <c r="GT39" s="3">
        <v>2256</v>
      </c>
      <c r="GU39" s="3">
        <v>2013</v>
      </c>
      <c r="GV39" s="3">
        <v>2927</v>
      </c>
      <c r="GW39" s="3">
        <v>2278</v>
      </c>
      <c r="GX39" s="3">
        <v>1752</v>
      </c>
      <c r="GY39" s="3">
        <v>1741</v>
      </c>
      <c r="GZ39" s="3">
        <v>3097</v>
      </c>
      <c r="HA39" s="3">
        <v>2867</v>
      </c>
      <c r="HB39" s="3">
        <v>3547</v>
      </c>
      <c r="HC39" s="3">
        <v>3864</v>
      </c>
      <c r="HD39" s="3">
        <v>2021</v>
      </c>
      <c r="HE39" s="3">
        <v>1767</v>
      </c>
      <c r="HF39" s="3">
        <v>3139</v>
      </c>
      <c r="HG39" s="3">
        <v>2844</v>
      </c>
      <c r="HH39" s="3">
        <v>3987</v>
      </c>
      <c r="HI39" s="3">
        <v>3410</v>
      </c>
      <c r="HJ39" s="3">
        <v>218</v>
      </c>
      <c r="HK39" s="3">
        <v>341</v>
      </c>
      <c r="HL39" s="3">
        <v>464</v>
      </c>
      <c r="HM39" s="3">
        <v>546</v>
      </c>
      <c r="HN39" s="3">
        <v>671</v>
      </c>
      <c r="HO39" s="3">
        <v>607</v>
      </c>
      <c r="HP39" s="3">
        <v>664</v>
      </c>
      <c r="HQ39" s="3">
        <v>740</v>
      </c>
      <c r="HR39" s="3">
        <v>1154</v>
      </c>
      <c r="HS39" s="3">
        <v>1027</v>
      </c>
      <c r="HT39" s="3">
        <v>1242</v>
      </c>
      <c r="HU39" s="3">
        <v>927</v>
      </c>
      <c r="HV39" s="3">
        <v>726</v>
      </c>
      <c r="HW39" s="3">
        <v>663</v>
      </c>
      <c r="HX39" s="3">
        <v>999</v>
      </c>
      <c r="HY39" s="3">
        <v>853</v>
      </c>
      <c r="HZ39" s="3">
        <v>693</v>
      </c>
      <c r="IA39" s="3">
        <v>1445</v>
      </c>
      <c r="IB39" s="3">
        <v>1183</v>
      </c>
      <c r="IC39" s="3">
        <v>948</v>
      </c>
      <c r="ID39" s="3">
        <v>1276</v>
      </c>
      <c r="IE39" s="3">
        <v>842</v>
      </c>
      <c r="IF39" s="3">
        <v>1389</v>
      </c>
      <c r="IG39" s="3">
        <v>1123</v>
      </c>
      <c r="IH39" s="3">
        <v>945</v>
      </c>
      <c r="II39" s="3">
        <v>888</v>
      </c>
      <c r="IJ39" s="3">
        <v>1276</v>
      </c>
      <c r="IK39" s="3">
        <v>1441</v>
      </c>
      <c r="IL39" s="3">
        <v>1787</v>
      </c>
      <c r="IM39" s="3">
        <v>1920</v>
      </c>
      <c r="IN39" s="3">
        <v>1159</v>
      </c>
      <c r="IO39" s="3">
        <v>932</v>
      </c>
      <c r="IP39" s="3">
        <v>1734</v>
      </c>
      <c r="IQ39" s="3">
        <v>1210</v>
      </c>
      <c r="IR39" s="3">
        <v>1745</v>
      </c>
      <c r="IS39" s="3">
        <v>1679</v>
      </c>
      <c r="IT39" s="3">
        <v>719</v>
      </c>
      <c r="IU39" s="3">
        <v>571</v>
      </c>
      <c r="IV39" s="3">
        <v>893</v>
      </c>
      <c r="IW39" s="3">
        <v>862</v>
      </c>
      <c r="IX39" s="3">
        <v>1255</v>
      </c>
      <c r="IY39" s="3">
        <v>1399</v>
      </c>
      <c r="IZ39" s="3">
        <v>1969</v>
      </c>
      <c r="JA39" s="3">
        <v>1200</v>
      </c>
      <c r="JB39" s="3">
        <v>1995</v>
      </c>
      <c r="JC39" s="3">
        <v>1756</v>
      </c>
      <c r="JD39" s="3">
        <v>2019</v>
      </c>
      <c r="JE39" s="3">
        <v>2029</v>
      </c>
      <c r="JF39" s="3">
        <v>1164</v>
      </c>
      <c r="JG39" s="3">
        <v>1181</v>
      </c>
      <c r="JH39" s="3">
        <v>2235</v>
      </c>
      <c r="JI39" s="3">
        <v>1875</v>
      </c>
      <c r="JJ39" s="3">
        <v>2630</v>
      </c>
      <c r="JK39" s="3">
        <v>2303</v>
      </c>
      <c r="JL39" s="3">
        <v>1849</v>
      </c>
      <c r="JM39" s="3">
        <v>1553</v>
      </c>
      <c r="JN39" s="3">
        <v>2517</v>
      </c>
      <c r="JO39" s="3">
        <v>1995</v>
      </c>
      <c r="JP39" s="3">
        <v>2756</v>
      </c>
      <c r="JQ39" s="3">
        <v>2345</v>
      </c>
      <c r="JR39" s="3">
        <v>1560</v>
      </c>
      <c r="JS39" s="3">
        <v>1584</v>
      </c>
      <c r="JT39" s="3">
        <v>2946</v>
      </c>
      <c r="JU39" s="3">
        <v>3157</v>
      </c>
      <c r="JV39" s="3">
        <v>3940</v>
      </c>
      <c r="JW39" s="3">
        <v>3420</v>
      </c>
      <c r="JX39" s="3">
        <v>1769</v>
      </c>
      <c r="JY39" s="3">
        <v>1579</v>
      </c>
      <c r="JZ39" s="3">
        <v>3036</v>
      </c>
      <c r="KA39" s="3">
        <v>2812</v>
      </c>
      <c r="KB39" s="3">
        <v>3704</v>
      </c>
      <c r="KC39" s="3">
        <v>3292</v>
      </c>
      <c r="KD39" s="3">
        <v>289</v>
      </c>
      <c r="KE39" s="3">
        <v>368</v>
      </c>
      <c r="KF39" s="3">
        <v>485</v>
      </c>
      <c r="KG39" s="3">
        <v>459</v>
      </c>
      <c r="KH39" s="3">
        <v>676</v>
      </c>
      <c r="KI39" s="3">
        <v>621</v>
      </c>
      <c r="KJ39" s="3">
        <v>810</v>
      </c>
      <c r="KK39" s="3">
        <v>862</v>
      </c>
      <c r="KL39" s="3">
        <v>1211</v>
      </c>
      <c r="KM39" s="3">
        <v>1021</v>
      </c>
      <c r="KN39" s="3">
        <v>1112</v>
      </c>
      <c r="KO39" s="3">
        <v>1291</v>
      </c>
      <c r="KP39" s="3">
        <v>440</v>
      </c>
      <c r="KQ39" s="3">
        <v>522</v>
      </c>
      <c r="KR39" s="3">
        <v>786</v>
      </c>
      <c r="KS39" s="3">
        <v>908</v>
      </c>
      <c r="KT39" s="3">
        <v>1192</v>
      </c>
      <c r="KU39" s="3">
        <v>1225</v>
      </c>
      <c r="KV39" s="3">
        <v>1011</v>
      </c>
      <c r="KW39" s="3">
        <v>998</v>
      </c>
      <c r="KX39" s="3">
        <v>1253</v>
      </c>
      <c r="KY39" s="3">
        <v>1049</v>
      </c>
      <c r="KZ39" s="3">
        <v>1395</v>
      </c>
      <c r="LA39" s="3">
        <v>1011</v>
      </c>
      <c r="LB39" s="3">
        <v>850</v>
      </c>
      <c r="LC39" s="3">
        <v>967</v>
      </c>
      <c r="LD39" s="3">
        <v>1537</v>
      </c>
      <c r="LE39" s="3">
        <v>1198</v>
      </c>
      <c r="LF39" s="3">
        <v>1617</v>
      </c>
      <c r="LG39" s="3">
        <v>1499</v>
      </c>
      <c r="LH39" s="3">
        <v>1074</v>
      </c>
      <c r="LI39" s="3">
        <v>848</v>
      </c>
      <c r="LJ39" s="3">
        <v>1345</v>
      </c>
      <c r="LK39" s="3">
        <v>1281</v>
      </c>
      <c r="LL39" s="3">
        <v>1773</v>
      </c>
      <c r="LM39" s="3">
        <v>1762</v>
      </c>
      <c r="LN39" s="3">
        <v>579</v>
      </c>
      <c r="LO39" s="3">
        <v>711</v>
      </c>
      <c r="LP39" s="3">
        <v>1000</v>
      </c>
      <c r="LQ39" s="3">
        <v>982</v>
      </c>
      <c r="LR39" s="3">
        <v>1201</v>
      </c>
      <c r="LS39" s="3">
        <v>1104</v>
      </c>
      <c r="LT39" s="3">
        <v>1422</v>
      </c>
      <c r="LU39" s="3">
        <v>1156</v>
      </c>
      <c r="LV39" s="3">
        <v>2309</v>
      </c>
      <c r="LW39" s="3">
        <v>1946</v>
      </c>
      <c r="LX39" s="3">
        <v>2240</v>
      </c>
      <c r="LY39" s="3">
        <v>2080</v>
      </c>
      <c r="LZ39" s="3">
        <v>1147</v>
      </c>
      <c r="MA39" s="3">
        <v>1552</v>
      </c>
      <c r="MB39" s="3">
        <v>2103</v>
      </c>
      <c r="MC39" s="3">
        <v>2080</v>
      </c>
      <c r="MD39" s="3">
        <v>2169</v>
      </c>
      <c r="ME39" s="3">
        <v>2499</v>
      </c>
      <c r="MF39" s="3">
        <v>1929</v>
      </c>
      <c r="MG39" s="3">
        <v>1385</v>
      </c>
      <c r="MH39" s="3">
        <v>2325</v>
      </c>
      <c r="MI39" s="3">
        <v>2416</v>
      </c>
      <c r="MJ39" s="3">
        <v>2591</v>
      </c>
      <c r="MK39" s="3">
        <v>2626</v>
      </c>
      <c r="ML39" s="3">
        <v>1835</v>
      </c>
      <c r="MM39" s="3">
        <v>2002</v>
      </c>
      <c r="MN39" s="3">
        <v>3026</v>
      </c>
      <c r="MO39" s="3">
        <v>2758</v>
      </c>
      <c r="MP39" s="3">
        <v>3811</v>
      </c>
      <c r="MQ39" s="3">
        <v>4104</v>
      </c>
      <c r="MR39" s="3">
        <v>2069</v>
      </c>
      <c r="MS39" s="3">
        <v>1719</v>
      </c>
      <c r="MT39" s="3">
        <v>2844</v>
      </c>
      <c r="MU39" s="3">
        <v>2763</v>
      </c>
      <c r="MV39" s="3">
        <v>3910</v>
      </c>
      <c r="MW39" s="3">
        <v>3422</v>
      </c>
    </row>
    <row r="40" spans="1:361" x14ac:dyDescent="0.3">
      <c r="A40" s="3">
        <v>29</v>
      </c>
      <c r="B40" s="3">
        <v>440</v>
      </c>
      <c r="C40" s="3">
        <v>283</v>
      </c>
      <c r="D40" s="3">
        <v>473</v>
      </c>
      <c r="E40" s="3">
        <v>468</v>
      </c>
      <c r="F40" s="3">
        <v>591</v>
      </c>
      <c r="G40" s="3">
        <v>534</v>
      </c>
      <c r="H40" s="3">
        <v>1006</v>
      </c>
      <c r="I40" s="3">
        <v>973</v>
      </c>
      <c r="J40" s="3">
        <v>1067</v>
      </c>
      <c r="K40" s="3">
        <v>800</v>
      </c>
      <c r="L40" s="3">
        <v>1429</v>
      </c>
      <c r="M40" s="3">
        <v>900</v>
      </c>
      <c r="N40" s="3">
        <v>553</v>
      </c>
      <c r="O40" s="3">
        <v>487</v>
      </c>
      <c r="P40" s="3">
        <v>1043</v>
      </c>
      <c r="Q40" s="3">
        <v>1014</v>
      </c>
      <c r="R40" s="3">
        <v>1039</v>
      </c>
      <c r="S40" s="3">
        <v>897</v>
      </c>
      <c r="T40" s="3">
        <v>820</v>
      </c>
      <c r="U40" s="3">
        <v>904</v>
      </c>
      <c r="V40" s="3">
        <v>1035</v>
      </c>
      <c r="W40" s="3">
        <v>1110</v>
      </c>
      <c r="X40" s="3">
        <v>1295</v>
      </c>
      <c r="Y40" s="3">
        <v>993</v>
      </c>
      <c r="Z40" s="3">
        <v>1056</v>
      </c>
      <c r="AA40" s="3">
        <v>913</v>
      </c>
      <c r="AB40" s="3">
        <v>1180</v>
      </c>
      <c r="AC40" s="3">
        <v>1346</v>
      </c>
      <c r="AD40" s="3">
        <v>1843</v>
      </c>
      <c r="AE40" s="3">
        <v>1841</v>
      </c>
      <c r="AF40" s="3">
        <v>1080</v>
      </c>
      <c r="AG40" s="3">
        <v>1123</v>
      </c>
      <c r="AH40" s="3">
        <v>1851</v>
      </c>
      <c r="AI40" s="3">
        <v>1143</v>
      </c>
      <c r="AJ40" s="3">
        <v>2015</v>
      </c>
      <c r="AK40" s="3">
        <v>1321</v>
      </c>
      <c r="AL40" s="3">
        <v>741</v>
      </c>
      <c r="AM40" s="3">
        <v>665</v>
      </c>
      <c r="AN40" s="3">
        <v>1112</v>
      </c>
      <c r="AO40" s="3">
        <v>839</v>
      </c>
      <c r="AP40" s="3">
        <v>1374</v>
      </c>
      <c r="AQ40" s="3">
        <v>1288</v>
      </c>
      <c r="AR40" s="3">
        <v>2007</v>
      </c>
      <c r="AS40" s="3">
        <v>1538</v>
      </c>
      <c r="AT40" s="3">
        <v>2226</v>
      </c>
      <c r="AU40" s="3">
        <v>1704</v>
      </c>
      <c r="AV40" s="3">
        <v>2356</v>
      </c>
      <c r="AW40" s="3">
        <v>2211</v>
      </c>
      <c r="AX40" s="3">
        <v>1153</v>
      </c>
      <c r="AY40" s="3">
        <v>1461</v>
      </c>
      <c r="AZ40" s="3">
        <v>1749</v>
      </c>
      <c r="BA40" s="3">
        <v>1997</v>
      </c>
      <c r="BB40" s="3">
        <v>2711</v>
      </c>
      <c r="BC40" s="3">
        <v>2228</v>
      </c>
      <c r="BD40" s="3">
        <v>1743</v>
      </c>
      <c r="BE40" s="3">
        <v>1459</v>
      </c>
      <c r="BF40" s="3">
        <v>2516</v>
      </c>
      <c r="BG40" s="3">
        <v>2038</v>
      </c>
      <c r="BH40" s="3">
        <v>2581</v>
      </c>
      <c r="BI40" s="3">
        <v>2529</v>
      </c>
      <c r="BJ40" s="3">
        <v>1574</v>
      </c>
      <c r="BK40" s="3">
        <v>1980</v>
      </c>
      <c r="BL40" s="3">
        <v>2853</v>
      </c>
      <c r="BM40" s="3">
        <v>2288</v>
      </c>
      <c r="BN40" s="3">
        <v>3868</v>
      </c>
      <c r="BO40" s="3">
        <v>3465</v>
      </c>
      <c r="BP40" s="3">
        <v>2058</v>
      </c>
      <c r="BQ40" s="3">
        <v>1388</v>
      </c>
      <c r="BR40" s="3">
        <v>2707</v>
      </c>
      <c r="BS40" s="3">
        <v>2656</v>
      </c>
      <c r="BT40" s="3">
        <v>3428</v>
      </c>
      <c r="BU40" s="3">
        <v>3058</v>
      </c>
      <c r="BV40" s="3">
        <v>381</v>
      </c>
      <c r="BW40" s="3">
        <v>261</v>
      </c>
      <c r="BX40" s="3">
        <v>413</v>
      </c>
      <c r="BY40" s="3">
        <v>434</v>
      </c>
      <c r="BZ40" s="3">
        <v>597</v>
      </c>
      <c r="CA40" s="3">
        <v>573</v>
      </c>
      <c r="CB40" s="3">
        <v>553</v>
      </c>
      <c r="CC40" s="3">
        <v>682</v>
      </c>
      <c r="CD40" s="3">
        <v>1122</v>
      </c>
      <c r="CE40" s="3">
        <v>1098</v>
      </c>
      <c r="CF40" s="3">
        <v>915</v>
      </c>
      <c r="CG40" s="3">
        <v>1027</v>
      </c>
      <c r="CH40" s="3">
        <v>656</v>
      </c>
      <c r="CI40" s="3">
        <v>576</v>
      </c>
      <c r="CJ40" s="3">
        <v>1137</v>
      </c>
      <c r="CK40" s="3">
        <v>979</v>
      </c>
      <c r="CL40" s="3">
        <v>1120</v>
      </c>
      <c r="CM40" s="3">
        <v>900</v>
      </c>
      <c r="CN40" s="3">
        <v>750</v>
      </c>
      <c r="CO40" s="3">
        <v>785</v>
      </c>
      <c r="CP40" s="3">
        <v>1107</v>
      </c>
      <c r="CQ40" s="3">
        <v>1098</v>
      </c>
      <c r="CR40" s="3">
        <v>1425</v>
      </c>
      <c r="CS40" s="3">
        <v>1128</v>
      </c>
      <c r="CT40" s="3">
        <v>1032</v>
      </c>
      <c r="CU40" s="3">
        <v>838</v>
      </c>
      <c r="CV40" s="3">
        <v>1262</v>
      </c>
      <c r="CW40" s="3">
        <v>1125</v>
      </c>
      <c r="CX40" s="3">
        <v>1323</v>
      </c>
      <c r="CY40" s="3">
        <v>1511</v>
      </c>
      <c r="CZ40" s="3">
        <v>1175</v>
      </c>
      <c r="DA40" s="3">
        <v>865</v>
      </c>
      <c r="DB40" s="3">
        <v>1642</v>
      </c>
      <c r="DC40" s="3">
        <v>1328</v>
      </c>
      <c r="DD40" s="3">
        <v>1757</v>
      </c>
      <c r="DE40" s="3">
        <v>1422</v>
      </c>
      <c r="DF40" s="3">
        <v>700</v>
      </c>
      <c r="DG40" s="3">
        <v>643</v>
      </c>
      <c r="DH40" s="3">
        <v>1000</v>
      </c>
      <c r="DI40" s="3">
        <v>1100</v>
      </c>
      <c r="DJ40" s="3">
        <v>1277</v>
      </c>
      <c r="DK40" s="3">
        <v>1288</v>
      </c>
      <c r="DL40" s="3">
        <v>2037</v>
      </c>
      <c r="DM40" s="3">
        <v>1480</v>
      </c>
      <c r="DN40" s="3">
        <v>1939</v>
      </c>
      <c r="DO40" s="3">
        <v>1766</v>
      </c>
      <c r="DP40" s="3">
        <v>2670</v>
      </c>
      <c r="DQ40" s="3">
        <v>2006</v>
      </c>
      <c r="DR40" s="3">
        <v>1214</v>
      </c>
      <c r="DS40" s="3">
        <v>1150</v>
      </c>
      <c r="DT40" s="3">
        <v>1833</v>
      </c>
      <c r="DU40" s="3">
        <v>2067</v>
      </c>
      <c r="DV40" s="3">
        <v>2250</v>
      </c>
      <c r="DW40" s="3">
        <v>2458</v>
      </c>
      <c r="DX40" s="3">
        <v>1797</v>
      </c>
      <c r="DY40" s="3">
        <v>1635</v>
      </c>
      <c r="DZ40" s="3">
        <v>2280</v>
      </c>
      <c r="EA40" s="3">
        <v>1869</v>
      </c>
      <c r="EB40" s="3">
        <v>2803</v>
      </c>
      <c r="EC40" s="3">
        <v>2482</v>
      </c>
      <c r="ED40" s="3">
        <v>1484</v>
      </c>
      <c r="EE40" s="3">
        <v>1625</v>
      </c>
      <c r="EF40" s="3">
        <v>3007</v>
      </c>
      <c r="EG40" s="3">
        <v>2774</v>
      </c>
      <c r="EH40" s="3">
        <v>3850</v>
      </c>
      <c r="EI40" s="3">
        <v>3750</v>
      </c>
      <c r="EJ40" s="3">
        <v>2230</v>
      </c>
      <c r="EK40" s="3">
        <v>1520</v>
      </c>
      <c r="EL40" s="3">
        <v>3387</v>
      </c>
      <c r="EM40" s="3">
        <v>2602</v>
      </c>
      <c r="EN40" s="3">
        <v>3834</v>
      </c>
      <c r="EO40" s="3">
        <v>3277</v>
      </c>
      <c r="EP40" s="3">
        <v>441</v>
      </c>
      <c r="EQ40" s="3">
        <v>304</v>
      </c>
      <c r="ER40" s="3">
        <v>585</v>
      </c>
      <c r="ES40" s="3">
        <v>471</v>
      </c>
      <c r="ET40" s="3">
        <v>640</v>
      </c>
      <c r="EU40" s="3">
        <v>700</v>
      </c>
      <c r="EV40" s="3">
        <v>784</v>
      </c>
      <c r="EW40" s="3">
        <v>952</v>
      </c>
      <c r="EX40" s="3">
        <v>1171</v>
      </c>
      <c r="EY40" s="3">
        <v>826</v>
      </c>
      <c r="EZ40" s="3">
        <v>1061</v>
      </c>
      <c r="FA40" s="3">
        <v>1256</v>
      </c>
      <c r="FB40" s="3">
        <v>373</v>
      </c>
      <c r="FC40" s="3">
        <v>470</v>
      </c>
      <c r="FD40" s="3">
        <v>772</v>
      </c>
      <c r="FE40" s="3">
        <v>1101</v>
      </c>
      <c r="FF40" s="3">
        <v>1180</v>
      </c>
      <c r="FG40" s="3">
        <v>1094</v>
      </c>
      <c r="FH40" s="3">
        <v>614</v>
      </c>
      <c r="FI40" s="3">
        <v>648</v>
      </c>
      <c r="FJ40" s="3">
        <v>1084</v>
      </c>
      <c r="FK40" s="3">
        <v>921</v>
      </c>
      <c r="FL40" s="3">
        <v>1218</v>
      </c>
      <c r="FM40" s="3">
        <v>1253</v>
      </c>
      <c r="FN40" s="3">
        <v>832</v>
      </c>
      <c r="FO40" s="3">
        <v>563</v>
      </c>
      <c r="FP40" s="3">
        <v>1522</v>
      </c>
      <c r="FQ40" s="3">
        <v>1331</v>
      </c>
      <c r="FR40" s="3">
        <v>1805</v>
      </c>
      <c r="FS40" s="3">
        <v>1559</v>
      </c>
      <c r="FT40" s="3">
        <v>1012</v>
      </c>
      <c r="FU40" s="3">
        <v>805</v>
      </c>
      <c r="FV40" s="3">
        <v>1332</v>
      </c>
      <c r="FW40" s="3">
        <v>1268</v>
      </c>
      <c r="FX40" s="3">
        <v>1620</v>
      </c>
      <c r="FY40" s="3">
        <v>1575</v>
      </c>
      <c r="FZ40" s="3">
        <v>561</v>
      </c>
      <c r="GA40" s="3">
        <v>679</v>
      </c>
      <c r="GB40" s="3">
        <v>1162</v>
      </c>
      <c r="GC40" s="3">
        <v>875</v>
      </c>
      <c r="GD40" s="3">
        <v>1342</v>
      </c>
      <c r="GE40" s="3">
        <v>1316</v>
      </c>
      <c r="GF40" s="3">
        <v>1587</v>
      </c>
      <c r="GG40" s="3">
        <v>1278</v>
      </c>
      <c r="GH40" s="3">
        <v>2105</v>
      </c>
      <c r="GI40" s="3">
        <v>1832</v>
      </c>
      <c r="GJ40" s="3">
        <v>2551</v>
      </c>
      <c r="GK40" s="3">
        <v>2178</v>
      </c>
      <c r="GL40" s="3">
        <v>1198</v>
      </c>
      <c r="GM40" s="3">
        <v>1267</v>
      </c>
      <c r="GN40" s="3">
        <v>2093</v>
      </c>
      <c r="GO40" s="3">
        <v>1982</v>
      </c>
      <c r="GP40" s="3">
        <v>2662</v>
      </c>
      <c r="GQ40" s="3">
        <v>2551</v>
      </c>
      <c r="GR40" s="3">
        <v>1961</v>
      </c>
      <c r="GS40" s="3">
        <v>1570</v>
      </c>
      <c r="GT40" s="3">
        <v>2259</v>
      </c>
      <c r="GU40" s="3">
        <v>2013</v>
      </c>
      <c r="GV40" s="3">
        <v>2899</v>
      </c>
      <c r="GW40" s="3">
        <v>2283</v>
      </c>
      <c r="GX40" s="3">
        <v>1756</v>
      </c>
      <c r="GY40" s="3">
        <v>1741</v>
      </c>
      <c r="GZ40" s="3">
        <v>3097</v>
      </c>
      <c r="HA40" s="3">
        <v>2886</v>
      </c>
      <c r="HB40" s="3">
        <v>3548</v>
      </c>
      <c r="HC40" s="3">
        <v>3864</v>
      </c>
      <c r="HD40" s="3">
        <v>2025</v>
      </c>
      <c r="HE40" s="3">
        <v>1743</v>
      </c>
      <c r="HF40" s="3">
        <v>3147</v>
      </c>
      <c r="HG40" s="3">
        <v>2864</v>
      </c>
      <c r="HH40" s="3">
        <v>3974</v>
      </c>
      <c r="HI40" s="3">
        <v>3417</v>
      </c>
      <c r="HJ40" s="3">
        <v>218</v>
      </c>
      <c r="HK40" s="3">
        <v>341</v>
      </c>
      <c r="HL40" s="3">
        <v>464</v>
      </c>
      <c r="HM40" s="3">
        <v>549</v>
      </c>
      <c r="HN40" s="3">
        <v>671</v>
      </c>
      <c r="HO40" s="3">
        <v>607</v>
      </c>
      <c r="HP40" s="3">
        <v>664</v>
      </c>
      <c r="HQ40" s="3">
        <v>740</v>
      </c>
      <c r="HR40" s="3">
        <v>1154</v>
      </c>
      <c r="HS40" s="3">
        <v>1027</v>
      </c>
      <c r="HT40" s="3">
        <v>1242</v>
      </c>
      <c r="HU40" s="3">
        <v>927</v>
      </c>
      <c r="HV40" s="3">
        <v>726</v>
      </c>
      <c r="HW40" s="3">
        <v>663</v>
      </c>
      <c r="HX40" s="3">
        <v>999</v>
      </c>
      <c r="HY40" s="3">
        <v>853</v>
      </c>
      <c r="HZ40" s="3">
        <v>693</v>
      </c>
      <c r="IA40" s="3">
        <v>1445</v>
      </c>
      <c r="IB40" s="3">
        <v>1183</v>
      </c>
      <c r="IC40" s="3">
        <v>948</v>
      </c>
      <c r="ID40" s="3">
        <v>1276</v>
      </c>
      <c r="IE40" s="3">
        <v>841</v>
      </c>
      <c r="IF40" s="3">
        <v>1397</v>
      </c>
      <c r="IG40" s="3">
        <v>1122</v>
      </c>
      <c r="IH40" s="3">
        <v>945</v>
      </c>
      <c r="II40" s="3">
        <v>886</v>
      </c>
      <c r="IJ40" s="3">
        <v>1279</v>
      </c>
      <c r="IK40" s="3">
        <v>1440</v>
      </c>
      <c r="IL40" s="3">
        <v>1787</v>
      </c>
      <c r="IM40" s="3">
        <v>1920</v>
      </c>
      <c r="IN40" s="3">
        <v>1159</v>
      </c>
      <c r="IO40" s="3">
        <v>932</v>
      </c>
      <c r="IP40" s="3">
        <v>1728</v>
      </c>
      <c r="IQ40" s="3">
        <v>1228</v>
      </c>
      <c r="IR40" s="3">
        <v>1742</v>
      </c>
      <c r="IS40" s="3">
        <v>1690</v>
      </c>
      <c r="IT40" s="3">
        <v>719</v>
      </c>
      <c r="IU40" s="3">
        <v>571</v>
      </c>
      <c r="IV40" s="3">
        <v>893</v>
      </c>
      <c r="IW40" s="3">
        <v>860</v>
      </c>
      <c r="IX40" s="3">
        <v>1257</v>
      </c>
      <c r="IY40" s="3">
        <v>1399</v>
      </c>
      <c r="IZ40" s="3">
        <v>1969</v>
      </c>
      <c r="JA40" s="3">
        <v>1200</v>
      </c>
      <c r="JB40" s="3">
        <v>1995</v>
      </c>
      <c r="JC40" s="3">
        <v>1756</v>
      </c>
      <c r="JD40" s="3">
        <v>2020</v>
      </c>
      <c r="JE40" s="3">
        <v>2029</v>
      </c>
      <c r="JF40" s="3">
        <v>1164</v>
      </c>
      <c r="JG40" s="3">
        <v>1181</v>
      </c>
      <c r="JH40" s="3">
        <v>2235</v>
      </c>
      <c r="JI40" s="3">
        <v>1875</v>
      </c>
      <c r="JJ40" s="3">
        <v>2630</v>
      </c>
      <c r="JK40" s="3">
        <v>2311</v>
      </c>
      <c r="JL40" s="3">
        <v>1849</v>
      </c>
      <c r="JM40" s="3">
        <v>1553</v>
      </c>
      <c r="JN40" s="3">
        <v>2516</v>
      </c>
      <c r="JO40" s="3">
        <v>1986</v>
      </c>
      <c r="JP40" s="3">
        <v>2755</v>
      </c>
      <c r="JQ40" s="3">
        <v>2366</v>
      </c>
      <c r="JR40" s="3">
        <v>1560</v>
      </c>
      <c r="JS40" s="3">
        <v>1603</v>
      </c>
      <c r="JT40" s="3">
        <v>2953</v>
      </c>
      <c r="JU40" s="3">
        <v>3157</v>
      </c>
      <c r="JV40" s="3">
        <v>3940</v>
      </c>
      <c r="JW40" s="3">
        <v>3420</v>
      </c>
      <c r="JX40" s="3">
        <v>1769</v>
      </c>
      <c r="JY40" s="3">
        <v>1563</v>
      </c>
      <c r="JZ40" s="3">
        <v>3035</v>
      </c>
      <c r="KA40" s="3">
        <v>2809</v>
      </c>
      <c r="KB40" s="3">
        <v>3704</v>
      </c>
      <c r="KC40" s="3">
        <v>3267</v>
      </c>
      <c r="KD40" s="3">
        <v>289</v>
      </c>
      <c r="KE40" s="3">
        <v>368</v>
      </c>
      <c r="KF40" s="3">
        <v>485</v>
      </c>
      <c r="KG40" s="3">
        <v>461</v>
      </c>
      <c r="KH40" s="3">
        <v>676</v>
      </c>
      <c r="KI40" s="3">
        <v>626</v>
      </c>
      <c r="KJ40" s="3">
        <v>810</v>
      </c>
      <c r="KK40" s="3">
        <v>862</v>
      </c>
      <c r="KL40" s="3">
        <v>1211</v>
      </c>
      <c r="KM40" s="3">
        <v>1021</v>
      </c>
      <c r="KN40" s="3">
        <v>1112</v>
      </c>
      <c r="KO40" s="3">
        <v>1291</v>
      </c>
      <c r="KP40" s="3">
        <v>440</v>
      </c>
      <c r="KQ40" s="3">
        <v>522</v>
      </c>
      <c r="KR40" s="3">
        <v>786</v>
      </c>
      <c r="KS40" s="3">
        <v>908</v>
      </c>
      <c r="KT40" s="3">
        <v>1192</v>
      </c>
      <c r="KU40" s="3">
        <v>1225</v>
      </c>
      <c r="KV40" s="3">
        <v>1011</v>
      </c>
      <c r="KW40" s="3">
        <v>998</v>
      </c>
      <c r="KX40" s="3">
        <v>1253</v>
      </c>
      <c r="KY40" s="3">
        <v>1049</v>
      </c>
      <c r="KZ40" s="3">
        <v>1393</v>
      </c>
      <c r="LA40" s="3">
        <v>1013</v>
      </c>
      <c r="LB40" s="3">
        <v>850</v>
      </c>
      <c r="LC40" s="3">
        <v>967</v>
      </c>
      <c r="LD40" s="3">
        <v>1536</v>
      </c>
      <c r="LE40" s="3">
        <v>1198</v>
      </c>
      <c r="LF40" s="3">
        <v>1617</v>
      </c>
      <c r="LG40" s="3">
        <v>1499</v>
      </c>
      <c r="LH40" s="3">
        <v>1074</v>
      </c>
      <c r="LI40" s="3">
        <v>848</v>
      </c>
      <c r="LJ40" s="3">
        <v>1344</v>
      </c>
      <c r="LK40" s="3">
        <v>1285</v>
      </c>
      <c r="LL40" s="3">
        <v>1774</v>
      </c>
      <c r="LM40" s="3">
        <v>1762</v>
      </c>
      <c r="LN40" s="3">
        <v>579</v>
      </c>
      <c r="LO40" s="3">
        <v>711</v>
      </c>
      <c r="LP40" s="3">
        <v>1000</v>
      </c>
      <c r="LQ40" s="3">
        <v>978</v>
      </c>
      <c r="LR40" s="3">
        <v>1197</v>
      </c>
      <c r="LS40" s="3">
        <v>1104</v>
      </c>
      <c r="LT40" s="3">
        <v>1422</v>
      </c>
      <c r="LU40" s="3">
        <v>1156</v>
      </c>
      <c r="LV40" s="3">
        <v>2309</v>
      </c>
      <c r="LW40" s="3">
        <v>1946</v>
      </c>
      <c r="LX40" s="3">
        <v>2240</v>
      </c>
      <c r="LY40" s="3">
        <v>2080</v>
      </c>
      <c r="LZ40" s="3">
        <v>1146</v>
      </c>
      <c r="MA40" s="3">
        <v>1552</v>
      </c>
      <c r="MB40" s="3">
        <v>2103</v>
      </c>
      <c r="MC40" s="3">
        <v>2080</v>
      </c>
      <c r="MD40" s="3">
        <v>2169</v>
      </c>
      <c r="ME40" s="3">
        <v>2499</v>
      </c>
      <c r="MF40" s="3">
        <v>1929</v>
      </c>
      <c r="MG40" s="3">
        <v>1385</v>
      </c>
      <c r="MH40" s="3">
        <v>2324</v>
      </c>
      <c r="MI40" s="3">
        <v>2416</v>
      </c>
      <c r="MJ40" s="3">
        <v>2575</v>
      </c>
      <c r="MK40" s="3">
        <v>2634</v>
      </c>
      <c r="ML40" s="3">
        <v>1832</v>
      </c>
      <c r="MM40" s="3">
        <v>2002</v>
      </c>
      <c r="MN40" s="3">
        <v>3023</v>
      </c>
      <c r="MO40" s="3">
        <v>2771</v>
      </c>
      <c r="MP40" s="3">
        <v>3811</v>
      </c>
      <c r="MQ40" s="3">
        <v>4104</v>
      </c>
      <c r="MR40" s="3">
        <v>2068</v>
      </c>
      <c r="MS40" s="3">
        <v>1719</v>
      </c>
      <c r="MT40" s="3">
        <v>2853</v>
      </c>
      <c r="MU40" s="3">
        <v>2764</v>
      </c>
      <c r="MV40" s="3">
        <v>3905</v>
      </c>
      <c r="MW40" s="3">
        <v>3457</v>
      </c>
    </row>
    <row r="41" spans="1:361" x14ac:dyDescent="0.3">
      <c r="A41" s="3">
        <v>30</v>
      </c>
      <c r="B41" s="3">
        <v>440</v>
      </c>
      <c r="C41" s="3">
        <v>283</v>
      </c>
      <c r="D41" s="3">
        <v>473</v>
      </c>
      <c r="E41" s="3">
        <v>471</v>
      </c>
      <c r="F41" s="3">
        <v>591</v>
      </c>
      <c r="G41" s="3">
        <v>534</v>
      </c>
      <c r="H41" s="3">
        <v>1006</v>
      </c>
      <c r="I41" s="3">
        <v>973</v>
      </c>
      <c r="J41" s="3">
        <v>1067</v>
      </c>
      <c r="K41" s="3">
        <v>800</v>
      </c>
      <c r="L41" s="3">
        <v>1429</v>
      </c>
      <c r="M41" s="3">
        <v>900</v>
      </c>
      <c r="N41" s="3">
        <v>553</v>
      </c>
      <c r="O41" s="3">
        <v>487</v>
      </c>
      <c r="P41" s="3">
        <v>1043</v>
      </c>
      <c r="Q41" s="3">
        <v>1014</v>
      </c>
      <c r="R41" s="3">
        <v>1039</v>
      </c>
      <c r="S41" s="3">
        <v>910</v>
      </c>
      <c r="T41" s="3">
        <v>820</v>
      </c>
      <c r="U41" s="3">
        <v>904</v>
      </c>
      <c r="V41" s="3">
        <v>1035</v>
      </c>
      <c r="W41" s="3">
        <v>1121</v>
      </c>
      <c r="X41" s="3">
        <v>1292</v>
      </c>
      <c r="Y41" s="3">
        <v>1002</v>
      </c>
      <c r="Z41" s="3">
        <v>1056</v>
      </c>
      <c r="AA41" s="3">
        <v>913</v>
      </c>
      <c r="AB41" s="3">
        <v>1181</v>
      </c>
      <c r="AC41" s="3">
        <v>1342</v>
      </c>
      <c r="AD41" s="3">
        <v>1843</v>
      </c>
      <c r="AE41" s="3">
        <v>1841</v>
      </c>
      <c r="AF41" s="3">
        <v>1080</v>
      </c>
      <c r="AG41" s="3">
        <v>1123</v>
      </c>
      <c r="AH41" s="3">
        <v>1852</v>
      </c>
      <c r="AI41" s="3">
        <v>1143</v>
      </c>
      <c r="AJ41" s="3">
        <v>2018</v>
      </c>
      <c r="AK41" s="3">
        <v>1297</v>
      </c>
      <c r="AL41" s="3">
        <v>741</v>
      </c>
      <c r="AM41" s="3">
        <v>665</v>
      </c>
      <c r="AN41" s="3">
        <v>1106</v>
      </c>
      <c r="AO41" s="3">
        <v>839</v>
      </c>
      <c r="AP41" s="3">
        <v>1372</v>
      </c>
      <c r="AQ41" s="3">
        <v>1288</v>
      </c>
      <c r="AR41" s="3">
        <v>2007</v>
      </c>
      <c r="AS41" s="3">
        <v>1538</v>
      </c>
      <c r="AT41" s="3">
        <v>2226</v>
      </c>
      <c r="AU41" s="3">
        <v>1704</v>
      </c>
      <c r="AV41" s="3">
        <v>2356</v>
      </c>
      <c r="AW41" s="3">
        <v>2211</v>
      </c>
      <c r="AX41" s="3">
        <v>1153</v>
      </c>
      <c r="AY41" s="3">
        <v>1478</v>
      </c>
      <c r="AZ41" s="3">
        <v>1752</v>
      </c>
      <c r="BA41" s="3">
        <v>1997</v>
      </c>
      <c r="BB41" s="3">
        <v>2703</v>
      </c>
      <c r="BC41" s="3">
        <v>2239</v>
      </c>
      <c r="BD41" s="3">
        <v>1743</v>
      </c>
      <c r="BE41" s="3">
        <v>1459</v>
      </c>
      <c r="BF41" s="3">
        <v>2516</v>
      </c>
      <c r="BG41" s="3">
        <v>2038</v>
      </c>
      <c r="BH41" s="3">
        <v>2589</v>
      </c>
      <c r="BI41" s="3">
        <v>2514</v>
      </c>
      <c r="BJ41" s="3">
        <v>1573</v>
      </c>
      <c r="BK41" s="3">
        <v>1999</v>
      </c>
      <c r="BL41" s="3">
        <v>2853</v>
      </c>
      <c r="BM41" s="3">
        <v>2283</v>
      </c>
      <c r="BN41" s="3">
        <v>3870</v>
      </c>
      <c r="BO41" s="3">
        <v>3462</v>
      </c>
      <c r="BP41" s="3">
        <v>2054</v>
      </c>
      <c r="BQ41" s="3">
        <v>1388</v>
      </c>
      <c r="BR41" s="3">
        <v>2717</v>
      </c>
      <c r="BS41" s="3">
        <v>2665</v>
      </c>
      <c r="BT41" s="3">
        <v>3424</v>
      </c>
      <c r="BU41" s="3">
        <v>3068</v>
      </c>
      <c r="BV41" s="3">
        <v>381</v>
      </c>
      <c r="BW41" s="3">
        <v>261</v>
      </c>
      <c r="BX41" s="3">
        <v>413</v>
      </c>
      <c r="BY41" s="3">
        <v>434</v>
      </c>
      <c r="BZ41" s="3">
        <v>596</v>
      </c>
      <c r="CA41" s="3">
        <v>573</v>
      </c>
      <c r="CB41" s="3">
        <v>553</v>
      </c>
      <c r="CC41" s="3">
        <v>682</v>
      </c>
      <c r="CD41" s="3">
        <v>1122</v>
      </c>
      <c r="CE41" s="3">
        <v>1098</v>
      </c>
      <c r="CF41" s="3">
        <v>915</v>
      </c>
      <c r="CG41" s="3">
        <v>1027</v>
      </c>
      <c r="CH41" s="3">
        <v>656</v>
      </c>
      <c r="CI41" s="3">
        <v>576</v>
      </c>
      <c r="CJ41" s="3">
        <v>1137</v>
      </c>
      <c r="CK41" s="3">
        <v>979</v>
      </c>
      <c r="CL41" s="3">
        <v>1120</v>
      </c>
      <c r="CM41" s="3">
        <v>900</v>
      </c>
      <c r="CN41" s="3">
        <v>750</v>
      </c>
      <c r="CO41" s="3">
        <v>785</v>
      </c>
      <c r="CP41" s="3">
        <v>1108</v>
      </c>
      <c r="CQ41" s="3">
        <v>1098</v>
      </c>
      <c r="CR41" s="3">
        <v>1422</v>
      </c>
      <c r="CS41" s="3">
        <v>1136</v>
      </c>
      <c r="CT41" s="3">
        <v>1032</v>
      </c>
      <c r="CU41" s="3">
        <v>838</v>
      </c>
      <c r="CV41" s="3">
        <v>1262</v>
      </c>
      <c r="CW41" s="3">
        <v>1125</v>
      </c>
      <c r="CX41" s="3">
        <v>1323</v>
      </c>
      <c r="CY41" s="3">
        <v>1511</v>
      </c>
      <c r="CZ41" s="3">
        <v>1175</v>
      </c>
      <c r="DA41" s="3">
        <v>865</v>
      </c>
      <c r="DB41" s="3">
        <v>1640</v>
      </c>
      <c r="DC41" s="3">
        <v>1331</v>
      </c>
      <c r="DD41" s="3">
        <v>1755</v>
      </c>
      <c r="DE41" s="3">
        <v>1419</v>
      </c>
      <c r="DF41" s="3">
        <v>700</v>
      </c>
      <c r="DG41" s="3">
        <v>644</v>
      </c>
      <c r="DH41" s="3">
        <v>1000</v>
      </c>
      <c r="DI41" s="3">
        <v>1097</v>
      </c>
      <c r="DJ41" s="3">
        <v>1277</v>
      </c>
      <c r="DK41" s="3">
        <v>1286</v>
      </c>
      <c r="DL41" s="3">
        <v>2037</v>
      </c>
      <c r="DM41" s="3">
        <v>1480</v>
      </c>
      <c r="DN41" s="3">
        <v>1939</v>
      </c>
      <c r="DO41" s="3">
        <v>1766</v>
      </c>
      <c r="DP41" s="3">
        <v>2670</v>
      </c>
      <c r="DQ41" s="3">
        <v>2006</v>
      </c>
      <c r="DR41" s="3">
        <v>1214</v>
      </c>
      <c r="DS41" s="3">
        <v>1150</v>
      </c>
      <c r="DT41" s="3">
        <v>1830</v>
      </c>
      <c r="DU41" s="3">
        <v>2077</v>
      </c>
      <c r="DV41" s="3">
        <v>2250</v>
      </c>
      <c r="DW41" s="3">
        <v>2458</v>
      </c>
      <c r="DX41" s="3">
        <v>1797</v>
      </c>
      <c r="DY41" s="3">
        <v>1635</v>
      </c>
      <c r="DZ41" s="3">
        <v>2280</v>
      </c>
      <c r="EA41" s="3">
        <v>1851</v>
      </c>
      <c r="EB41" s="3">
        <v>2779</v>
      </c>
      <c r="EC41" s="3">
        <v>2456</v>
      </c>
      <c r="ED41" s="3">
        <v>1485</v>
      </c>
      <c r="EE41" s="3">
        <v>1625</v>
      </c>
      <c r="EF41" s="3">
        <v>3001</v>
      </c>
      <c r="EG41" s="3">
        <v>2781</v>
      </c>
      <c r="EH41" s="3">
        <v>3852</v>
      </c>
      <c r="EI41" s="3">
        <v>3736</v>
      </c>
      <c r="EJ41" s="3">
        <v>2220</v>
      </c>
      <c r="EK41" s="3">
        <v>1519</v>
      </c>
      <c r="EL41" s="3">
        <v>3392</v>
      </c>
      <c r="EM41" s="3">
        <v>2569</v>
      </c>
      <c r="EN41" s="3">
        <v>3842</v>
      </c>
      <c r="EO41" s="3">
        <v>3287</v>
      </c>
      <c r="EP41" s="3">
        <v>441</v>
      </c>
      <c r="EQ41" s="3">
        <v>304</v>
      </c>
      <c r="ER41" s="3">
        <v>585</v>
      </c>
      <c r="ES41" s="3">
        <v>471</v>
      </c>
      <c r="ET41" s="3">
        <v>640</v>
      </c>
      <c r="EU41" s="3">
        <v>694</v>
      </c>
      <c r="EV41" s="3">
        <v>784</v>
      </c>
      <c r="EW41" s="3">
        <v>952</v>
      </c>
      <c r="EX41" s="3">
        <v>1171</v>
      </c>
      <c r="EY41" s="3">
        <v>826</v>
      </c>
      <c r="EZ41" s="3">
        <v>1061</v>
      </c>
      <c r="FA41" s="3">
        <v>1256</v>
      </c>
      <c r="FB41" s="3">
        <v>373</v>
      </c>
      <c r="FC41" s="3">
        <v>470</v>
      </c>
      <c r="FD41" s="3">
        <v>772</v>
      </c>
      <c r="FE41" s="3">
        <v>1101</v>
      </c>
      <c r="FF41" s="3">
        <v>1180</v>
      </c>
      <c r="FG41" s="3">
        <v>1094</v>
      </c>
      <c r="FH41" s="3">
        <v>614</v>
      </c>
      <c r="FI41" s="3">
        <v>648</v>
      </c>
      <c r="FJ41" s="3">
        <v>1084</v>
      </c>
      <c r="FK41" s="3">
        <v>921</v>
      </c>
      <c r="FL41" s="3">
        <v>1223</v>
      </c>
      <c r="FM41" s="3">
        <v>1255</v>
      </c>
      <c r="FN41" s="3">
        <v>832</v>
      </c>
      <c r="FO41" s="3">
        <v>563</v>
      </c>
      <c r="FP41" s="3">
        <v>1522</v>
      </c>
      <c r="FQ41" s="3">
        <v>1328</v>
      </c>
      <c r="FR41" s="3">
        <v>1812</v>
      </c>
      <c r="FS41" s="3">
        <v>1559</v>
      </c>
      <c r="FT41" s="3">
        <v>1013</v>
      </c>
      <c r="FU41" s="3">
        <v>805</v>
      </c>
      <c r="FV41" s="3">
        <v>1333</v>
      </c>
      <c r="FW41" s="3">
        <v>1271</v>
      </c>
      <c r="FX41" s="3">
        <v>1618</v>
      </c>
      <c r="FY41" s="3">
        <v>1567</v>
      </c>
      <c r="FZ41" s="3">
        <v>561</v>
      </c>
      <c r="GA41" s="3">
        <v>679</v>
      </c>
      <c r="GB41" s="3">
        <v>1163</v>
      </c>
      <c r="GC41" s="3">
        <v>878</v>
      </c>
      <c r="GD41" s="3">
        <v>1342</v>
      </c>
      <c r="GE41" s="3">
        <v>1316</v>
      </c>
      <c r="GF41" s="3">
        <v>1587</v>
      </c>
      <c r="GG41" s="3">
        <v>1278</v>
      </c>
      <c r="GH41" s="3">
        <v>2105</v>
      </c>
      <c r="GI41" s="3">
        <v>1832</v>
      </c>
      <c r="GJ41" s="3">
        <v>2551</v>
      </c>
      <c r="GK41" s="3">
        <v>2178</v>
      </c>
      <c r="GL41" s="3">
        <v>1200</v>
      </c>
      <c r="GM41" s="3">
        <v>1267</v>
      </c>
      <c r="GN41" s="3">
        <v>2095</v>
      </c>
      <c r="GO41" s="3">
        <v>1981</v>
      </c>
      <c r="GP41" s="3">
        <v>2662</v>
      </c>
      <c r="GQ41" s="3">
        <v>2551</v>
      </c>
      <c r="GR41" s="3">
        <v>1961</v>
      </c>
      <c r="GS41" s="3">
        <v>1570</v>
      </c>
      <c r="GT41" s="3">
        <v>2265</v>
      </c>
      <c r="GU41" s="3">
        <v>2013</v>
      </c>
      <c r="GV41" s="3">
        <v>2893</v>
      </c>
      <c r="GW41" s="3">
        <v>2292</v>
      </c>
      <c r="GX41" s="3">
        <v>1756</v>
      </c>
      <c r="GY41" s="3">
        <v>1741</v>
      </c>
      <c r="GZ41" s="3">
        <v>3097</v>
      </c>
      <c r="HA41" s="3">
        <v>2886</v>
      </c>
      <c r="HB41" s="3">
        <v>3545</v>
      </c>
      <c r="HC41" s="3">
        <v>3864</v>
      </c>
      <c r="HD41" s="3">
        <v>2024</v>
      </c>
      <c r="HE41" s="3">
        <v>1750</v>
      </c>
      <c r="HF41" s="3">
        <v>3146</v>
      </c>
      <c r="HG41" s="3">
        <v>2848</v>
      </c>
      <c r="HH41" s="3">
        <v>3981</v>
      </c>
      <c r="HI41" s="3">
        <v>3438</v>
      </c>
      <c r="HJ41" s="3">
        <v>218</v>
      </c>
      <c r="HK41" s="3">
        <v>341</v>
      </c>
      <c r="HL41" s="3">
        <v>464</v>
      </c>
      <c r="HM41" s="3">
        <v>543</v>
      </c>
      <c r="HN41" s="3">
        <v>671</v>
      </c>
      <c r="HO41" s="3">
        <v>607</v>
      </c>
      <c r="HP41" s="3">
        <v>664</v>
      </c>
      <c r="HQ41" s="3">
        <v>740</v>
      </c>
      <c r="HR41" s="3">
        <v>1154</v>
      </c>
      <c r="HS41" s="3">
        <v>1027</v>
      </c>
      <c r="HT41" s="3">
        <v>1242</v>
      </c>
      <c r="HU41" s="3">
        <v>927</v>
      </c>
      <c r="HV41" s="3">
        <v>726</v>
      </c>
      <c r="HW41" s="3">
        <v>663</v>
      </c>
      <c r="HX41" s="3">
        <v>999</v>
      </c>
      <c r="HY41" s="3">
        <v>853</v>
      </c>
      <c r="HZ41" s="3">
        <v>694</v>
      </c>
      <c r="IA41" s="3">
        <v>1445</v>
      </c>
      <c r="IB41" s="3">
        <v>1183</v>
      </c>
      <c r="IC41" s="3">
        <v>948</v>
      </c>
      <c r="ID41" s="3">
        <v>1276</v>
      </c>
      <c r="IE41" s="3">
        <v>846</v>
      </c>
      <c r="IF41" s="3">
        <v>1401</v>
      </c>
      <c r="IG41" s="3">
        <v>1128</v>
      </c>
      <c r="IH41" s="3">
        <v>945</v>
      </c>
      <c r="II41" s="3">
        <v>888</v>
      </c>
      <c r="IJ41" s="3">
        <v>1279</v>
      </c>
      <c r="IK41" s="3">
        <v>1440</v>
      </c>
      <c r="IL41" s="3">
        <v>1787</v>
      </c>
      <c r="IM41" s="3">
        <v>1920</v>
      </c>
      <c r="IN41" s="3">
        <v>1159</v>
      </c>
      <c r="IO41" s="3">
        <v>932</v>
      </c>
      <c r="IP41" s="3">
        <v>1731</v>
      </c>
      <c r="IQ41" s="3">
        <v>1226</v>
      </c>
      <c r="IR41" s="3">
        <v>1746</v>
      </c>
      <c r="IS41" s="3">
        <v>1687</v>
      </c>
      <c r="IT41" s="3">
        <v>719</v>
      </c>
      <c r="IU41" s="3">
        <v>571</v>
      </c>
      <c r="IV41" s="3">
        <v>892</v>
      </c>
      <c r="IW41" s="3">
        <v>860</v>
      </c>
      <c r="IX41" s="3">
        <v>1253</v>
      </c>
      <c r="IY41" s="3">
        <v>1399</v>
      </c>
      <c r="IZ41" s="3">
        <v>1969</v>
      </c>
      <c r="JA41" s="3">
        <v>1200</v>
      </c>
      <c r="JB41" s="3">
        <v>1995</v>
      </c>
      <c r="JC41" s="3">
        <v>1756</v>
      </c>
      <c r="JD41" s="3">
        <v>2019</v>
      </c>
      <c r="JE41" s="3">
        <v>2029</v>
      </c>
      <c r="JF41" s="3">
        <v>1164</v>
      </c>
      <c r="JG41" s="3">
        <v>1181</v>
      </c>
      <c r="JH41" s="3">
        <v>2235</v>
      </c>
      <c r="JI41" s="3">
        <v>1875</v>
      </c>
      <c r="JJ41" s="3">
        <v>2630</v>
      </c>
      <c r="JK41" s="3">
        <v>2299</v>
      </c>
      <c r="JL41" s="3">
        <v>1849</v>
      </c>
      <c r="JM41" s="3">
        <v>1553</v>
      </c>
      <c r="JN41" s="3">
        <v>2516</v>
      </c>
      <c r="JO41" s="3">
        <v>2001</v>
      </c>
      <c r="JP41" s="3">
        <v>2772</v>
      </c>
      <c r="JQ41" s="3">
        <v>2354</v>
      </c>
      <c r="JR41" s="3">
        <v>1560</v>
      </c>
      <c r="JS41" s="3">
        <v>1596</v>
      </c>
      <c r="JT41" s="3">
        <v>2951</v>
      </c>
      <c r="JU41" s="3">
        <v>3157</v>
      </c>
      <c r="JV41" s="3">
        <v>3944</v>
      </c>
      <c r="JW41" s="3">
        <v>3420</v>
      </c>
      <c r="JX41" s="3">
        <v>1773</v>
      </c>
      <c r="JY41" s="3">
        <v>1556</v>
      </c>
      <c r="JZ41" s="3">
        <v>3043</v>
      </c>
      <c r="KA41" s="3">
        <v>2812</v>
      </c>
      <c r="KB41" s="3">
        <v>3712</v>
      </c>
      <c r="KC41" s="3">
        <v>3275</v>
      </c>
      <c r="KD41" s="3">
        <v>289</v>
      </c>
      <c r="KE41" s="3">
        <v>368</v>
      </c>
      <c r="KF41" s="3">
        <v>485</v>
      </c>
      <c r="KG41" s="3">
        <v>457</v>
      </c>
      <c r="KH41" s="3">
        <v>677</v>
      </c>
      <c r="KI41" s="3">
        <v>619</v>
      </c>
      <c r="KJ41" s="3">
        <v>810</v>
      </c>
      <c r="KK41" s="3">
        <v>862</v>
      </c>
      <c r="KL41" s="3">
        <v>1211</v>
      </c>
      <c r="KM41" s="3">
        <v>1021</v>
      </c>
      <c r="KN41" s="3">
        <v>1112</v>
      </c>
      <c r="KO41" s="3">
        <v>1291</v>
      </c>
      <c r="KP41" s="3">
        <v>440</v>
      </c>
      <c r="KQ41" s="3">
        <v>522</v>
      </c>
      <c r="KR41" s="3">
        <v>786</v>
      </c>
      <c r="KS41" s="3">
        <v>908</v>
      </c>
      <c r="KT41" s="3">
        <v>1192</v>
      </c>
      <c r="KU41" s="3">
        <v>1225</v>
      </c>
      <c r="KV41" s="3">
        <v>1011</v>
      </c>
      <c r="KW41" s="3">
        <v>998</v>
      </c>
      <c r="KX41" s="3">
        <v>1253</v>
      </c>
      <c r="KY41" s="3">
        <v>1049</v>
      </c>
      <c r="KZ41" s="3">
        <v>1393</v>
      </c>
      <c r="LA41" s="3">
        <v>997</v>
      </c>
      <c r="LB41" s="3">
        <v>850</v>
      </c>
      <c r="LC41" s="3">
        <v>967</v>
      </c>
      <c r="LD41" s="3">
        <v>1537</v>
      </c>
      <c r="LE41" s="3">
        <v>1193</v>
      </c>
      <c r="LF41" s="3">
        <v>1617</v>
      </c>
      <c r="LG41" s="3">
        <v>1499</v>
      </c>
      <c r="LH41" s="3">
        <v>1074</v>
      </c>
      <c r="LI41" s="3">
        <v>848</v>
      </c>
      <c r="LJ41" s="3">
        <v>1344</v>
      </c>
      <c r="LK41" s="3">
        <v>1295</v>
      </c>
      <c r="LL41" s="3">
        <v>1771</v>
      </c>
      <c r="LM41" s="3">
        <v>1757</v>
      </c>
      <c r="LN41" s="3">
        <v>579</v>
      </c>
      <c r="LO41" s="3">
        <v>711</v>
      </c>
      <c r="LP41" s="3">
        <v>1001</v>
      </c>
      <c r="LQ41" s="3">
        <v>978</v>
      </c>
      <c r="LR41" s="3">
        <v>1195</v>
      </c>
      <c r="LS41" s="3">
        <v>1119</v>
      </c>
      <c r="LT41" s="3">
        <v>1422</v>
      </c>
      <c r="LU41" s="3">
        <v>1156</v>
      </c>
      <c r="LV41" s="3">
        <v>2309</v>
      </c>
      <c r="LW41" s="3">
        <v>1946</v>
      </c>
      <c r="LX41" s="3">
        <v>2240</v>
      </c>
      <c r="LY41" s="3">
        <v>2080</v>
      </c>
      <c r="LZ41" s="3">
        <v>1147</v>
      </c>
      <c r="MA41" s="3">
        <v>1552</v>
      </c>
      <c r="MB41" s="3">
        <v>2098</v>
      </c>
      <c r="MC41" s="3">
        <v>2080</v>
      </c>
      <c r="MD41" s="3">
        <v>2175</v>
      </c>
      <c r="ME41" s="3">
        <v>2499</v>
      </c>
      <c r="MF41" s="3">
        <v>1929</v>
      </c>
      <c r="MG41" s="3">
        <v>1385</v>
      </c>
      <c r="MH41" s="3">
        <v>2321</v>
      </c>
      <c r="MI41" s="3">
        <v>2416</v>
      </c>
      <c r="MJ41" s="3">
        <v>2586</v>
      </c>
      <c r="MK41" s="3">
        <v>2641</v>
      </c>
      <c r="ML41" s="3">
        <v>1828</v>
      </c>
      <c r="MM41" s="3">
        <v>2002</v>
      </c>
      <c r="MN41" s="3">
        <v>3023</v>
      </c>
      <c r="MO41" s="3">
        <v>2774</v>
      </c>
      <c r="MP41" s="3">
        <v>3811</v>
      </c>
      <c r="MQ41" s="3">
        <v>4104</v>
      </c>
      <c r="MR41" s="3">
        <v>2068</v>
      </c>
      <c r="MS41" s="3">
        <v>1719</v>
      </c>
      <c r="MT41" s="3">
        <v>2848</v>
      </c>
      <c r="MU41" s="3">
        <v>2755</v>
      </c>
      <c r="MV41" s="3">
        <v>3904</v>
      </c>
      <c r="MW41" s="3">
        <v>3443</v>
      </c>
    </row>
    <row r="43" spans="1:361" x14ac:dyDescent="0.3">
      <c r="A43" s="3">
        <v>1</v>
      </c>
      <c r="B43" s="3">
        <v>0.45900000000000002</v>
      </c>
      <c r="C43" s="3">
        <v>1E-3</v>
      </c>
      <c r="D43" s="3">
        <v>0.76800000000000002</v>
      </c>
      <c r="E43" s="3">
        <v>1.0620000000000001</v>
      </c>
      <c r="F43" s="3">
        <v>1E-3</v>
      </c>
      <c r="G43" s="3">
        <v>1.4039999999999999</v>
      </c>
      <c r="H43" s="3">
        <v>6.0000000000000001E-3</v>
      </c>
      <c r="I43" s="3">
        <v>8.9999999999999993E-3</v>
      </c>
      <c r="J43" s="3">
        <v>1.0999999999999999E-2</v>
      </c>
      <c r="K43" s="3">
        <v>1.2E-2</v>
      </c>
      <c r="L43" s="3">
        <v>6.4000000000000001E-2</v>
      </c>
      <c r="M43" s="3">
        <v>0.1</v>
      </c>
      <c r="N43" s="3">
        <v>0.745</v>
      </c>
      <c r="O43" s="3">
        <v>0.83599999999999997</v>
      </c>
      <c r="P43" s="3">
        <v>2.012</v>
      </c>
      <c r="Q43" s="3">
        <v>0</v>
      </c>
      <c r="R43" s="3">
        <v>2.899</v>
      </c>
      <c r="S43" s="3">
        <v>3.024</v>
      </c>
      <c r="T43" s="3">
        <v>6.0000000000000001E-3</v>
      </c>
      <c r="U43" s="3">
        <v>1.2E-2</v>
      </c>
      <c r="V43" s="3">
        <v>0.19800000000000001</v>
      </c>
      <c r="W43" s="3">
        <v>2.637</v>
      </c>
      <c r="X43" s="3">
        <v>3.9319999999999999</v>
      </c>
      <c r="Y43" s="3">
        <v>4.1909999999999998</v>
      </c>
      <c r="Z43" s="3">
        <v>1.6830000000000001</v>
      </c>
      <c r="AA43" s="3">
        <v>2.6</v>
      </c>
      <c r="AB43" s="3">
        <v>4.298</v>
      </c>
      <c r="AC43" s="3">
        <v>3.9409999999999998</v>
      </c>
      <c r="AD43" s="3">
        <v>4.7530000000000001</v>
      </c>
      <c r="AE43" s="3">
        <v>0</v>
      </c>
      <c r="AF43" s="3">
        <v>2.222</v>
      </c>
      <c r="AG43" s="3">
        <v>2.2789999999999999</v>
      </c>
      <c r="AH43" s="3">
        <v>5.6790000000000003</v>
      </c>
      <c r="AI43" s="3">
        <v>5.9859999999999998</v>
      </c>
      <c r="AJ43" s="3">
        <v>5.7089999999999996</v>
      </c>
      <c r="AK43" s="3">
        <v>8.2840000000000007</v>
      </c>
      <c r="AL43" s="3">
        <v>1.6E-2</v>
      </c>
      <c r="AM43" s="3">
        <v>1.4999999999999999E-2</v>
      </c>
      <c r="AN43" s="3">
        <v>7.9039999999999999</v>
      </c>
      <c r="AO43" s="3">
        <v>0.23400000000000001</v>
      </c>
      <c r="AP43" s="3">
        <v>8.4039999999999999</v>
      </c>
      <c r="AQ43" s="3">
        <v>0</v>
      </c>
      <c r="AR43" s="3">
        <v>1.4999999999999999E-2</v>
      </c>
      <c r="AS43" s="3">
        <v>1.6E-2</v>
      </c>
      <c r="AT43" s="3">
        <v>1.6E-2</v>
      </c>
      <c r="AU43" s="3">
        <v>6.2E-2</v>
      </c>
      <c r="AV43" s="3">
        <v>1.91</v>
      </c>
      <c r="AW43" s="3">
        <v>0.32800000000000001</v>
      </c>
      <c r="AX43" s="3">
        <v>0</v>
      </c>
      <c r="AY43" s="3">
        <v>8.3260000000000005</v>
      </c>
      <c r="AZ43" s="3">
        <v>19.792000000000002</v>
      </c>
      <c r="BA43" s="3">
        <v>6.03</v>
      </c>
      <c r="BB43" s="3">
        <v>26.774999999999999</v>
      </c>
      <c r="BC43" s="3">
        <v>30.977</v>
      </c>
      <c r="BD43" s="3">
        <v>1.6E-2</v>
      </c>
      <c r="BE43" s="3">
        <v>1.4999999999999999E-2</v>
      </c>
      <c r="BF43" s="3">
        <v>20.027000000000001</v>
      </c>
      <c r="BG43" s="3">
        <v>24.338000000000001</v>
      </c>
      <c r="BH43" s="3">
        <v>52.207000000000001</v>
      </c>
      <c r="BI43" s="3">
        <v>80.028000000000006</v>
      </c>
      <c r="BJ43" s="3">
        <v>12.278</v>
      </c>
      <c r="BK43" s="3">
        <v>21.446999999999999</v>
      </c>
      <c r="BL43" s="3">
        <v>0</v>
      </c>
      <c r="BM43" s="3">
        <v>42.506999999999998</v>
      </c>
      <c r="BN43" s="3">
        <v>54.643999999999998</v>
      </c>
      <c r="BO43" s="3">
        <v>52.456000000000003</v>
      </c>
      <c r="BP43" s="3">
        <v>27.79</v>
      </c>
      <c r="BQ43" s="3">
        <v>23.541</v>
      </c>
      <c r="BR43" s="3">
        <v>53.987000000000002</v>
      </c>
      <c r="BS43" s="3">
        <v>53.706000000000003</v>
      </c>
      <c r="BT43" s="3">
        <v>75.248000000000005</v>
      </c>
      <c r="BU43" s="3">
        <v>82.715000000000003</v>
      </c>
      <c r="BV43" s="3">
        <v>0.13400000000000001</v>
      </c>
      <c r="BW43" s="3">
        <v>1E-3</v>
      </c>
      <c r="BX43" s="3">
        <v>0.72199999999999998</v>
      </c>
      <c r="BY43" s="3">
        <v>0.91900000000000004</v>
      </c>
      <c r="BZ43" s="3">
        <v>1.099</v>
      </c>
      <c r="CA43" s="3">
        <v>1.103</v>
      </c>
      <c r="CB43" s="3">
        <v>6.0000000000000001E-3</v>
      </c>
      <c r="CC43" s="3">
        <v>6.0000000000000001E-3</v>
      </c>
      <c r="CD43" s="3">
        <v>5.0000000000000001E-3</v>
      </c>
      <c r="CE43" s="3">
        <v>6.0000000000000001E-3</v>
      </c>
      <c r="CF43" s="3">
        <v>1.7999999999999999E-2</v>
      </c>
      <c r="CG43" s="3">
        <v>0.01</v>
      </c>
      <c r="CH43" s="3">
        <v>0.95299999999999996</v>
      </c>
      <c r="CI43" s="3">
        <v>5.0000000000000001E-3</v>
      </c>
      <c r="CJ43" s="3">
        <v>1.97</v>
      </c>
      <c r="CK43" s="3">
        <v>2.2029999999999998</v>
      </c>
      <c r="CL43" s="3">
        <v>0</v>
      </c>
      <c r="CM43" s="3">
        <v>1E-3</v>
      </c>
      <c r="CN43" s="3">
        <v>1.6E-2</v>
      </c>
      <c r="CO43" s="3">
        <v>0.02</v>
      </c>
      <c r="CP43" s="3">
        <v>1.891</v>
      </c>
      <c r="CQ43" s="3">
        <v>6.5000000000000002E-2</v>
      </c>
      <c r="CR43" s="3">
        <v>5.2350000000000003</v>
      </c>
      <c r="CS43" s="3">
        <v>3.9550000000000001</v>
      </c>
      <c r="CT43" s="3">
        <v>1E-3</v>
      </c>
      <c r="CU43" s="3">
        <v>1E-3</v>
      </c>
      <c r="CV43" s="3">
        <v>0</v>
      </c>
      <c r="CW43" s="3">
        <v>8.0000000000000002E-3</v>
      </c>
      <c r="CX43" s="3">
        <v>0</v>
      </c>
      <c r="CY43" s="3">
        <v>0.51600000000000001</v>
      </c>
      <c r="CZ43" s="3">
        <v>8.9999999999999993E-3</v>
      </c>
      <c r="DA43" s="3">
        <v>2.9000000000000001E-2</v>
      </c>
      <c r="DB43" s="3">
        <v>6.2140000000000004</v>
      </c>
      <c r="DC43" s="3">
        <v>6.9569999999999999</v>
      </c>
      <c r="DD43" s="3">
        <v>8.3650000000000002</v>
      </c>
      <c r="DE43" s="3">
        <v>9.0410000000000004</v>
      </c>
      <c r="DF43" s="3">
        <v>0.625</v>
      </c>
      <c r="DG43" s="3">
        <v>3.077</v>
      </c>
      <c r="DH43" s="3">
        <v>0</v>
      </c>
      <c r="DI43" s="3">
        <v>9.0449999999999999</v>
      </c>
      <c r="DJ43" s="3">
        <v>0</v>
      </c>
      <c r="DK43" s="3">
        <v>10.138</v>
      </c>
      <c r="DL43" s="3">
        <v>1.6E-2</v>
      </c>
      <c r="DM43" s="3">
        <v>1.6E-2</v>
      </c>
      <c r="DN43" s="3">
        <v>1.6E-2</v>
      </c>
      <c r="DO43" s="3">
        <v>0.125</v>
      </c>
      <c r="DP43" s="3">
        <v>2.9359999999999999</v>
      </c>
      <c r="DQ43" s="3">
        <v>9.4E-2</v>
      </c>
      <c r="DR43" s="3">
        <v>0</v>
      </c>
      <c r="DS43" s="3">
        <v>0</v>
      </c>
      <c r="DT43" s="3">
        <v>21.433</v>
      </c>
      <c r="DU43" s="3">
        <v>15.449</v>
      </c>
      <c r="DV43" s="3">
        <v>0</v>
      </c>
      <c r="DW43" s="3">
        <v>0</v>
      </c>
      <c r="DX43" s="3">
        <v>1.4999999999999999E-2</v>
      </c>
      <c r="DY43" s="3">
        <v>1.4999999999999999E-2</v>
      </c>
      <c r="DZ43" s="3">
        <v>35.436</v>
      </c>
      <c r="EA43" s="3">
        <v>60.579000000000001</v>
      </c>
      <c r="EB43" s="3">
        <v>69.078000000000003</v>
      </c>
      <c r="EC43" s="3">
        <v>65.608999999999995</v>
      </c>
      <c r="ED43" s="3">
        <v>14.324999999999999</v>
      </c>
      <c r="EE43" s="3">
        <v>0.26600000000000001</v>
      </c>
      <c r="EF43" s="3">
        <v>47.161000000000001</v>
      </c>
      <c r="EG43" s="3">
        <v>33.991999999999997</v>
      </c>
      <c r="EH43" s="3">
        <v>54.460999999999999</v>
      </c>
      <c r="EI43" s="3">
        <v>54.347000000000001</v>
      </c>
      <c r="EJ43" s="3">
        <v>21.379000000000001</v>
      </c>
      <c r="EK43" s="3">
        <v>27.9</v>
      </c>
      <c r="EL43" s="3">
        <v>49.637999999999998</v>
      </c>
      <c r="EM43" s="3">
        <v>59.04</v>
      </c>
      <c r="EN43" s="3">
        <v>90.165999999999997</v>
      </c>
      <c r="EO43" s="3">
        <v>84.152000000000001</v>
      </c>
      <c r="EP43" s="3">
        <v>0.23100000000000001</v>
      </c>
      <c r="EQ43" s="3">
        <v>1.7000000000000001E-2</v>
      </c>
      <c r="ER43" s="3">
        <v>0.67</v>
      </c>
      <c r="ES43" s="3">
        <v>1.0999999999999999E-2</v>
      </c>
      <c r="ET43" s="3">
        <v>1.075</v>
      </c>
      <c r="EU43" s="3">
        <v>1.3839999999999999</v>
      </c>
      <c r="EV43" s="3">
        <v>5.0000000000000001E-3</v>
      </c>
      <c r="EW43" s="3">
        <v>6.0000000000000001E-3</v>
      </c>
      <c r="EX43" s="3">
        <v>7.0000000000000001E-3</v>
      </c>
      <c r="EY43" s="3">
        <v>5.0000000000000001E-3</v>
      </c>
      <c r="EZ43" s="3">
        <v>8.5000000000000006E-2</v>
      </c>
      <c r="FA43" s="3">
        <v>0.01</v>
      </c>
      <c r="FB43" s="3">
        <v>7.0000000000000001E-3</v>
      </c>
      <c r="FC43" s="3">
        <v>1.208</v>
      </c>
      <c r="FD43" s="3">
        <v>2.0569999999999999</v>
      </c>
      <c r="FE43" s="3">
        <v>0</v>
      </c>
      <c r="FF43" s="3">
        <v>2.9590000000000001</v>
      </c>
      <c r="FG43" s="3">
        <v>4.6260000000000003</v>
      </c>
      <c r="FH43" s="3">
        <v>7.0000000000000001E-3</v>
      </c>
      <c r="FI43" s="3">
        <v>2.5000000000000001E-2</v>
      </c>
      <c r="FJ43" s="3">
        <v>0.51300000000000001</v>
      </c>
      <c r="FK43" s="3">
        <v>2.1000000000000001E-2</v>
      </c>
      <c r="FL43" s="3">
        <v>6.3230000000000004</v>
      </c>
      <c r="FM43" s="3">
        <v>3.9889999999999999</v>
      </c>
      <c r="FN43" s="3">
        <v>0</v>
      </c>
      <c r="FO43" s="3">
        <v>1.532</v>
      </c>
      <c r="FP43" s="3">
        <v>0</v>
      </c>
      <c r="FQ43" s="3">
        <v>4.6829999999999998</v>
      </c>
      <c r="FR43" s="3">
        <v>5.9960000000000004</v>
      </c>
      <c r="FS43" s="3">
        <v>1.169</v>
      </c>
      <c r="FT43" s="3">
        <v>1.587</v>
      </c>
      <c r="FU43" s="3">
        <v>2.141</v>
      </c>
      <c r="FV43" s="3">
        <v>5.4720000000000004</v>
      </c>
      <c r="FW43" s="3">
        <v>4.681</v>
      </c>
      <c r="FX43" s="3">
        <v>8.83</v>
      </c>
      <c r="FY43" s="3">
        <v>8.7899999999999991</v>
      </c>
      <c r="FZ43" s="3">
        <v>2.1709999999999998</v>
      </c>
      <c r="GA43" s="3">
        <v>1.6E-2</v>
      </c>
      <c r="GB43" s="3">
        <v>7.8259999999999996</v>
      </c>
      <c r="GC43" s="3">
        <v>9.4039999999999999</v>
      </c>
      <c r="GD43" s="3">
        <v>0</v>
      </c>
      <c r="GE43" s="3">
        <v>0.51500000000000001</v>
      </c>
      <c r="GF43" s="3">
        <v>1.6E-2</v>
      </c>
      <c r="GG43" s="3">
        <v>1.7000000000000001E-2</v>
      </c>
      <c r="GH43" s="3">
        <v>1.4999999999999999E-2</v>
      </c>
      <c r="GI43" s="3">
        <v>3.2000000000000001E-2</v>
      </c>
      <c r="GJ43" s="3">
        <v>0.85899999999999999</v>
      </c>
      <c r="GK43" s="3">
        <v>0.29699999999999999</v>
      </c>
      <c r="GL43" s="3">
        <v>6.8579999999999997</v>
      </c>
      <c r="GM43" s="3">
        <v>8.5749999999999993</v>
      </c>
      <c r="GN43" s="3">
        <v>27.212</v>
      </c>
      <c r="GO43" s="3">
        <v>21.478999999999999</v>
      </c>
      <c r="GP43" s="3">
        <v>0</v>
      </c>
      <c r="GQ43" s="3">
        <v>0</v>
      </c>
      <c r="GR43" s="3">
        <v>1.6E-2</v>
      </c>
      <c r="GS43" s="3">
        <v>0.64100000000000001</v>
      </c>
      <c r="GT43" s="3">
        <v>45.411000000000001</v>
      </c>
      <c r="GU43" s="3">
        <v>3.7959999999999998</v>
      </c>
      <c r="GV43" s="3">
        <v>60.750999999999998</v>
      </c>
      <c r="GW43" s="3">
        <v>61.61</v>
      </c>
      <c r="GX43" s="3">
        <v>12.888</v>
      </c>
      <c r="GY43" s="3">
        <v>0</v>
      </c>
      <c r="GZ43" s="3">
        <v>0</v>
      </c>
      <c r="HA43" s="3">
        <v>36.618000000000002</v>
      </c>
      <c r="HB43" s="3">
        <v>51.676000000000002</v>
      </c>
      <c r="HC43" s="3">
        <v>0</v>
      </c>
      <c r="HD43" s="3">
        <v>20.948</v>
      </c>
      <c r="HE43" s="3">
        <v>27.29</v>
      </c>
      <c r="HF43" s="3">
        <v>49.637999999999998</v>
      </c>
      <c r="HG43" s="3">
        <v>52.722000000000001</v>
      </c>
      <c r="HH43" s="3">
        <v>68.89</v>
      </c>
      <c r="HI43" s="3">
        <v>80.933999999999997</v>
      </c>
      <c r="HJ43" s="3">
        <v>3.7999999999999999E-2</v>
      </c>
      <c r="HK43" s="3">
        <v>0.128</v>
      </c>
      <c r="HL43" s="3">
        <v>0.85099999999999998</v>
      </c>
      <c r="HM43" s="3">
        <v>1.022</v>
      </c>
      <c r="HN43" s="3">
        <v>1.042</v>
      </c>
      <c r="HO43" s="3">
        <v>4.0000000000000001E-3</v>
      </c>
      <c r="HP43" s="3">
        <v>5.0000000000000001E-3</v>
      </c>
      <c r="HQ43" s="3">
        <v>8.0000000000000002E-3</v>
      </c>
      <c r="HR43" s="3">
        <v>5.0000000000000001E-3</v>
      </c>
      <c r="HS43" s="3">
        <v>1.4E-2</v>
      </c>
      <c r="HT43" s="3">
        <v>1.2999999999999999E-2</v>
      </c>
      <c r="HU43" s="3">
        <v>0.01</v>
      </c>
      <c r="HV43" s="3">
        <v>0</v>
      </c>
      <c r="HW43" s="3">
        <v>1.085</v>
      </c>
      <c r="HX43" s="3">
        <v>1.804</v>
      </c>
      <c r="HY43" s="3">
        <v>0</v>
      </c>
      <c r="HZ43" s="3">
        <v>2.6840000000000002</v>
      </c>
      <c r="IA43" s="3">
        <v>1E-3</v>
      </c>
      <c r="IB43" s="3">
        <v>2.7E-2</v>
      </c>
      <c r="IC43" s="3">
        <v>7.0000000000000001E-3</v>
      </c>
      <c r="ID43" s="3">
        <v>0.17</v>
      </c>
      <c r="IE43" s="3">
        <v>3.4319999999999999</v>
      </c>
      <c r="IF43" s="3">
        <v>4.883</v>
      </c>
      <c r="IG43" s="3">
        <v>5.1609999999999996</v>
      </c>
      <c r="IH43" s="3">
        <v>6.0000000000000001E-3</v>
      </c>
      <c r="II43" s="3">
        <v>4.5960000000000001</v>
      </c>
      <c r="IJ43" s="3">
        <v>4.7309999999999999</v>
      </c>
      <c r="IK43" s="3">
        <v>4.3810000000000002</v>
      </c>
      <c r="IL43" s="3">
        <v>1E-3</v>
      </c>
      <c r="IM43" s="3">
        <v>1E-3</v>
      </c>
      <c r="IN43" s="3">
        <v>2.9000000000000001E-2</v>
      </c>
      <c r="IO43" s="3">
        <v>0.1</v>
      </c>
      <c r="IP43" s="3">
        <v>5.7009999999999996</v>
      </c>
      <c r="IQ43" s="3">
        <v>5.5910000000000002</v>
      </c>
      <c r="IR43" s="3">
        <v>7.1440000000000001</v>
      </c>
      <c r="IS43" s="3">
        <v>8.1310000000000002</v>
      </c>
      <c r="IT43" s="3">
        <v>4.7E-2</v>
      </c>
      <c r="IU43" s="3">
        <v>2.2490000000000001</v>
      </c>
      <c r="IV43" s="3">
        <v>7.3730000000000002</v>
      </c>
      <c r="IW43" s="3">
        <v>0.125</v>
      </c>
      <c r="IX43" s="3">
        <v>7.9660000000000002</v>
      </c>
      <c r="IY43" s="3">
        <v>0.17199999999999999</v>
      </c>
      <c r="IZ43" s="3">
        <v>1.6E-2</v>
      </c>
      <c r="JA43" s="3">
        <v>1.4999999999999999E-2</v>
      </c>
      <c r="JB43" s="3">
        <v>3.1E-2</v>
      </c>
      <c r="JC43" s="3">
        <v>1.6E-2</v>
      </c>
      <c r="JD43" s="3">
        <v>11.17</v>
      </c>
      <c r="JE43" s="3">
        <v>0.56200000000000006</v>
      </c>
      <c r="JF43" s="3">
        <v>7.7329999999999997</v>
      </c>
      <c r="JG43" s="3">
        <v>0</v>
      </c>
      <c r="JH43" s="3">
        <v>0</v>
      </c>
      <c r="JI43" s="3">
        <v>0</v>
      </c>
      <c r="JJ43" s="3">
        <v>0</v>
      </c>
      <c r="JK43" s="3">
        <v>26.574000000000002</v>
      </c>
      <c r="JL43" s="3">
        <v>1.6E-2</v>
      </c>
      <c r="JM43" s="3">
        <v>1.4999999999999999E-2</v>
      </c>
      <c r="JN43" s="3">
        <v>5.78</v>
      </c>
      <c r="JO43" s="3">
        <v>44.384</v>
      </c>
      <c r="JP43" s="3">
        <v>51.91</v>
      </c>
      <c r="JQ43" s="3">
        <v>47.582999999999998</v>
      </c>
      <c r="JR43" s="3">
        <v>0</v>
      </c>
      <c r="JS43" s="3">
        <v>19.62</v>
      </c>
      <c r="JT43" s="3">
        <v>31.29</v>
      </c>
      <c r="JU43" s="3">
        <v>0</v>
      </c>
      <c r="JV43" s="3">
        <v>52.021000000000001</v>
      </c>
      <c r="JW43" s="3">
        <v>52.451000000000001</v>
      </c>
      <c r="JX43" s="3">
        <v>29.056000000000001</v>
      </c>
      <c r="JY43" s="3">
        <v>21.556999999999999</v>
      </c>
      <c r="JZ43" s="3">
        <v>47.801000000000002</v>
      </c>
      <c r="KA43" s="3">
        <v>52.893999999999998</v>
      </c>
      <c r="KB43" s="3">
        <v>81.448999999999998</v>
      </c>
      <c r="KC43" s="3">
        <v>78.872</v>
      </c>
      <c r="KD43" s="3">
        <v>1E-3</v>
      </c>
      <c r="KE43" s="3">
        <v>0.52900000000000003</v>
      </c>
      <c r="KF43" s="3">
        <v>1.9E-2</v>
      </c>
      <c r="KG43" s="3">
        <v>0.82299999999999995</v>
      </c>
      <c r="KH43" s="3">
        <v>0.104</v>
      </c>
      <c r="KI43" s="3">
        <v>2.0779999999999998</v>
      </c>
      <c r="KJ43" s="3">
        <v>7.0000000000000001E-3</v>
      </c>
      <c r="KK43" s="3">
        <v>6.0000000000000001E-3</v>
      </c>
      <c r="KL43" s="3">
        <v>6.0000000000000001E-3</v>
      </c>
      <c r="KM43" s="3">
        <v>1.7000000000000001E-2</v>
      </c>
      <c r="KN43" s="3">
        <v>1.2999999999999999E-2</v>
      </c>
      <c r="KO43" s="3">
        <v>1.2E-2</v>
      </c>
      <c r="KP43" s="3">
        <v>0</v>
      </c>
      <c r="KQ43" s="3">
        <v>1.1240000000000001</v>
      </c>
      <c r="KR43" s="3">
        <v>1.4059999999999999</v>
      </c>
      <c r="KS43" s="3">
        <v>3.5310000000000001</v>
      </c>
      <c r="KT43" s="3">
        <v>0</v>
      </c>
      <c r="KU43" s="3">
        <v>0</v>
      </c>
      <c r="KV43" s="3">
        <v>6.0000000000000001E-3</v>
      </c>
      <c r="KW43" s="3">
        <v>8.0000000000000002E-3</v>
      </c>
      <c r="KX43" s="3">
        <v>7.8E-2</v>
      </c>
      <c r="KY43" s="3">
        <v>0.126</v>
      </c>
      <c r="KZ43" s="3">
        <v>4.9279999999999999</v>
      </c>
      <c r="LA43" s="3">
        <v>4.915</v>
      </c>
      <c r="LB43" s="3">
        <v>1.716</v>
      </c>
      <c r="LC43" s="3">
        <v>0</v>
      </c>
      <c r="LD43" s="3">
        <v>3.6659999999999999</v>
      </c>
      <c r="LE43" s="3">
        <v>4.1870000000000003</v>
      </c>
      <c r="LF43" s="3">
        <v>1E-3</v>
      </c>
      <c r="LG43" s="3">
        <v>3.0000000000000001E-3</v>
      </c>
      <c r="LH43" s="3">
        <v>6.0000000000000001E-3</v>
      </c>
      <c r="LI43" s="3">
        <v>2.1669999999999998</v>
      </c>
      <c r="LJ43" s="3">
        <v>5.3419999999999996</v>
      </c>
      <c r="LK43" s="3">
        <v>5.4</v>
      </c>
      <c r="LL43" s="3">
        <v>7.5730000000000004</v>
      </c>
      <c r="LM43" s="3">
        <v>9.3930000000000007</v>
      </c>
      <c r="LN43" s="3">
        <v>4.7E-2</v>
      </c>
      <c r="LO43" s="3">
        <v>0</v>
      </c>
      <c r="LP43" s="3">
        <v>7.9359999999999999</v>
      </c>
      <c r="LQ43" s="3">
        <v>7.4359999999999999</v>
      </c>
      <c r="LR43" s="3">
        <v>8.7159999999999993</v>
      </c>
      <c r="LS43" s="3">
        <v>8.9510000000000005</v>
      </c>
      <c r="LT43" s="3">
        <v>1.4999999999999999E-2</v>
      </c>
      <c r="LU43" s="3">
        <v>1.4999999999999999E-2</v>
      </c>
      <c r="LV43" s="3">
        <v>1.4999999999999999E-2</v>
      </c>
      <c r="LW43" s="3">
        <v>0.109</v>
      </c>
      <c r="LX43" s="3">
        <v>0.93700000000000006</v>
      </c>
      <c r="LY43" s="3">
        <v>0.76500000000000001</v>
      </c>
      <c r="LZ43" s="3">
        <v>9.0289999999999999</v>
      </c>
      <c r="MA43" s="3">
        <v>0</v>
      </c>
      <c r="MB43" s="3">
        <v>19.917000000000002</v>
      </c>
      <c r="MC43" s="3">
        <v>1.4999999999999999E-2</v>
      </c>
      <c r="MD43" s="3">
        <v>27.619</v>
      </c>
      <c r="ME43" s="3">
        <v>0</v>
      </c>
      <c r="MF43" s="3">
        <v>1.6E-2</v>
      </c>
      <c r="MG43" s="3">
        <v>0.109</v>
      </c>
      <c r="MH43" s="3">
        <v>36.085000000000001</v>
      </c>
      <c r="MI43" s="3">
        <v>1.6E-2</v>
      </c>
      <c r="MJ43" s="3">
        <v>48.220999999999997</v>
      </c>
      <c r="MK43" s="3">
        <v>56.581000000000003</v>
      </c>
      <c r="ML43" s="3">
        <v>17.87</v>
      </c>
      <c r="MM43" s="3">
        <v>0</v>
      </c>
      <c r="MN43" s="3">
        <v>33.134</v>
      </c>
      <c r="MO43" s="3">
        <v>44.366999999999997</v>
      </c>
      <c r="MP43" s="3">
        <v>0</v>
      </c>
      <c r="MQ43" s="3">
        <v>0</v>
      </c>
      <c r="MR43" s="3">
        <v>19.183</v>
      </c>
      <c r="MS43" s="3">
        <v>0.79600000000000004</v>
      </c>
      <c r="MT43" s="3">
        <v>52.613</v>
      </c>
      <c r="MU43" s="3">
        <v>50.66</v>
      </c>
      <c r="MV43" s="3">
        <v>84.838999999999999</v>
      </c>
      <c r="MW43" s="3">
        <v>73.483000000000004</v>
      </c>
    </row>
    <row r="44" spans="1:361" x14ac:dyDescent="0.3">
      <c r="A44" s="3">
        <v>2</v>
      </c>
      <c r="B44" s="3">
        <v>0.4</v>
      </c>
      <c r="C44" s="3">
        <v>0</v>
      </c>
      <c r="D44" s="3">
        <v>0.76400000000000001</v>
      </c>
      <c r="E44" s="3">
        <v>1.0209999999999999</v>
      </c>
      <c r="F44" s="3">
        <v>8.0000000000000002E-3</v>
      </c>
      <c r="G44" s="3">
        <v>1.512</v>
      </c>
      <c r="H44" s="3">
        <v>3.0000000000000001E-3</v>
      </c>
      <c r="I44" s="3">
        <v>3.0000000000000001E-3</v>
      </c>
      <c r="J44" s="3">
        <v>0.01</v>
      </c>
      <c r="K44" s="3">
        <v>7.0000000000000001E-3</v>
      </c>
      <c r="L44" s="3">
        <v>1.4999999999999999E-2</v>
      </c>
      <c r="M44" s="3">
        <v>1.0999999999999999E-2</v>
      </c>
      <c r="N44" s="3">
        <v>0.72099999999999997</v>
      </c>
      <c r="O44" s="3">
        <v>0.81799999999999995</v>
      </c>
      <c r="P44" s="3">
        <v>2.036</v>
      </c>
      <c r="Q44" s="3">
        <v>0</v>
      </c>
      <c r="R44" s="3">
        <v>2.9969999999999999</v>
      </c>
      <c r="S44" s="3">
        <v>3.1930000000000001</v>
      </c>
      <c r="T44" s="3">
        <v>2E-3</v>
      </c>
      <c r="U44" s="3">
        <v>1.0999999999999999E-2</v>
      </c>
      <c r="V44" s="3">
        <v>0.14199999999999999</v>
      </c>
      <c r="W44" s="3">
        <v>2.95</v>
      </c>
      <c r="X44" s="3">
        <v>3.8490000000000002</v>
      </c>
      <c r="Y44" s="3">
        <v>4.742</v>
      </c>
      <c r="Z44" s="3">
        <v>1.673</v>
      </c>
      <c r="AA44" s="3">
        <v>2.1190000000000002</v>
      </c>
      <c r="AB44" s="3">
        <v>4.2850000000000001</v>
      </c>
      <c r="AC44" s="3">
        <v>3.738</v>
      </c>
      <c r="AD44" s="3">
        <v>5.12</v>
      </c>
      <c r="AE44" s="3">
        <v>1E-3</v>
      </c>
      <c r="AF44" s="3">
        <v>2.2229999999999999</v>
      </c>
      <c r="AG44" s="3">
        <v>2.2810000000000001</v>
      </c>
      <c r="AH44" s="3">
        <v>5.6580000000000004</v>
      </c>
      <c r="AI44" s="3">
        <v>5.5410000000000004</v>
      </c>
      <c r="AJ44" s="3">
        <v>6.1349999999999998</v>
      </c>
      <c r="AK44" s="3">
        <v>8.8249999999999993</v>
      </c>
      <c r="AL44" s="3">
        <v>3.1E-2</v>
      </c>
      <c r="AM44" s="3">
        <v>1.6E-2</v>
      </c>
      <c r="AN44" s="3">
        <v>7.2640000000000002</v>
      </c>
      <c r="AO44" s="3">
        <v>0.28199999999999997</v>
      </c>
      <c r="AP44" s="3">
        <v>7.7789999999999999</v>
      </c>
      <c r="AQ44" s="3">
        <v>1.6E-2</v>
      </c>
      <c r="AR44" s="3">
        <v>0</v>
      </c>
      <c r="AS44" s="3">
        <v>3.1E-2</v>
      </c>
      <c r="AT44" s="3">
        <v>1.4999999999999999E-2</v>
      </c>
      <c r="AU44" s="3">
        <v>4.7E-2</v>
      </c>
      <c r="AV44" s="3">
        <v>8.6850000000000005</v>
      </c>
      <c r="AW44" s="3">
        <v>1.0780000000000001</v>
      </c>
      <c r="AX44" s="3">
        <v>0</v>
      </c>
      <c r="AY44" s="3">
        <v>8.1859999999999999</v>
      </c>
      <c r="AZ44" s="3">
        <v>19.402000000000001</v>
      </c>
      <c r="BA44" s="3">
        <v>0</v>
      </c>
      <c r="BB44" s="3">
        <v>24.728000000000002</v>
      </c>
      <c r="BC44" s="3">
        <v>29.835999999999999</v>
      </c>
      <c r="BD44" s="3">
        <v>0</v>
      </c>
      <c r="BE44" s="3">
        <v>0</v>
      </c>
      <c r="BF44" s="3">
        <v>21.167000000000002</v>
      </c>
      <c r="BG44" s="3">
        <v>20.62</v>
      </c>
      <c r="BH44" s="3">
        <v>45.256</v>
      </c>
      <c r="BI44" s="3">
        <v>83.245999999999995</v>
      </c>
      <c r="BJ44" s="3">
        <v>11.888</v>
      </c>
      <c r="BK44" s="3">
        <v>21.635999999999999</v>
      </c>
      <c r="BL44" s="3">
        <v>0</v>
      </c>
      <c r="BM44" s="3">
        <v>43.832999999999998</v>
      </c>
      <c r="BN44" s="3">
        <v>55.572000000000003</v>
      </c>
      <c r="BO44" s="3">
        <v>52.503999999999998</v>
      </c>
      <c r="BP44" s="3">
        <v>26.181999999999999</v>
      </c>
      <c r="BQ44" s="3">
        <v>5.202</v>
      </c>
      <c r="BR44" s="3">
        <v>54.753</v>
      </c>
      <c r="BS44" s="3">
        <v>59.851999999999997</v>
      </c>
      <c r="BT44" s="3">
        <v>76.997</v>
      </c>
      <c r="BU44" s="3">
        <v>75.138000000000005</v>
      </c>
      <c r="BV44" s="3">
        <v>0.13500000000000001</v>
      </c>
      <c r="BW44" s="3">
        <v>0</v>
      </c>
      <c r="BX44" s="3">
        <v>0.68899999999999995</v>
      </c>
      <c r="BY44" s="3">
        <v>0.91600000000000004</v>
      </c>
      <c r="BZ44" s="3">
        <v>1.2170000000000001</v>
      </c>
      <c r="CA44" s="3">
        <v>1.042</v>
      </c>
      <c r="CB44" s="3">
        <v>5.0000000000000001E-3</v>
      </c>
      <c r="CC44" s="3">
        <v>7.0000000000000001E-3</v>
      </c>
      <c r="CD44" s="3">
        <v>2E-3</v>
      </c>
      <c r="CE44" s="3">
        <v>2E-3</v>
      </c>
      <c r="CF44" s="3">
        <v>3.1E-2</v>
      </c>
      <c r="CG44" s="3">
        <v>7.0000000000000001E-3</v>
      </c>
      <c r="CH44" s="3">
        <v>0.88500000000000001</v>
      </c>
      <c r="CI44" s="3">
        <v>0</v>
      </c>
      <c r="CJ44" s="3">
        <v>1.9690000000000001</v>
      </c>
      <c r="CK44" s="3">
        <v>2.117</v>
      </c>
      <c r="CL44" s="3">
        <v>0</v>
      </c>
      <c r="CM44" s="3">
        <v>0</v>
      </c>
      <c r="CN44" s="3">
        <v>1E-3</v>
      </c>
      <c r="CO44" s="3">
        <v>8.9999999999999993E-3</v>
      </c>
      <c r="CP44" s="3">
        <v>2.0289999999999999</v>
      </c>
      <c r="CQ44" s="3">
        <v>1.7999999999999999E-2</v>
      </c>
      <c r="CR44" s="3">
        <v>5.48</v>
      </c>
      <c r="CS44" s="3">
        <v>4.1449999999999996</v>
      </c>
      <c r="CT44" s="3">
        <v>0</v>
      </c>
      <c r="CU44" s="3">
        <v>0</v>
      </c>
      <c r="CV44" s="3">
        <v>1E-3</v>
      </c>
      <c r="CW44" s="3">
        <v>0.04</v>
      </c>
      <c r="CX44" s="3">
        <v>0</v>
      </c>
      <c r="CY44" s="3">
        <v>7.0000000000000007E-2</v>
      </c>
      <c r="CZ44" s="3">
        <v>4.0000000000000001E-3</v>
      </c>
      <c r="DA44" s="3">
        <v>8.0000000000000002E-3</v>
      </c>
      <c r="DB44" s="3">
        <v>6.2590000000000003</v>
      </c>
      <c r="DC44" s="3">
        <v>7.1390000000000002</v>
      </c>
      <c r="DD44" s="3">
        <v>8.5559999999999992</v>
      </c>
      <c r="DE44" s="3">
        <v>8.8689999999999998</v>
      </c>
      <c r="DF44" s="3">
        <v>3.1E-2</v>
      </c>
      <c r="DG44" s="3">
        <v>3.4529999999999998</v>
      </c>
      <c r="DH44" s="3">
        <v>0</v>
      </c>
      <c r="DI44" s="3">
        <v>1.39</v>
      </c>
      <c r="DJ44" s="3">
        <v>1.4999999999999999E-2</v>
      </c>
      <c r="DK44" s="3">
        <v>10.154</v>
      </c>
      <c r="DL44" s="3">
        <v>0</v>
      </c>
      <c r="DM44" s="3">
        <v>1.4999999999999999E-2</v>
      </c>
      <c r="DN44" s="3">
        <v>7.8E-2</v>
      </c>
      <c r="DO44" s="3">
        <v>9.4E-2</v>
      </c>
      <c r="DP44" s="3">
        <v>0.78200000000000003</v>
      </c>
      <c r="DQ44" s="3">
        <v>5.3999999999999999E-2</v>
      </c>
      <c r="DR44" s="3">
        <v>0</v>
      </c>
      <c r="DS44" s="3">
        <v>0</v>
      </c>
      <c r="DT44" s="3">
        <v>22.372</v>
      </c>
      <c r="DU44" s="3">
        <v>15.528</v>
      </c>
      <c r="DV44" s="3">
        <v>0</v>
      </c>
      <c r="DW44" s="3">
        <v>0</v>
      </c>
      <c r="DX44" s="3">
        <v>9.4E-2</v>
      </c>
      <c r="DY44" s="3">
        <v>1.6E-2</v>
      </c>
      <c r="DZ44" s="3">
        <v>33.383000000000003</v>
      </c>
      <c r="EA44" s="3">
        <v>54.301000000000002</v>
      </c>
      <c r="EB44" s="3">
        <v>66.375</v>
      </c>
      <c r="EC44" s="3">
        <v>74.515000000000001</v>
      </c>
      <c r="ED44" s="3">
        <v>13.528</v>
      </c>
      <c r="EE44" s="3">
        <v>0.25</v>
      </c>
      <c r="EF44" s="3">
        <v>42.005000000000003</v>
      </c>
      <c r="EG44" s="3">
        <v>33.945</v>
      </c>
      <c r="EH44" s="3">
        <v>53.704000000000001</v>
      </c>
      <c r="EI44" s="3">
        <v>53.05</v>
      </c>
      <c r="EJ44" s="3">
        <v>20.588999999999999</v>
      </c>
      <c r="EK44" s="3">
        <v>30.25</v>
      </c>
      <c r="EL44" s="3">
        <v>48.935000000000002</v>
      </c>
      <c r="EM44" s="3">
        <v>66.661000000000001</v>
      </c>
      <c r="EN44" s="3">
        <v>92.494</v>
      </c>
      <c r="EO44" s="3">
        <v>83.245999999999995</v>
      </c>
      <c r="EP44" s="3">
        <v>0.187</v>
      </c>
      <c r="EQ44" s="3">
        <v>2.8000000000000001E-2</v>
      </c>
      <c r="ER44" s="3">
        <v>0.65600000000000003</v>
      </c>
      <c r="ES44" s="3">
        <v>4.1000000000000002E-2</v>
      </c>
      <c r="ET44" s="3">
        <v>1.0720000000000001</v>
      </c>
      <c r="EU44" s="3">
        <v>1.323</v>
      </c>
      <c r="EV44" s="3">
        <v>1E-3</v>
      </c>
      <c r="EW44" s="3">
        <v>2E-3</v>
      </c>
      <c r="EX44" s="3">
        <v>2E-3</v>
      </c>
      <c r="EY44" s="3">
        <v>4.0000000000000001E-3</v>
      </c>
      <c r="EZ44" s="3">
        <v>4.1000000000000002E-2</v>
      </c>
      <c r="FA44" s="3">
        <v>5.0000000000000001E-3</v>
      </c>
      <c r="FB44" s="3">
        <v>2.3E-2</v>
      </c>
      <c r="FC44" s="3">
        <v>1.085</v>
      </c>
      <c r="FD44" s="3">
        <v>2.0449999999999999</v>
      </c>
      <c r="FE44" s="3">
        <v>1E-3</v>
      </c>
      <c r="FF44" s="3">
        <v>3.133</v>
      </c>
      <c r="FG44" s="3">
        <v>5.4210000000000003</v>
      </c>
      <c r="FH44" s="3">
        <v>4.0000000000000001E-3</v>
      </c>
      <c r="FI44" s="3">
        <v>8.9999999999999993E-3</v>
      </c>
      <c r="FJ44" s="3">
        <v>0.39400000000000002</v>
      </c>
      <c r="FK44" s="3">
        <v>6.0999999999999999E-2</v>
      </c>
      <c r="FL44" s="3">
        <v>5.9320000000000004</v>
      </c>
      <c r="FM44" s="3">
        <v>3.8620000000000001</v>
      </c>
      <c r="FN44" s="3">
        <v>0</v>
      </c>
      <c r="FO44" s="3">
        <v>1.7310000000000001</v>
      </c>
      <c r="FP44" s="3">
        <v>0</v>
      </c>
      <c r="FQ44" s="3">
        <v>4.4249999999999998</v>
      </c>
      <c r="FR44" s="3">
        <v>6.3550000000000004</v>
      </c>
      <c r="FS44" s="3">
        <v>0.75900000000000001</v>
      </c>
      <c r="FT44" s="3">
        <v>1.605</v>
      </c>
      <c r="FU44" s="3">
        <v>2.1760000000000002</v>
      </c>
      <c r="FV44" s="3">
        <v>5.6050000000000004</v>
      </c>
      <c r="FW44" s="3">
        <v>4.54</v>
      </c>
      <c r="FX44" s="3">
        <v>8.593</v>
      </c>
      <c r="FY44" s="3">
        <v>7.7990000000000004</v>
      </c>
      <c r="FZ44" s="3">
        <v>2.2650000000000001</v>
      </c>
      <c r="GA44" s="3">
        <v>0</v>
      </c>
      <c r="GB44" s="3">
        <v>8.17</v>
      </c>
      <c r="GC44" s="3">
        <v>8.7949999999999999</v>
      </c>
      <c r="GD44" s="3">
        <v>0</v>
      </c>
      <c r="GE44" s="3">
        <v>1.2809999999999999</v>
      </c>
      <c r="GF44" s="3">
        <v>0</v>
      </c>
      <c r="GG44" s="3">
        <v>1.6E-2</v>
      </c>
      <c r="GH44" s="3">
        <v>1.6E-2</v>
      </c>
      <c r="GI44" s="3">
        <v>1.4999999999999999E-2</v>
      </c>
      <c r="GJ44" s="3">
        <v>0.20300000000000001</v>
      </c>
      <c r="GK44" s="3">
        <v>3.5150000000000001</v>
      </c>
      <c r="GL44" s="3">
        <v>7.077</v>
      </c>
      <c r="GM44" s="3">
        <v>8.2639999999999993</v>
      </c>
      <c r="GN44" s="3">
        <v>26.524999999999999</v>
      </c>
      <c r="GO44" s="3">
        <v>23.916</v>
      </c>
      <c r="GP44" s="3">
        <v>1.6E-2</v>
      </c>
      <c r="GQ44" s="3">
        <v>0</v>
      </c>
      <c r="GR44" s="3">
        <v>1.4999999999999999E-2</v>
      </c>
      <c r="GS44" s="3">
        <v>0.23400000000000001</v>
      </c>
      <c r="GT44" s="3">
        <v>41.116</v>
      </c>
      <c r="GU44" s="3">
        <v>7.4669999999999996</v>
      </c>
      <c r="GV44" s="3">
        <v>56.128999999999998</v>
      </c>
      <c r="GW44" s="3">
        <v>56.768000000000001</v>
      </c>
      <c r="GX44" s="3">
        <v>12.762</v>
      </c>
      <c r="GY44" s="3">
        <v>0</v>
      </c>
      <c r="GZ44" s="3">
        <v>1.4999999999999999E-2</v>
      </c>
      <c r="HA44" s="3">
        <v>35.402000000000001</v>
      </c>
      <c r="HB44" s="3">
        <v>52.268999999999998</v>
      </c>
      <c r="HC44" s="3">
        <v>1.6E-2</v>
      </c>
      <c r="HD44" s="3">
        <v>19.777000000000001</v>
      </c>
      <c r="HE44" s="3">
        <v>27.931000000000001</v>
      </c>
      <c r="HF44" s="3">
        <v>48.935000000000002</v>
      </c>
      <c r="HG44" s="3">
        <v>53.783999999999999</v>
      </c>
      <c r="HH44" s="3">
        <v>69.78</v>
      </c>
      <c r="HI44" s="3">
        <v>80.668000000000006</v>
      </c>
      <c r="HJ44" s="3">
        <v>0.02</v>
      </c>
      <c r="HK44" s="3">
        <v>0.125</v>
      </c>
      <c r="HL44" s="3">
        <v>0.92600000000000005</v>
      </c>
      <c r="HM44" s="3">
        <v>1.008</v>
      </c>
      <c r="HN44" s="3">
        <v>0.95099999999999996</v>
      </c>
      <c r="HO44" s="3">
        <v>1.4E-2</v>
      </c>
      <c r="HP44" s="3">
        <v>2E-3</v>
      </c>
      <c r="HQ44" s="3">
        <v>3.0000000000000001E-3</v>
      </c>
      <c r="HR44" s="3">
        <v>0.02</v>
      </c>
      <c r="HS44" s="3">
        <v>8.0000000000000002E-3</v>
      </c>
      <c r="HT44" s="3">
        <v>8.9999999999999993E-3</v>
      </c>
      <c r="HU44" s="3">
        <v>6.0000000000000001E-3</v>
      </c>
      <c r="HV44" s="3">
        <v>0</v>
      </c>
      <c r="HW44" s="3">
        <v>1.0329999999999999</v>
      </c>
      <c r="HX44" s="3">
        <v>1.7929999999999999</v>
      </c>
      <c r="HY44" s="3">
        <v>0</v>
      </c>
      <c r="HZ44" s="3">
        <v>2.8330000000000002</v>
      </c>
      <c r="IA44" s="3">
        <v>1E-3</v>
      </c>
      <c r="IB44" s="3">
        <v>6.0000000000000001E-3</v>
      </c>
      <c r="IC44" s="3">
        <v>3.0000000000000001E-3</v>
      </c>
      <c r="ID44" s="3">
        <v>0.52800000000000002</v>
      </c>
      <c r="IE44" s="3">
        <v>3.3380000000000001</v>
      </c>
      <c r="IF44" s="3">
        <v>5.2469999999999999</v>
      </c>
      <c r="IG44" s="3">
        <v>5.0419999999999998</v>
      </c>
      <c r="IH44" s="3">
        <v>3.0000000000000001E-3</v>
      </c>
      <c r="II44" s="3">
        <v>3.3109999999999999</v>
      </c>
      <c r="IJ44" s="3">
        <v>5.0839999999999996</v>
      </c>
      <c r="IK44" s="3">
        <v>4.2169999999999996</v>
      </c>
      <c r="IL44" s="3">
        <v>0</v>
      </c>
      <c r="IM44" s="3">
        <v>0</v>
      </c>
      <c r="IN44" s="3">
        <v>3.0000000000000001E-3</v>
      </c>
      <c r="IO44" s="3">
        <v>1.9E-2</v>
      </c>
      <c r="IP44" s="3">
        <v>6.5010000000000003</v>
      </c>
      <c r="IQ44" s="3">
        <v>5.9889999999999999</v>
      </c>
      <c r="IR44" s="3">
        <v>6.9420000000000002</v>
      </c>
      <c r="IS44" s="3">
        <v>9.2449999999999992</v>
      </c>
      <c r="IT44" s="3">
        <v>6.2E-2</v>
      </c>
      <c r="IU44" s="3">
        <v>2.5779999999999998</v>
      </c>
      <c r="IV44" s="3">
        <v>7.0609999999999999</v>
      </c>
      <c r="IW44" s="3">
        <v>2.0299999999999998</v>
      </c>
      <c r="IX44" s="3">
        <v>7.7949999999999999</v>
      </c>
      <c r="IY44" s="3">
        <v>0</v>
      </c>
      <c r="IZ44" s="3">
        <v>0</v>
      </c>
      <c r="JA44" s="3">
        <v>0</v>
      </c>
      <c r="JB44" s="3">
        <v>0.125</v>
      </c>
      <c r="JC44" s="3">
        <v>3.1E-2</v>
      </c>
      <c r="JD44" s="3">
        <v>4.8419999999999996</v>
      </c>
      <c r="JE44" s="3">
        <v>0.45300000000000001</v>
      </c>
      <c r="JF44" s="3">
        <v>7.7169999999999996</v>
      </c>
      <c r="JG44" s="3">
        <v>0</v>
      </c>
      <c r="JH44" s="3">
        <v>0</v>
      </c>
      <c r="JI44" s="3">
        <v>0</v>
      </c>
      <c r="JJ44" s="3">
        <v>0</v>
      </c>
      <c r="JK44" s="3">
        <v>26.681999999999999</v>
      </c>
      <c r="JL44" s="3">
        <v>1.4999999999999999E-2</v>
      </c>
      <c r="JM44" s="3">
        <v>3.2000000000000001E-2</v>
      </c>
      <c r="JN44" s="3">
        <v>33.835999999999999</v>
      </c>
      <c r="JO44" s="3">
        <v>43.677</v>
      </c>
      <c r="JP44" s="3">
        <v>49.441000000000003</v>
      </c>
      <c r="JQ44" s="3">
        <v>49.972999999999999</v>
      </c>
      <c r="JR44" s="3">
        <v>0</v>
      </c>
      <c r="JS44" s="3">
        <v>22.042000000000002</v>
      </c>
      <c r="JT44" s="3">
        <v>31.305</v>
      </c>
      <c r="JU44" s="3">
        <v>0</v>
      </c>
      <c r="JV44" s="3">
        <v>52.487000000000002</v>
      </c>
      <c r="JW44" s="3">
        <v>3.9359999999999999</v>
      </c>
      <c r="JX44" s="3">
        <v>26.306000000000001</v>
      </c>
      <c r="JY44" s="3">
        <v>23.088000000000001</v>
      </c>
      <c r="JZ44" s="3">
        <v>50.55</v>
      </c>
      <c r="KA44" s="3">
        <v>52.893999999999998</v>
      </c>
      <c r="KB44" s="3">
        <v>80.043999999999997</v>
      </c>
      <c r="KC44" s="3">
        <v>75.950999999999993</v>
      </c>
      <c r="KD44" s="3">
        <v>5.0000000000000001E-3</v>
      </c>
      <c r="KE44" s="3">
        <v>0.51800000000000002</v>
      </c>
      <c r="KF44" s="3">
        <v>6.0999999999999999E-2</v>
      </c>
      <c r="KG44" s="3">
        <v>0.81899999999999995</v>
      </c>
      <c r="KH44" s="3">
        <v>1.4730000000000001</v>
      </c>
      <c r="KI44" s="3">
        <v>0.66200000000000003</v>
      </c>
      <c r="KJ44" s="3">
        <v>1.2E-2</v>
      </c>
      <c r="KK44" s="3">
        <v>2E-3</v>
      </c>
      <c r="KL44" s="3">
        <v>3.0000000000000001E-3</v>
      </c>
      <c r="KM44" s="3">
        <v>5.0000000000000001E-3</v>
      </c>
      <c r="KN44" s="3">
        <v>2.4E-2</v>
      </c>
      <c r="KO44" s="3">
        <v>6.0000000000000001E-3</v>
      </c>
      <c r="KP44" s="3">
        <v>0</v>
      </c>
      <c r="KQ44" s="3">
        <v>1.196</v>
      </c>
      <c r="KR44" s="3">
        <v>1.4350000000000001</v>
      </c>
      <c r="KS44" s="3">
        <v>3.3290000000000002</v>
      </c>
      <c r="KT44" s="3">
        <v>0</v>
      </c>
      <c r="KU44" s="3">
        <v>0</v>
      </c>
      <c r="KV44" s="3">
        <v>2E-3</v>
      </c>
      <c r="KW44" s="3">
        <v>2E-3</v>
      </c>
      <c r="KX44" s="3">
        <v>8.0000000000000002E-3</v>
      </c>
      <c r="KY44" s="3">
        <v>0.159</v>
      </c>
      <c r="KZ44" s="3">
        <v>5.4980000000000002</v>
      </c>
      <c r="LA44" s="3">
        <v>5.3639999999999999</v>
      </c>
      <c r="LB44" s="3">
        <v>1.764</v>
      </c>
      <c r="LC44" s="3">
        <v>0</v>
      </c>
      <c r="LD44" s="3">
        <v>3.653</v>
      </c>
      <c r="LE44" s="3">
        <v>4.1159999999999997</v>
      </c>
      <c r="LF44" s="3">
        <v>0</v>
      </c>
      <c r="LG44" s="3">
        <v>1E-3</v>
      </c>
      <c r="LH44" s="3">
        <v>4.0000000000000001E-3</v>
      </c>
      <c r="LI44" s="3">
        <v>1.9850000000000001</v>
      </c>
      <c r="LJ44" s="3">
        <v>5.6150000000000002</v>
      </c>
      <c r="LK44" s="3">
        <v>6.077</v>
      </c>
      <c r="LL44" s="3">
        <v>8.1829999999999998</v>
      </c>
      <c r="LM44" s="3">
        <v>10.087999999999999</v>
      </c>
      <c r="LN44" s="3">
        <v>0</v>
      </c>
      <c r="LO44" s="3">
        <v>1.4999999999999999E-2</v>
      </c>
      <c r="LP44" s="3">
        <v>7.4039999999999999</v>
      </c>
      <c r="LQ44" s="3">
        <v>6.7480000000000002</v>
      </c>
      <c r="LR44" s="3">
        <v>9.42</v>
      </c>
      <c r="LS44" s="3">
        <v>10.638</v>
      </c>
      <c r="LT44" s="3">
        <v>0</v>
      </c>
      <c r="LU44" s="3">
        <v>1.6E-2</v>
      </c>
      <c r="LV44" s="3">
        <v>0</v>
      </c>
      <c r="LW44" s="3">
        <v>1.4999999999999999E-2</v>
      </c>
      <c r="LX44" s="3">
        <v>0.65700000000000003</v>
      </c>
      <c r="LY44" s="3">
        <v>0.65600000000000003</v>
      </c>
      <c r="LZ44" s="3">
        <v>9.0449999999999999</v>
      </c>
      <c r="MA44" s="3">
        <v>0</v>
      </c>
      <c r="MB44" s="3">
        <v>17.98</v>
      </c>
      <c r="MC44" s="3">
        <v>0</v>
      </c>
      <c r="MD44" s="3">
        <v>29.524999999999999</v>
      </c>
      <c r="ME44" s="3">
        <v>0</v>
      </c>
      <c r="MF44" s="3">
        <v>0</v>
      </c>
      <c r="MG44" s="3">
        <v>1.6E-2</v>
      </c>
      <c r="MH44" s="3">
        <v>38.835000000000001</v>
      </c>
      <c r="MI44" s="3">
        <v>3.1E-2</v>
      </c>
      <c r="MJ44" s="3">
        <v>48.905000000000001</v>
      </c>
      <c r="MK44" s="3">
        <v>59.423000000000002</v>
      </c>
      <c r="ML44" s="3">
        <v>17.606000000000002</v>
      </c>
      <c r="MM44" s="3">
        <v>0</v>
      </c>
      <c r="MN44" s="3">
        <v>33.433999999999997</v>
      </c>
      <c r="MO44" s="3">
        <v>42.642000000000003</v>
      </c>
      <c r="MP44" s="3">
        <v>1.6E-2</v>
      </c>
      <c r="MQ44" s="3">
        <v>1.6E-2</v>
      </c>
      <c r="MR44" s="3">
        <v>20.527000000000001</v>
      </c>
      <c r="MS44" s="3">
        <v>0.125</v>
      </c>
      <c r="MT44" s="3">
        <v>52.347000000000001</v>
      </c>
      <c r="MU44" s="3">
        <v>48.457000000000001</v>
      </c>
      <c r="MV44" s="3">
        <v>88.853999999999999</v>
      </c>
      <c r="MW44" s="3">
        <v>83.948999999999998</v>
      </c>
    </row>
    <row r="45" spans="1:361" x14ac:dyDescent="0.3">
      <c r="A45" s="3">
        <v>3</v>
      </c>
      <c r="B45" s="3">
        <v>0.47</v>
      </c>
      <c r="C45" s="3">
        <v>0</v>
      </c>
      <c r="D45" s="3">
        <v>0.71899999999999997</v>
      </c>
      <c r="E45" s="3">
        <v>0.97699999999999998</v>
      </c>
      <c r="F45" s="3">
        <v>0</v>
      </c>
      <c r="G45" s="3">
        <v>1.8740000000000001</v>
      </c>
      <c r="H45" s="3">
        <v>1E-3</v>
      </c>
      <c r="I45" s="3">
        <v>2E-3</v>
      </c>
      <c r="J45" s="3">
        <v>1.2999999999999999E-2</v>
      </c>
      <c r="K45" s="3">
        <v>5.0000000000000001E-3</v>
      </c>
      <c r="L45" s="3">
        <v>1.2E-2</v>
      </c>
      <c r="M45" s="3">
        <v>4.2000000000000003E-2</v>
      </c>
      <c r="N45" s="3">
        <v>0.8</v>
      </c>
      <c r="O45" s="3">
        <v>0.84</v>
      </c>
      <c r="P45" s="3">
        <v>1.899</v>
      </c>
      <c r="Q45" s="3">
        <v>0</v>
      </c>
      <c r="R45" s="3">
        <v>3.0830000000000002</v>
      </c>
      <c r="S45" s="3">
        <v>3.1960000000000002</v>
      </c>
      <c r="T45" s="3">
        <v>2E-3</v>
      </c>
      <c r="U45" s="3">
        <v>3.0000000000000001E-3</v>
      </c>
      <c r="V45" s="3">
        <v>9.1999999999999998E-2</v>
      </c>
      <c r="W45" s="3">
        <v>2.605</v>
      </c>
      <c r="X45" s="3">
        <v>4.1369999999999996</v>
      </c>
      <c r="Y45" s="3">
        <v>4.3120000000000003</v>
      </c>
      <c r="Z45" s="3">
        <v>1.5389999999999999</v>
      </c>
      <c r="AA45" s="3">
        <v>3.4390000000000001</v>
      </c>
      <c r="AB45" s="3">
        <v>4.4630000000000001</v>
      </c>
      <c r="AC45" s="3">
        <v>3.9609999999999999</v>
      </c>
      <c r="AD45" s="3">
        <v>4.577</v>
      </c>
      <c r="AE45" s="3">
        <v>1E-3</v>
      </c>
      <c r="AF45" s="3">
        <v>1.99</v>
      </c>
      <c r="AG45" s="3">
        <v>2.4180000000000001</v>
      </c>
      <c r="AH45" s="3">
        <v>5.4530000000000003</v>
      </c>
      <c r="AI45" s="3">
        <v>5.5279999999999996</v>
      </c>
      <c r="AJ45" s="3">
        <v>6.1210000000000004</v>
      </c>
      <c r="AK45" s="3">
        <v>8.5730000000000004</v>
      </c>
      <c r="AL45" s="3">
        <v>0</v>
      </c>
      <c r="AM45" s="3">
        <v>0</v>
      </c>
      <c r="AN45" s="3">
        <v>7.8890000000000002</v>
      </c>
      <c r="AO45" s="3">
        <v>0.156</v>
      </c>
      <c r="AP45" s="3">
        <v>8.2639999999999993</v>
      </c>
      <c r="AQ45" s="3">
        <v>0.187</v>
      </c>
      <c r="AR45" s="3">
        <v>1.6E-2</v>
      </c>
      <c r="AS45" s="3">
        <v>0</v>
      </c>
      <c r="AT45" s="3">
        <v>0.25</v>
      </c>
      <c r="AU45" s="3">
        <v>1.6E-2</v>
      </c>
      <c r="AV45" s="3">
        <v>0.34399999999999997</v>
      </c>
      <c r="AW45" s="3">
        <v>1.5620000000000001</v>
      </c>
      <c r="AX45" s="3">
        <v>0</v>
      </c>
      <c r="AY45" s="3">
        <v>7.7370000000000001</v>
      </c>
      <c r="AZ45" s="3">
        <v>22.338999999999999</v>
      </c>
      <c r="BA45" s="3">
        <v>5.5449999999999999</v>
      </c>
      <c r="BB45" s="3">
        <v>24.48</v>
      </c>
      <c r="BC45" s="3">
        <v>30.992999999999999</v>
      </c>
      <c r="BD45" s="3">
        <v>6.2E-2</v>
      </c>
      <c r="BE45" s="3">
        <v>1.6E-2</v>
      </c>
      <c r="BF45" s="3">
        <v>0.17199999999999999</v>
      </c>
      <c r="BG45" s="3">
        <v>32.68</v>
      </c>
      <c r="BH45" s="3">
        <v>42.942999999999998</v>
      </c>
      <c r="BI45" s="3">
        <v>75.200999999999993</v>
      </c>
      <c r="BJ45" s="3">
        <v>11.638</v>
      </c>
      <c r="BK45" s="3">
        <v>21.026</v>
      </c>
      <c r="BL45" s="3">
        <v>0</v>
      </c>
      <c r="BM45" s="3">
        <v>40.319000000000003</v>
      </c>
      <c r="BN45" s="3">
        <v>54.628</v>
      </c>
      <c r="BO45" s="3">
        <v>52.487000000000002</v>
      </c>
      <c r="BP45" s="3">
        <v>30.196000000000002</v>
      </c>
      <c r="BQ45" s="3">
        <v>12.3</v>
      </c>
      <c r="BR45" s="3">
        <v>53.393999999999998</v>
      </c>
      <c r="BS45" s="3">
        <v>53.55</v>
      </c>
      <c r="BT45" s="3">
        <v>82.215000000000003</v>
      </c>
      <c r="BU45" s="3">
        <v>79.129000000000005</v>
      </c>
      <c r="BV45" s="3">
        <v>0.14399999999999999</v>
      </c>
      <c r="BW45" s="3">
        <v>0</v>
      </c>
      <c r="BX45" s="3">
        <v>0.66700000000000004</v>
      </c>
      <c r="BY45" s="3">
        <v>0.94299999999999995</v>
      </c>
      <c r="BZ45" s="3">
        <v>1.1220000000000001</v>
      </c>
      <c r="CA45" s="3">
        <v>1.087</v>
      </c>
      <c r="CB45" s="3">
        <v>2E-3</v>
      </c>
      <c r="CC45" s="3">
        <v>2E-3</v>
      </c>
      <c r="CD45" s="3">
        <v>2E-3</v>
      </c>
      <c r="CE45" s="3">
        <v>2E-3</v>
      </c>
      <c r="CF45" s="3">
        <v>1.4E-2</v>
      </c>
      <c r="CG45" s="3">
        <v>6.0000000000000001E-3</v>
      </c>
      <c r="CH45" s="3">
        <v>0.94099999999999995</v>
      </c>
      <c r="CI45" s="3">
        <v>0</v>
      </c>
      <c r="CJ45" s="3">
        <v>1.825</v>
      </c>
      <c r="CK45" s="3">
        <v>2.109</v>
      </c>
      <c r="CL45" s="3">
        <v>1E-3</v>
      </c>
      <c r="CM45" s="3">
        <v>0</v>
      </c>
      <c r="CN45" s="3">
        <v>2E-3</v>
      </c>
      <c r="CO45" s="3">
        <v>1.0999999999999999E-2</v>
      </c>
      <c r="CP45" s="3">
        <v>0.17299999999999999</v>
      </c>
      <c r="CQ45" s="3">
        <v>2.9000000000000001E-2</v>
      </c>
      <c r="CR45" s="3">
        <v>5.4829999999999997</v>
      </c>
      <c r="CS45" s="3">
        <v>3.7789999999999999</v>
      </c>
      <c r="CT45" s="3">
        <v>0</v>
      </c>
      <c r="CU45" s="3">
        <v>0</v>
      </c>
      <c r="CV45" s="3">
        <v>0</v>
      </c>
      <c r="CW45" s="3">
        <v>1E-3</v>
      </c>
      <c r="CX45" s="3">
        <v>1E-3</v>
      </c>
      <c r="CY45" s="3">
        <v>7.9000000000000001E-2</v>
      </c>
      <c r="CZ45" s="3">
        <v>8.0000000000000002E-3</v>
      </c>
      <c r="DA45" s="3">
        <v>3.5999999999999997E-2</v>
      </c>
      <c r="DB45" s="3">
        <v>6.5549999999999997</v>
      </c>
      <c r="DC45" s="3">
        <v>6.6970000000000001</v>
      </c>
      <c r="DD45" s="3">
        <v>8.3089999999999993</v>
      </c>
      <c r="DE45" s="3">
        <v>7.9020000000000001</v>
      </c>
      <c r="DF45" s="3">
        <v>1.6E-2</v>
      </c>
      <c r="DG45" s="3">
        <v>3.5459999999999998</v>
      </c>
      <c r="DH45" s="3">
        <v>0</v>
      </c>
      <c r="DI45" s="3">
        <v>8.7170000000000005</v>
      </c>
      <c r="DJ45" s="3">
        <v>0</v>
      </c>
      <c r="DK45" s="3">
        <v>10.856999999999999</v>
      </c>
      <c r="DL45" s="3">
        <v>1.6E-2</v>
      </c>
      <c r="DM45" s="3">
        <v>0</v>
      </c>
      <c r="DN45" s="3">
        <v>7.8E-2</v>
      </c>
      <c r="DO45" s="3">
        <v>3.1E-2</v>
      </c>
      <c r="DP45" s="3">
        <v>0.218</v>
      </c>
      <c r="DQ45" s="3">
        <v>0.71799999999999997</v>
      </c>
      <c r="DR45" s="3">
        <v>0</v>
      </c>
      <c r="DS45" s="3">
        <v>1.6E-2</v>
      </c>
      <c r="DT45" s="3">
        <v>20.885999999999999</v>
      </c>
      <c r="DU45" s="3">
        <v>15.683999999999999</v>
      </c>
      <c r="DV45" s="3">
        <v>0</v>
      </c>
      <c r="DW45" s="3">
        <v>0</v>
      </c>
      <c r="DX45" s="3">
        <v>1.4999999999999999E-2</v>
      </c>
      <c r="DY45" s="3">
        <v>1.6E-2</v>
      </c>
      <c r="DZ45" s="3">
        <v>39.131</v>
      </c>
      <c r="EA45" s="3">
        <v>58.485999999999997</v>
      </c>
      <c r="EB45" s="3">
        <v>70.468000000000004</v>
      </c>
      <c r="EC45" s="3">
        <v>66.968999999999994</v>
      </c>
      <c r="ED45" s="3">
        <v>14.074999999999999</v>
      </c>
      <c r="EE45" s="3">
        <v>0</v>
      </c>
      <c r="EF45" s="3">
        <v>45.215000000000003</v>
      </c>
      <c r="EG45" s="3">
        <v>33.914000000000001</v>
      </c>
      <c r="EH45" s="3">
        <v>53.44</v>
      </c>
      <c r="EI45" s="3">
        <v>53.081000000000003</v>
      </c>
      <c r="EJ45" s="3">
        <v>23.12</v>
      </c>
      <c r="EK45" s="3">
        <v>30.728000000000002</v>
      </c>
      <c r="EL45" s="3">
        <v>45.576999999999998</v>
      </c>
      <c r="EM45" s="3">
        <v>58.610999999999997</v>
      </c>
      <c r="EN45" s="3">
        <v>89.76</v>
      </c>
      <c r="EO45" s="3">
        <v>79.247</v>
      </c>
      <c r="EP45" s="3">
        <v>0.19700000000000001</v>
      </c>
      <c r="EQ45" s="3">
        <v>4.0000000000000001E-3</v>
      </c>
      <c r="ER45" s="3">
        <v>0.62</v>
      </c>
      <c r="ES45" s="3">
        <v>4.5999999999999999E-2</v>
      </c>
      <c r="ET45" s="3">
        <v>1.07</v>
      </c>
      <c r="EU45" s="3">
        <v>1.218</v>
      </c>
      <c r="EV45" s="3">
        <v>1E-3</v>
      </c>
      <c r="EW45" s="3">
        <v>2E-3</v>
      </c>
      <c r="EX45" s="3">
        <v>2E-3</v>
      </c>
      <c r="EY45" s="3">
        <v>3.0000000000000001E-3</v>
      </c>
      <c r="EZ45" s="3">
        <v>0.10100000000000001</v>
      </c>
      <c r="FA45" s="3">
        <v>4.0000000000000001E-3</v>
      </c>
      <c r="FB45" s="3">
        <v>3.2000000000000001E-2</v>
      </c>
      <c r="FC45" s="3">
        <v>1.0209999999999999</v>
      </c>
      <c r="FD45" s="3">
        <v>1.9079999999999999</v>
      </c>
      <c r="FE45" s="3">
        <v>0</v>
      </c>
      <c r="FF45" s="3">
        <v>3.0550000000000002</v>
      </c>
      <c r="FG45" s="3">
        <v>4.258</v>
      </c>
      <c r="FH45" s="3">
        <v>2E-3</v>
      </c>
      <c r="FI45" s="3">
        <v>0.01</v>
      </c>
      <c r="FJ45" s="3">
        <v>0.29299999999999998</v>
      </c>
      <c r="FK45" s="3">
        <v>0.1</v>
      </c>
      <c r="FL45" s="3">
        <v>5.6319999999999997</v>
      </c>
      <c r="FM45" s="3">
        <v>3.8740000000000001</v>
      </c>
      <c r="FN45" s="3">
        <v>0</v>
      </c>
      <c r="FO45" s="3">
        <v>1.897</v>
      </c>
      <c r="FP45" s="3">
        <v>0</v>
      </c>
      <c r="FQ45" s="3">
        <v>4.5890000000000004</v>
      </c>
      <c r="FR45" s="3">
        <v>6.4619999999999997</v>
      </c>
      <c r="FS45" s="3">
        <v>0.38500000000000001</v>
      </c>
      <c r="FT45" s="3">
        <v>1.8160000000000001</v>
      </c>
      <c r="FU45" s="3">
        <v>1.9970000000000001</v>
      </c>
      <c r="FV45" s="3">
        <v>5.1630000000000003</v>
      </c>
      <c r="FW45" s="3">
        <v>4.7510000000000003</v>
      </c>
      <c r="FX45" s="3">
        <v>8.5749999999999993</v>
      </c>
      <c r="FY45" s="3">
        <v>7.7869999999999999</v>
      </c>
      <c r="FZ45" s="3">
        <v>2.1560000000000001</v>
      </c>
      <c r="GA45" s="3">
        <v>3.1E-2</v>
      </c>
      <c r="GB45" s="3">
        <v>7.9039999999999999</v>
      </c>
      <c r="GC45" s="3">
        <v>8.2639999999999993</v>
      </c>
      <c r="GD45" s="3">
        <v>1.6E-2</v>
      </c>
      <c r="GE45" s="3">
        <v>1.5</v>
      </c>
      <c r="GF45" s="3">
        <v>0</v>
      </c>
      <c r="GG45" s="3">
        <v>1.4999999999999999E-2</v>
      </c>
      <c r="GH45" s="3">
        <v>0</v>
      </c>
      <c r="GI45" s="3">
        <v>0</v>
      </c>
      <c r="GJ45" s="3">
        <v>4.5919999999999996</v>
      </c>
      <c r="GK45" s="3">
        <v>1.4239999999999999</v>
      </c>
      <c r="GL45" s="3">
        <v>7.6070000000000002</v>
      </c>
      <c r="GM45" s="3">
        <v>8.3729999999999993</v>
      </c>
      <c r="GN45" s="3">
        <v>26.384</v>
      </c>
      <c r="GO45" s="3">
        <v>21.792000000000002</v>
      </c>
      <c r="GP45" s="3">
        <v>0</v>
      </c>
      <c r="GQ45" s="3">
        <v>0</v>
      </c>
      <c r="GR45" s="3">
        <v>1.6E-2</v>
      </c>
      <c r="GS45" s="3">
        <v>0.219</v>
      </c>
      <c r="GT45" s="3">
        <v>41.302</v>
      </c>
      <c r="GU45" s="3">
        <v>9.0449999999999999</v>
      </c>
      <c r="GV45" s="3">
        <v>54.814999999999998</v>
      </c>
      <c r="GW45" s="3">
        <v>64.251000000000005</v>
      </c>
      <c r="GX45" s="3">
        <v>13.278</v>
      </c>
      <c r="GY45" s="3">
        <v>0</v>
      </c>
      <c r="GZ45" s="3">
        <v>0</v>
      </c>
      <c r="HA45" s="3">
        <v>35.381999999999998</v>
      </c>
      <c r="HB45" s="3">
        <v>51.972999999999999</v>
      </c>
      <c r="HC45" s="3">
        <v>0</v>
      </c>
      <c r="HD45" s="3">
        <v>19.776</v>
      </c>
      <c r="HE45" s="3">
        <v>26.611000000000001</v>
      </c>
      <c r="HF45" s="3">
        <v>45.576999999999998</v>
      </c>
      <c r="HG45" s="3">
        <v>51.691000000000003</v>
      </c>
      <c r="HH45" s="3">
        <v>72.216999999999999</v>
      </c>
      <c r="HI45" s="3">
        <v>87.198999999999998</v>
      </c>
      <c r="HJ45" s="3">
        <v>2.1000000000000001E-2</v>
      </c>
      <c r="HK45" s="3">
        <v>0.13500000000000001</v>
      </c>
      <c r="HL45" s="3">
        <v>0.91500000000000004</v>
      </c>
      <c r="HM45" s="3">
        <v>0.77400000000000002</v>
      </c>
      <c r="HN45" s="3">
        <v>0.96299999999999997</v>
      </c>
      <c r="HO45" s="3">
        <v>2E-3</v>
      </c>
      <c r="HP45" s="3">
        <v>1E-3</v>
      </c>
      <c r="HQ45" s="3">
        <v>3.0000000000000001E-3</v>
      </c>
      <c r="HR45" s="3">
        <v>1E-3</v>
      </c>
      <c r="HS45" s="3">
        <v>1.9E-2</v>
      </c>
      <c r="HT45" s="3">
        <v>1.0999999999999999E-2</v>
      </c>
      <c r="HU45" s="3">
        <v>4.0000000000000001E-3</v>
      </c>
      <c r="HV45" s="3">
        <v>0</v>
      </c>
      <c r="HW45" s="3">
        <v>1.0349999999999999</v>
      </c>
      <c r="HX45" s="3">
        <v>1.85</v>
      </c>
      <c r="HY45" s="3">
        <v>0</v>
      </c>
      <c r="HZ45" s="3">
        <v>2.7829999999999999</v>
      </c>
      <c r="IA45" s="3">
        <v>1E-3</v>
      </c>
      <c r="IB45" s="3">
        <v>2E-3</v>
      </c>
      <c r="IC45" s="3">
        <v>2E-3</v>
      </c>
      <c r="ID45" s="3">
        <v>0.255</v>
      </c>
      <c r="IE45" s="3">
        <v>3.1890000000000001</v>
      </c>
      <c r="IF45" s="3">
        <v>5.05</v>
      </c>
      <c r="IG45" s="3">
        <v>5.266</v>
      </c>
      <c r="IH45" s="3">
        <v>4.0000000000000001E-3</v>
      </c>
      <c r="II45" s="3">
        <v>4.4340000000000002</v>
      </c>
      <c r="IJ45" s="3">
        <v>4.6390000000000002</v>
      </c>
      <c r="IK45" s="3">
        <v>3.9740000000000002</v>
      </c>
      <c r="IL45" s="3">
        <v>1E-3</v>
      </c>
      <c r="IM45" s="3">
        <v>1E-3</v>
      </c>
      <c r="IN45" s="3">
        <v>3.0000000000000001E-3</v>
      </c>
      <c r="IO45" s="3">
        <v>2.8000000000000001E-2</v>
      </c>
      <c r="IP45" s="3">
        <v>6.4610000000000003</v>
      </c>
      <c r="IQ45" s="3">
        <v>5.5819999999999999</v>
      </c>
      <c r="IR45" s="3">
        <v>7.01</v>
      </c>
      <c r="IS45" s="3">
        <v>8.8239999999999998</v>
      </c>
      <c r="IT45" s="3">
        <v>0</v>
      </c>
      <c r="IU45" s="3">
        <v>2.7959999999999998</v>
      </c>
      <c r="IV45" s="3">
        <v>7.6079999999999997</v>
      </c>
      <c r="IW45" s="3">
        <v>3.218</v>
      </c>
      <c r="IX45" s="3">
        <v>7.5609999999999999</v>
      </c>
      <c r="IY45" s="3">
        <v>1.6E-2</v>
      </c>
      <c r="IZ45" s="3">
        <v>0</v>
      </c>
      <c r="JA45" s="3">
        <v>0</v>
      </c>
      <c r="JB45" s="3">
        <v>1.6E-2</v>
      </c>
      <c r="JC45" s="3">
        <v>1.4999999999999999E-2</v>
      </c>
      <c r="JD45" s="3">
        <v>10.842000000000001</v>
      </c>
      <c r="JE45" s="3">
        <v>3.1E-2</v>
      </c>
      <c r="JF45" s="3">
        <v>8.1539999999999999</v>
      </c>
      <c r="JG45" s="3">
        <v>0</v>
      </c>
      <c r="JH45" s="3">
        <v>0</v>
      </c>
      <c r="JI45" s="3">
        <v>0</v>
      </c>
      <c r="JJ45" s="3">
        <v>0</v>
      </c>
      <c r="JK45" s="3">
        <v>26.274999999999999</v>
      </c>
      <c r="JL45" s="3">
        <v>1.6E-2</v>
      </c>
      <c r="JM45" s="3">
        <v>1.4999999999999999E-2</v>
      </c>
      <c r="JN45" s="3">
        <v>35.024000000000001</v>
      </c>
      <c r="JO45" s="3">
        <v>43.834000000000003</v>
      </c>
      <c r="JP45" s="3">
        <v>55.064999999999998</v>
      </c>
      <c r="JQ45" s="3">
        <v>46.707999999999998</v>
      </c>
      <c r="JR45" s="3">
        <v>1.4999999999999999E-2</v>
      </c>
      <c r="JS45" s="3">
        <v>19.37</v>
      </c>
      <c r="JT45" s="3">
        <v>31.164999999999999</v>
      </c>
      <c r="JU45" s="3">
        <v>1.4999999999999999E-2</v>
      </c>
      <c r="JV45" s="3">
        <v>52.707000000000001</v>
      </c>
      <c r="JW45" s="3">
        <v>9.4350000000000005</v>
      </c>
      <c r="JX45" s="3">
        <v>27.978000000000002</v>
      </c>
      <c r="JY45" s="3">
        <v>22.135999999999999</v>
      </c>
      <c r="JZ45" s="3">
        <v>50.003999999999998</v>
      </c>
      <c r="KA45" s="3">
        <v>53.503</v>
      </c>
      <c r="KB45" s="3">
        <v>80.543000000000006</v>
      </c>
      <c r="KC45" s="3">
        <v>74.248000000000005</v>
      </c>
      <c r="KD45" s="3">
        <v>1E-3</v>
      </c>
      <c r="KE45" s="3">
        <v>0.50700000000000001</v>
      </c>
      <c r="KF45" s="3">
        <v>1.4999999999999999E-2</v>
      </c>
      <c r="KG45" s="3">
        <v>0.80600000000000005</v>
      </c>
      <c r="KH45" s="3">
        <v>1.4410000000000001</v>
      </c>
      <c r="KI45" s="3">
        <v>0.69299999999999995</v>
      </c>
      <c r="KJ45" s="3">
        <v>1E-3</v>
      </c>
      <c r="KK45" s="3">
        <v>2E-3</v>
      </c>
      <c r="KL45" s="3">
        <v>5.0000000000000001E-3</v>
      </c>
      <c r="KM45" s="3">
        <v>6.0000000000000001E-3</v>
      </c>
      <c r="KN45" s="3">
        <v>0.01</v>
      </c>
      <c r="KO45" s="3">
        <v>7.0000000000000001E-3</v>
      </c>
      <c r="KP45" s="3">
        <v>0</v>
      </c>
      <c r="KQ45" s="3">
        <v>1.29</v>
      </c>
      <c r="KR45" s="3">
        <v>1.4630000000000001</v>
      </c>
      <c r="KS45" s="3">
        <v>2.9220000000000002</v>
      </c>
      <c r="KT45" s="3">
        <v>0</v>
      </c>
      <c r="KU45" s="3">
        <v>2E-3</v>
      </c>
      <c r="KV45" s="3">
        <v>2E-3</v>
      </c>
      <c r="KW45" s="3">
        <v>2E-3</v>
      </c>
      <c r="KX45" s="3">
        <v>7.0000000000000001E-3</v>
      </c>
      <c r="KY45" s="3">
        <v>3.7999999999999999E-2</v>
      </c>
      <c r="KZ45" s="3">
        <v>5.2220000000000004</v>
      </c>
      <c r="LA45" s="3">
        <v>4.9489999999999998</v>
      </c>
      <c r="LB45" s="3">
        <v>1.663</v>
      </c>
      <c r="LC45" s="3">
        <v>0</v>
      </c>
      <c r="LD45" s="3">
        <v>3.657</v>
      </c>
      <c r="LE45" s="3">
        <v>3.8959999999999999</v>
      </c>
      <c r="LF45" s="3">
        <v>1E-3</v>
      </c>
      <c r="LG45" s="3">
        <v>2E-3</v>
      </c>
      <c r="LH45" s="3">
        <v>2E-3</v>
      </c>
      <c r="LI45" s="3">
        <v>1.9750000000000001</v>
      </c>
      <c r="LJ45" s="3">
        <v>5.3959999999999999</v>
      </c>
      <c r="LK45" s="3">
        <v>5.976</v>
      </c>
      <c r="LL45" s="3">
        <v>8.0980000000000008</v>
      </c>
      <c r="LM45" s="3">
        <v>9.5950000000000006</v>
      </c>
      <c r="LN45" s="3">
        <v>1.6E-2</v>
      </c>
      <c r="LO45" s="3">
        <v>1.6E-2</v>
      </c>
      <c r="LP45" s="3">
        <v>7.9829999999999997</v>
      </c>
      <c r="LQ45" s="3">
        <v>7.0919999999999996</v>
      </c>
      <c r="LR45" s="3">
        <v>9.2010000000000005</v>
      </c>
      <c r="LS45" s="3">
        <v>10.372999999999999</v>
      </c>
      <c r="LT45" s="3">
        <v>0</v>
      </c>
      <c r="LU45" s="3">
        <v>3.1E-2</v>
      </c>
      <c r="LV45" s="3">
        <v>1.6E-2</v>
      </c>
      <c r="LW45" s="3">
        <v>1.6E-2</v>
      </c>
      <c r="LX45" s="3">
        <v>4.5990000000000002</v>
      </c>
      <c r="LY45" s="3">
        <v>2.0619999999999998</v>
      </c>
      <c r="LZ45" s="3">
        <v>8.42</v>
      </c>
      <c r="MA45" s="3">
        <v>1.6E-2</v>
      </c>
      <c r="MB45" s="3">
        <v>18.385999999999999</v>
      </c>
      <c r="MC45" s="3">
        <v>0</v>
      </c>
      <c r="MD45" s="3">
        <v>31.149000000000001</v>
      </c>
      <c r="ME45" s="3">
        <v>1.4999999999999999E-2</v>
      </c>
      <c r="MF45" s="3">
        <v>0</v>
      </c>
      <c r="MG45" s="3">
        <v>3.1E-2</v>
      </c>
      <c r="MH45" s="3">
        <v>36.445</v>
      </c>
      <c r="MI45" s="3">
        <v>3.1E-2</v>
      </c>
      <c r="MJ45" s="3">
        <v>53.722000000000001</v>
      </c>
      <c r="MK45" s="3">
        <v>60.814</v>
      </c>
      <c r="ML45" s="3">
        <v>16.135999999999999</v>
      </c>
      <c r="MM45" s="3">
        <v>0</v>
      </c>
      <c r="MN45" s="3">
        <v>33.539000000000001</v>
      </c>
      <c r="MO45" s="3">
        <v>42.844999999999999</v>
      </c>
      <c r="MP45" s="3">
        <v>0</v>
      </c>
      <c r="MQ45" s="3">
        <v>0</v>
      </c>
      <c r="MR45" s="3">
        <v>19.433</v>
      </c>
      <c r="MS45" s="3">
        <v>0.56299999999999994</v>
      </c>
      <c r="MT45" s="3">
        <v>57.521999999999998</v>
      </c>
      <c r="MU45" s="3">
        <v>52.097000000000001</v>
      </c>
      <c r="MV45" s="3">
        <v>90.275999999999996</v>
      </c>
      <c r="MW45" s="3">
        <v>85.745000000000005</v>
      </c>
    </row>
    <row r="46" spans="1:361" x14ac:dyDescent="0.3">
      <c r="A46" s="3">
        <v>4</v>
      </c>
      <c r="B46" s="3">
        <v>0.438</v>
      </c>
      <c r="C46" s="3">
        <v>0</v>
      </c>
      <c r="D46" s="3">
        <v>0.74199999999999999</v>
      </c>
      <c r="E46" s="3">
        <v>1.038</v>
      </c>
      <c r="F46" s="3">
        <v>1E-3</v>
      </c>
      <c r="G46" s="3">
        <v>1.476</v>
      </c>
      <c r="H46" s="3">
        <v>2E-3</v>
      </c>
      <c r="I46" s="3">
        <v>2E-3</v>
      </c>
      <c r="J46" s="3">
        <v>3.0000000000000001E-3</v>
      </c>
      <c r="K46" s="3">
        <v>5.0000000000000001E-3</v>
      </c>
      <c r="L46" s="3">
        <v>5.0000000000000001E-3</v>
      </c>
      <c r="M46" s="3">
        <v>2.9000000000000001E-2</v>
      </c>
      <c r="N46" s="3">
        <v>0.64400000000000002</v>
      </c>
      <c r="O46" s="3">
        <v>0.78900000000000003</v>
      </c>
      <c r="P46" s="3">
        <v>2.2320000000000002</v>
      </c>
      <c r="Q46" s="3">
        <v>0</v>
      </c>
      <c r="R46" s="3">
        <v>3.3050000000000002</v>
      </c>
      <c r="S46" s="3">
        <v>3.3919999999999999</v>
      </c>
      <c r="T46" s="3">
        <v>4.0000000000000001E-3</v>
      </c>
      <c r="U46" s="3">
        <v>3.0000000000000001E-3</v>
      </c>
      <c r="V46" s="3">
        <v>1.135</v>
      </c>
      <c r="W46" s="3">
        <v>2.6280000000000001</v>
      </c>
      <c r="X46" s="3">
        <v>3.899</v>
      </c>
      <c r="Y46" s="3">
        <v>4.8380000000000001</v>
      </c>
      <c r="Z46" s="3">
        <v>1.6950000000000001</v>
      </c>
      <c r="AA46" s="3">
        <v>3.395</v>
      </c>
      <c r="AB46" s="3">
        <v>4.2270000000000003</v>
      </c>
      <c r="AC46" s="3">
        <v>4.0659999999999998</v>
      </c>
      <c r="AD46" s="3">
        <v>4.5339999999999998</v>
      </c>
      <c r="AE46" s="3">
        <v>1E-3</v>
      </c>
      <c r="AF46" s="3">
        <v>2.206</v>
      </c>
      <c r="AG46" s="3">
        <v>2.2330000000000001</v>
      </c>
      <c r="AH46" s="3">
        <v>5.3920000000000003</v>
      </c>
      <c r="AI46" s="3">
        <v>5.6150000000000002</v>
      </c>
      <c r="AJ46" s="3">
        <v>5.6769999999999996</v>
      </c>
      <c r="AK46" s="3">
        <v>9.2959999999999994</v>
      </c>
      <c r="AL46" s="3">
        <v>1.6E-2</v>
      </c>
      <c r="AM46" s="3">
        <v>1.4999999999999999E-2</v>
      </c>
      <c r="AN46" s="3">
        <v>7.5759999999999996</v>
      </c>
      <c r="AO46" s="3">
        <v>0.156</v>
      </c>
      <c r="AP46" s="3">
        <v>8.2170000000000005</v>
      </c>
      <c r="AQ46" s="3">
        <v>0.109</v>
      </c>
      <c r="AR46" s="3">
        <v>0</v>
      </c>
      <c r="AS46" s="3">
        <v>1.6E-2</v>
      </c>
      <c r="AT46" s="3">
        <v>1.6E-2</v>
      </c>
      <c r="AU46" s="3">
        <v>3.1E-2</v>
      </c>
      <c r="AV46" s="3">
        <v>0.93700000000000006</v>
      </c>
      <c r="AW46" s="3">
        <v>0.64100000000000001</v>
      </c>
      <c r="AX46" s="3">
        <v>0</v>
      </c>
      <c r="AY46" s="3">
        <v>7.8730000000000002</v>
      </c>
      <c r="AZ46" s="3">
        <v>21.73</v>
      </c>
      <c r="BA46" s="3">
        <v>0.25</v>
      </c>
      <c r="BB46" s="3">
        <v>25.792000000000002</v>
      </c>
      <c r="BC46" s="3">
        <v>28.009</v>
      </c>
      <c r="BD46" s="3">
        <v>0</v>
      </c>
      <c r="BE46" s="3">
        <v>1.6E-2</v>
      </c>
      <c r="BF46" s="3">
        <v>16.760999999999999</v>
      </c>
      <c r="BG46" s="3">
        <v>0.51600000000000001</v>
      </c>
      <c r="BH46" s="3">
        <v>44.927</v>
      </c>
      <c r="BI46" s="3">
        <v>72.763999999999996</v>
      </c>
      <c r="BJ46" s="3">
        <v>12.044</v>
      </c>
      <c r="BK46" s="3">
        <v>20.48</v>
      </c>
      <c r="BL46" s="3">
        <v>0</v>
      </c>
      <c r="BM46" s="3">
        <v>46.536000000000001</v>
      </c>
      <c r="BN46" s="3">
        <v>54.487000000000002</v>
      </c>
      <c r="BO46" s="3">
        <v>52.41</v>
      </c>
      <c r="BP46" s="3">
        <v>27.431000000000001</v>
      </c>
      <c r="BQ46" s="3">
        <v>1.9370000000000001</v>
      </c>
      <c r="BR46" s="3">
        <v>54.314999999999998</v>
      </c>
      <c r="BS46" s="3">
        <v>53.44</v>
      </c>
      <c r="BT46" s="3">
        <v>78.063999999999993</v>
      </c>
      <c r="BU46" s="3">
        <v>71.623000000000005</v>
      </c>
      <c r="BV46" s="3">
        <v>0.13</v>
      </c>
      <c r="BW46" s="3">
        <v>0</v>
      </c>
      <c r="BX46" s="3">
        <v>0.68500000000000005</v>
      </c>
      <c r="BY46" s="3">
        <v>0.96599999999999997</v>
      </c>
      <c r="BZ46" s="3">
        <v>1.0469999999999999</v>
      </c>
      <c r="CA46" s="3">
        <v>1.1120000000000001</v>
      </c>
      <c r="CB46" s="3">
        <v>5.0000000000000001E-3</v>
      </c>
      <c r="CC46" s="3">
        <v>3.0000000000000001E-3</v>
      </c>
      <c r="CD46" s="3">
        <v>2E-3</v>
      </c>
      <c r="CE46" s="3">
        <v>2E-3</v>
      </c>
      <c r="CF46" s="3">
        <v>0.05</v>
      </c>
      <c r="CG46" s="3">
        <v>8.9999999999999993E-3</v>
      </c>
      <c r="CH46" s="3">
        <v>0.998</v>
      </c>
      <c r="CI46" s="3">
        <v>2E-3</v>
      </c>
      <c r="CJ46" s="3">
        <v>1.8049999999999999</v>
      </c>
      <c r="CK46" s="3">
        <v>2.1669999999999998</v>
      </c>
      <c r="CL46" s="3">
        <v>1E-3</v>
      </c>
      <c r="CM46" s="3">
        <v>0</v>
      </c>
      <c r="CN46" s="3">
        <v>1E-3</v>
      </c>
      <c r="CO46" s="3">
        <v>1.2E-2</v>
      </c>
      <c r="CP46" s="3">
        <v>3.7450000000000001</v>
      </c>
      <c r="CQ46" s="3">
        <v>2.1999999999999999E-2</v>
      </c>
      <c r="CR46" s="3">
        <v>5.351</v>
      </c>
      <c r="CS46" s="3">
        <v>3.9460000000000002</v>
      </c>
      <c r="CT46" s="3">
        <v>0</v>
      </c>
      <c r="CU46" s="3">
        <v>1E-3</v>
      </c>
      <c r="CV46" s="3">
        <v>0</v>
      </c>
      <c r="CW46" s="3">
        <v>2E-3</v>
      </c>
      <c r="CX46" s="3">
        <v>1E-3</v>
      </c>
      <c r="CY46" s="3">
        <v>7.0999999999999994E-2</v>
      </c>
      <c r="CZ46" s="3">
        <v>3.0000000000000001E-3</v>
      </c>
      <c r="DA46" s="3">
        <v>1.7000000000000001E-2</v>
      </c>
      <c r="DB46" s="3">
        <v>6.9139999999999997</v>
      </c>
      <c r="DC46" s="3">
        <v>7.9139999999999997</v>
      </c>
      <c r="DD46" s="3">
        <v>7.9409999999999998</v>
      </c>
      <c r="DE46" s="3">
        <v>8.2309999999999999</v>
      </c>
      <c r="DF46" s="3">
        <v>0.14099999999999999</v>
      </c>
      <c r="DG46" s="3">
        <v>3.3580000000000001</v>
      </c>
      <c r="DH46" s="3">
        <v>0</v>
      </c>
      <c r="DI46" s="3">
        <v>8.6539999999999999</v>
      </c>
      <c r="DJ46" s="3">
        <v>0</v>
      </c>
      <c r="DK46" s="3">
        <v>10.122999999999999</v>
      </c>
      <c r="DL46" s="3">
        <v>0</v>
      </c>
      <c r="DM46" s="3">
        <v>0</v>
      </c>
      <c r="DN46" s="3">
        <v>0</v>
      </c>
      <c r="DO46" s="3">
        <v>0.28100000000000003</v>
      </c>
      <c r="DP46" s="3">
        <v>0.437</v>
      </c>
      <c r="DQ46" s="3">
        <v>4.7E-2</v>
      </c>
      <c r="DR46" s="3">
        <v>0</v>
      </c>
      <c r="DS46" s="3">
        <v>0</v>
      </c>
      <c r="DT46" s="3">
        <v>23.042000000000002</v>
      </c>
      <c r="DU46" s="3">
        <v>15.590999999999999</v>
      </c>
      <c r="DV46" s="3">
        <v>0</v>
      </c>
      <c r="DW46" s="3">
        <v>0</v>
      </c>
      <c r="DX46" s="3">
        <v>0</v>
      </c>
      <c r="DY46" s="3">
        <v>0</v>
      </c>
      <c r="DZ46" s="3">
        <v>29.54</v>
      </c>
      <c r="EA46" s="3">
        <v>57.423999999999999</v>
      </c>
      <c r="EB46" s="3">
        <v>60.720999999999997</v>
      </c>
      <c r="EC46" s="3">
        <v>64.281999999999996</v>
      </c>
      <c r="ED46" s="3">
        <v>14.403</v>
      </c>
      <c r="EE46" s="3">
        <v>0</v>
      </c>
      <c r="EF46" s="3">
        <v>45.067</v>
      </c>
      <c r="EG46" s="3">
        <v>33.826000000000001</v>
      </c>
      <c r="EH46" s="3">
        <v>54.253</v>
      </c>
      <c r="EI46" s="3">
        <v>53.581000000000003</v>
      </c>
      <c r="EJ46" s="3">
        <v>24.486000000000001</v>
      </c>
      <c r="EK46" s="3">
        <v>28.603000000000002</v>
      </c>
      <c r="EL46" s="3">
        <v>46.411999999999999</v>
      </c>
      <c r="EM46" s="3">
        <v>52.731999999999999</v>
      </c>
      <c r="EN46" s="3">
        <v>80.778000000000006</v>
      </c>
      <c r="EO46" s="3">
        <v>78.793999999999997</v>
      </c>
      <c r="EP46" s="3">
        <v>0.19600000000000001</v>
      </c>
      <c r="EQ46" s="3">
        <v>7.0000000000000001E-3</v>
      </c>
      <c r="ER46" s="3">
        <v>0.68100000000000005</v>
      </c>
      <c r="ES46" s="3">
        <v>8.0000000000000002E-3</v>
      </c>
      <c r="ET46" s="3">
        <v>1.0429999999999999</v>
      </c>
      <c r="EU46" s="3">
        <v>1.208</v>
      </c>
      <c r="EV46" s="3">
        <v>2E-3</v>
      </c>
      <c r="EW46" s="3">
        <v>1E-3</v>
      </c>
      <c r="EX46" s="3">
        <v>2E-3</v>
      </c>
      <c r="EY46" s="3">
        <v>3.0000000000000001E-3</v>
      </c>
      <c r="EZ46" s="3">
        <v>1.7999999999999999E-2</v>
      </c>
      <c r="FA46" s="3">
        <v>4.0000000000000001E-3</v>
      </c>
      <c r="FB46" s="3">
        <v>6.0999999999999999E-2</v>
      </c>
      <c r="FC46" s="3">
        <v>1.127</v>
      </c>
      <c r="FD46" s="3">
        <v>1.9510000000000001</v>
      </c>
      <c r="FE46" s="3">
        <v>0</v>
      </c>
      <c r="FF46" s="3">
        <v>3.383</v>
      </c>
      <c r="FG46" s="3">
        <v>4.1180000000000003</v>
      </c>
      <c r="FH46" s="3">
        <v>1E-3</v>
      </c>
      <c r="FI46" s="3">
        <v>1.7999999999999999E-2</v>
      </c>
      <c r="FJ46" s="3">
        <v>0.47199999999999998</v>
      </c>
      <c r="FK46" s="3">
        <v>1.6E-2</v>
      </c>
      <c r="FL46" s="3">
        <v>5.8259999999999996</v>
      </c>
      <c r="FM46" s="3">
        <v>4.0830000000000002</v>
      </c>
      <c r="FN46" s="3">
        <v>0</v>
      </c>
      <c r="FO46" s="3">
        <v>2.202</v>
      </c>
      <c r="FP46" s="3">
        <v>1E-3</v>
      </c>
      <c r="FQ46" s="3">
        <v>4.8419999999999996</v>
      </c>
      <c r="FR46" s="3">
        <v>6.2160000000000002</v>
      </c>
      <c r="FS46" s="3">
        <v>0.35699999999999998</v>
      </c>
      <c r="FT46" s="3">
        <v>1.7949999999999999</v>
      </c>
      <c r="FU46" s="3">
        <v>1.978</v>
      </c>
      <c r="FV46" s="3">
        <v>5.2130000000000001</v>
      </c>
      <c r="FW46" s="3">
        <v>4.4260000000000002</v>
      </c>
      <c r="FX46" s="3">
        <v>8.3719999999999999</v>
      </c>
      <c r="FY46" s="3">
        <v>8.4969999999999999</v>
      </c>
      <c r="FZ46" s="3">
        <v>2.0619999999999998</v>
      </c>
      <c r="GA46" s="3">
        <v>4.7E-2</v>
      </c>
      <c r="GB46" s="3">
        <v>7.6859999999999999</v>
      </c>
      <c r="GC46" s="3">
        <v>9.3879999999999999</v>
      </c>
      <c r="GD46" s="3">
        <v>0</v>
      </c>
      <c r="GE46" s="3">
        <v>0.60899999999999999</v>
      </c>
      <c r="GF46" s="3">
        <v>1.6E-2</v>
      </c>
      <c r="GG46" s="3">
        <v>1.6E-2</v>
      </c>
      <c r="GH46" s="3">
        <v>0</v>
      </c>
      <c r="GI46" s="3">
        <v>1.6E-2</v>
      </c>
      <c r="GJ46" s="3">
        <v>1.875</v>
      </c>
      <c r="GK46" s="3">
        <v>0.11</v>
      </c>
      <c r="GL46" s="3">
        <v>7.0609999999999999</v>
      </c>
      <c r="GM46" s="3">
        <v>8.4510000000000005</v>
      </c>
      <c r="GN46" s="3">
        <v>23.963999999999999</v>
      </c>
      <c r="GO46" s="3">
        <v>21.495000000000001</v>
      </c>
      <c r="GP46" s="3">
        <v>0</v>
      </c>
      <c r="GQ46" s="3">
        <v>0</v>
      </c>
      <c r="GR46" s="3">
        <v>0</v>
      </c>
      <c r="GS46" s="3">
        <v>0.23400000000000001</v>
      </c>
      <c r="GT46" s="3">
        <v>42.146999999999998</v>
      </c>
      <c r="GU46" s="3">
        <v>1.6719999999999999</v>
      </c>
      <c r="GV46" s="3">
        <v>59.845999999999997</v>
      </c>
      <c r="GW46" s="3">
        <v>58.518000000000001</v>
      </c>
      <c r="GX46" s="3">
        <v>13.106999999999999</v>
      </c>
      <c r="GY46" s="3">
        <v>0</v>
      </c>
      <c r="GZ46" s="3">
        <v>0</v>
      </c>
      <c r="HA46" s="3">
        <v>35.055</v>
      </c>
      <c r="HB46" s="3">
        <v>52.566000000000003</v>
      </c>
      <c r="HC46" s="3">
        <v>0</v>
      </c>
      <c r="HD46" s="3">
        <v>21.558</v>
      </c>
      <c r="HE46" s="3">
        <v>23.619</v>
      </c>
      <c r="HF46" s="3">
        <v>46.411999999999999</v>
      </c>
      <c r="HG46" s="3">
        <v>51.206000000000003</v>
      </c>
      <c r="HH46" s="3">
        <v>74.341999999999999</v>
      </c>
      <c r="HI46" s="3">
        <v>80.120999999999995</v>
      </c>
      <c r="HJ46" s="3">
        <v>3.5000000000000003E-2</v>
      </c>
      <c r="HK46" s="3">
        <v>0.122</v>
      </c>
      <c r="HL46" s="3">
        <v>0.97499999999999998</v>
      </c>
      <c r="HM46" s="3">
        <v>0.997</v>
      </c>
      <c r="HN46" s="3">
        <v>0.97399999999999998</v>
      </c>
      <c r="HO46" s="3">
        <v>2E-3</v>
      </c>
      <c r="HP46" s="3">
        <v>1E-3</v>
      </c>
      <c r="HQ46" s="3">
        <v>2E-3</v>
      </c>
      <c r="HR46" s="3">
        <v>6.0000000000000001E-3</v>
      </c>
      <c r="HS46" s="3">
        <v>7.0000000000000001E-3</v>
      </c>
      <c r="HT46" s="3">
        <v>5.0000000000000001E-3</v>
      </c>
      <c r="HU46" s="3">
        <v>1.0999999999999999E-2</v>
      </c>
      <c r="HV46" s="3">
        <v>0</v>
      </c>
      <c r="HW46" s="3">
        <v>1.0469999999999999</v>
      </c>
      <c r="HX46" s="3">
        <v>1.9039999999999999</v>
      </c>
      <c r="HY46" s="3">
        <v>0</v>
      </c>
      <c r="HZ46" s="3">
        <v>2.7669999999999999</v>
      </c>
      <c r="IA46" s="3">
        <v>0</v>
      </c>
      <c r="IB46" s="3">
        <v>2E-3</v>
      </c>
      <c r="IC46" s="3">
        <v>2E-3</v>
      </c>
      <c r="ID46" s="3">
        <v>7.4999999999999997E-2</v>
      </c>
      <c r="IE46" s="3">
        <v>2.9630000000000001</v>
      </c>
      <c r="IF46" s="3">
        <v>5.056</v>
      </c>
      <c r="IG46" s="3">
        <v>5.2149999999999999</v>
      </c>
      <c r="IH46" s="3">
        <v>6.0000000000000001E-3</v>
      </c>
      <c r="II46" s="3">
        <v>3.5430000000000001</v>
      </c>
      <c r="IJ46" s="3">
        <v>4.6840000000000002</v>
      </c>
      <c r="IK46" s="3">
        <v>4.2610000000000001</v>
      </c>
      <c r="IL46" s="3">
        <v>1E-3</v>
      </c>
      <c r="IM46" s="3">
        <v>0</v>
      </c>
      <c r="IN46" s="3">
        <v>2.1000000000000001E-2</v>
      </c>
      <c r="IO46" s="3">
        <v>1.7000000000000001E-2</v>
      </c>
      <c r="IP46" s="3">
        <v>6.3159999999999998</v>
      </c>
      <c r="IQ46" s="3">
        <v>5.1950000000000003</v>
      </c>
      <c r="IR46" s="3">
        <v>7.2610000000000001</v>
      </c>
      <c r="IS46" s="3">
        <v>9.3490000000000002</v>
      </c>
      <c r="IT46" s="3">
        <v>3.1E-2</v>
      </c>
      <c r="IU46" s="3">
        <v>2.1869999999999998</v>
      </c>
      <c r="IV46" s="3">
        <v>6.8579999999999997</v>
      </c>
      <c r="IW46" s="3">
        <v>4.7160000000000002</v>
      </c>
      <c r="IX46" s="3">
        <v>7.7169999999999996</v>
      </c>
      <c r="IY46" s="3">
        <v>9.2999999999999999E-2</v>
      </c>
      <c r="IZ46" s="3">
        <v>1.4999999999999999E-2</v>
      </c>
      <c r="JA46" s="3">
        <v>1.6E-2</v>
      </c>
      <c r="JB46" s="3">
        <v>7.8E-2</v>
      </c>
      <c r="JC46" s="3">
        <v>0.26600000000000001</v>
      </c>
      <c r="JD46" s="3">
        <v>11.403</v>
      </c>
      <c r="JE46" s="3">
        <v>7.8E-2</v>
      </c>
      <c r="JF46" s="3">
        <v>9.0289999999999999</v>
      </c>
      <c r="JG46" s="3">
        <v>0</v>
      </c>
      <c r="JH46" s="3">
        <v>0</v>
      </c>
      <c r="JI46" s="3">
        <v>0</v>
      </c>
      <c r="JJ46" s="3">
        <v>0</v>
      </c>
      <c r="JK46" s="3">
        <v>26.164999999999999</v>
      </c>
      <c r="JL46" s="3">
        <v>0.14099999999999999</v>
      </c>
      <c r="JM46" s="3">
        <v>1.6E-2</v>
      </c>
      <c r="JN46" s="3">
        <v>38.716999999999999</v>
      </c>
      <c r="JO46" s="3">
        <v>41.787999999999997</v>
      </c>
      <c r="JP46" s="3">
        <v>47.661000000000001</v>
      </c>
      <c r="JQ46" s="3">
        <v>48.176000000000002</v>
      </c>
      <c r="JR46" s="3">
        <v>0</v>
      </c>
      <c r="JS46" s="3">
        <v>21.510999999999999</v>
      </c>
      <c r="JT46" s="3">
        <v>31.382999999999999</v>
      </c>
      <c r="JU46" s="3">
        <v>0</v>
      </c>
      <c r="JV46" s="3">
        <v>51.658999999999999</v>
      </c>
      <c r="JW46" s="3">
        <v>0.79700000000000004</v>
      </c>
      <c r="JX46" s="3">
        <v>30.29</v>
      </c>
      <c r="JY46" s="3">
        <v>22.821999999999999</v>
      </c>
      <c r="JZ46" s="3">
        <v>46.957999999999998</v>
      </c>
      <c r="KA46" s="3">
        <v>55.048999999999999</v>
      </c>
      <c r="KB46" s="3">
        <v>82.855999999999995</v>
      </c>
      <c r="KC46" s="3">
        <v>74.716999999999999</v>
      </c>
      <c r="KD46" s="3">
        <v>0</v>
      </c>
      <c r="KE46" s="3">
        <v>0.54300000000000004</v>
      </c>
      <c r="KF46" s="3">
        <v>1.7000000000000001E-2</v>
      </c>
      <c r="KG46" s="3">
        <v>0.76500000000000001</v>
      </c>
      <c r="KH46" s="3">
        <v>1.585</v>
      </c>
      <c r="KI46" s="3">
        <v>2.0070000000000001</v>
      </c>
      <c r="KJ46" s="3">
        <v>3.0000000000000001E-3</v>
      </c>
      <c r="KK46" s="3">
        <v>1E-3</v>
      </c>
      <c r="KL46" s="3">
        <v>1E-3</v>
      </c>
      <c r="KM46" s="3">
        <v>3.0000000000000001E-3</v>
      </c>
      <c r="KN46" s="3">
        <v>4.0000000000000001E-3</v>
      </c>
      <c r="KO46" s="3">
        <v>1.2E-2</v>
      </c>
      <c r="KP46" s="3">
        <v>0</v>
      </c>
      <c r="KQ46" s="3">
        <v>1.397</v>
      </c>
      <c r="KR46" s="3">
        <v>1.5269999999999999</v>
      </c>
      <c r="KS46" s="3">
        <v>2.6190000000000002</v>
      </c>
      <c r="KT46" s="3">
        <v>0</v>
      </c>
      <c r="KU46" s="3">
        <v>2E-3</v>
      </c>
      <c r="KV46" s="3">
        <v>2E-3</v>
      </c>
      <c r="KW46" s="3">
        <v>3.0000000000000001E-3</v>
      </c>
      <c r="KX46" s="3">
        <v>0.112</v>
      </c>
      <c r="KY46" s="3">
        <v>4.4999999999999998E-2</v>
      </c>
      <c r="KZ46" s="3">
        <v>5.0940000000000003</v>
      </c>
      <c r="LA46" s="3">
        <v>4.984</v>
      </c>
      <c r="LB46" s="3">
        <v>1.734</v>
      </c>
      <c r="LC46" s="3">
        <v>0</v>
      </c>
      <c r="LD46" s="3">
        <v>3.5939999999999999</v>
      </c>
      <c r="LE46" s="3">
        <v>3.6850000000000001</v>
      </c>
      <c r="LF46" s="3">
        <v>1E-3</v>
      </c>
      <c r="LG46" s="3">
        <v>1E-3</v>
      </c>
      <c r="LH46" s="3">
        <v>8.9999999999999993E-3</v>
      </c>
      <c r="LI46" s="3">
        <v>2.1360000000000001</v>
      </c>
      <c r="LJ46" s="3">
        <v>4.5119999999999996</v>
      </c>
      <c r="LK46" s="3">
        <v>5.4219999999999997</v>
      </c>
      <c r="LL46" s="3">
        <v>8.2569999999999997</v>
      </c>
      <c r="LM46" s="3">
        <v>8.3650000000000002</v>
      </c>
      <c r="LN46" s="3">
        <v>3.1E-2</v>
      </c>
      <c r="LO46" s="3">
        <v>0</v>
      </c>
      <c r="LP46" s="3">
        <v>7.1079999999999997</v>
      </c>
      <c r="LQ46" s="3">
        <v>7.42</v>
      </c>
      <c r="LR46" s="3">
        <v>8.8569999999999993</v>
      </c>
      <c r="LS46" s="3">
        <v>10.294</v>
      </c>
      <c r="LT46" s="3">
        <v>0</v>
      </c>
      <c r="LU46" s="3">
        <v>1.6E-2</v>
      </c>
      <c r="LV46" s="3">
        <v>1.4999999999999999E-2</v>
      </c>
      <c r="LW46" s="3">
        <v>1.6E-2</v>
      </c>
      <c r="LX46" s="3">
        <v>0.53100000000000003</v>
      </c>
      <c r="LY46" s="3">
        <v>2.484</v>
      </c>
      <c r="LZ46" s="3">
        <v>8.8109999999999999</v>
      </c>
      <c r="MA46" s="3">
        <v>0</v>
      </c>
      <c r="MB46" s="3">
        <v>18.027000000000001</v>
      </c>
      <c r="MC46" s="3">
        <v>0</v>
      </c>
      <c r="MD46" s="3">
        <v>30.047999999999998</v>
      </c>
      <c r="ME46" s="3">
        <v>0</v>
      </c>
      <c r="MF46" s="3">
        <v>1.4999999999999999E-2</v>
      </c>
      <c r="MG46" s="3">
        <v>0.23400000000000001</v>
      </c>
      <c r="MH46" s="3">
        <v>32.43</v>
      </c>
      <c r="MI46" s="3">
        <v>0.17199999999999999</v>
      </c>
      <c r="MJ46" s="3">
        <v>57.832999999999998</v>
      </c>
      <c r="MK46" s="3">
        <v>60.844999999999999</v>
      </c>
      <c r="ML46" s="3">
        <v>15.512</v>
      </c>
      <c r="MM46" s="3">
        <v>0</v>
      </c>
      <c r="MN46" s="3">
        <v>33.195999999999998</v>
      </c>
      <c r="MO46" s="3">
        <v>38.927999999999997</v>
      </c>
      <c r="MP46" s="3">
        <v>0</v>
      </c>
      <c r="MQ46" s="3">
        <v>0</v>
      </c>
      <c r="MR46" s="3">
        <v>18.417000000000002</v>
      </c>
      <c r="MS46" s="3">
        <v>4.17</v>
      </c>
      <c r="MT46" s="3">
        <v>51.488</v>
      </c>
      <c r="MU46" s="3">
        <v>51.768999999999998</v>
      </c>
      <c r="MV46" s="3">
        <v>93.055999999999997</v>
      </c>
      <c r="MW46" s="3">
        <v>86.010999999999996</v>
      </c>
    </row>
    <row r="47" spans="1:361" x14ac:dyDescent="0.3">
      <c r="A47" s="3">
        <v>5</v>
      </c>
      <c r="B47" s="3">
        <v>0.432</v>
      </c>
      <c r="C47" s="3">
        <v>0</v>
      </c>
      <c r="D47" s="3">
        <v>0.747</v>
      </c>
      <c r="E47" s="3">
        <v>1.0009999999999999</v>
      </c>
      <c r="F47" s="3">
        <v>8.9999999999999993E-3</v>
      </c>
      <c r="G47" s="3">
        <v>1.6160000000000001</v>
      </c>
      <c r="H47" s="3">
        <v>1E-3</v>
      </c>
      <c r="I47" s="3">
        <v>2E-3</v>
      </c>
      <c r="J47" s="3">
        <v>1.2E-2</v>
      </c>
      <c r="K47" s="3">
        <v>1.6E-2</v>
      </c>
      <c r="L47" s="3">
        <v>5.8999999999999997E-2</v>
      </c>
      <c r="M47" s="3">
        <v>3.1E-2</v>
      </c>
      <c r="N47" s="3">
        <v>0.7</v>
      </c>
      <c r="O47" s="3">
        <v>0.90600000000000003</v>
      </c>
      <c r="P47" s="3">
        <v>2.1469999999999998</v>
      </c>
      <c r="Q47" s="3">
        <v>0</v>
      </c>
      <c r="R47" s="3">
        <v>3.3180000000000001</v>
      </c>
      <c r="S47" s="3">
        <v>2.988</v>
      </c>
      <c r="T47" s="3">
        <v>2E-3</v>
      </c>
      <c r="U47" s="3">
        <v>4.0000000000000001E-3</v>
      </c>
      <c r="V47" s="3">
        <v>1.014</v>
      </c>
      <c r="W47" s="3">
        <v>2.7930000000000001</v>
      </c>
      <c r="X47" s="3">
        <v>4.0679999999999996</v>
      </c>
      <c r="Y47" s="3">
        <v>4.6100000000000003</v>
      </c>
      <c r="Z47" s="3">
        <v>1.597</v>
      </c>
      <c r="AA47" s="3">
        <v>3.6909999999999998</v>
      </c>
      <c r="AB47" s="3">
        <v>4.5670000000000002</v>
      </c>
      <c r="AC47" s="3">
        <v>3.8439999999999999</v>
      </c>
      <c r="AD47" s="3">
        <v>4.6079999999999997</v>
      </c>
      <c r="AE47" s="3">
        <v>1E-3</v>
      </c>
      <c r="AF47" s="3">
        <v>1.972</v>
      </c>
      <c r="AG47" s="3">
        <v>2.2570000000000001</v>
      </c>
      <c r="AH47" s="3">
        <v>5.4909999999999997</v>
      </c>
      <c r="AI47" s="3">
        <v>5.3079999999999998</v>
      </c>
      <c r="AJ47" s="3">
        <v>5.9119999999999999</v>
      </c>
      <c r="AK47" s="3">
        <v>9.0229999999999997</v>
      </c>
      <c r="AL47" s="3">
        <v>0</v>
      </c>
      <c r="AM47" s="3">
        <v>0</v>
      </c>
      <c r="AN47" s="3">
        <v>7.2949999999999999</v>
      </c>
      <c r="AO47" s="3">
        <v>9.4E-2</v>
      </c>
      <c r="AP47" s="3">
        <v>8.42</v>
      </c>
      <c r="AQ47" s="3">
        <v>0</v>
      </c>
      <c r="AR47" s="3">
        <v>1.6E-2</v>
      </c>
      <c r="AS47" s="3">
        <v>0</v>
      </c>
      <c r="AT47" s="3">
        <v>1.4999999999999999E-2</v>
      </c>
      <c r="AU47" s="3">
        <v>3.1E-2</v>
      </c>
      <c r="AV47" s="3">
        <v>1.7190000000000001</v>
      </c>
      <c r="AW47" s="3">
        <v>0.45300000000000001</v>
      </c>
      <c r="AX47" s="3">
        <v>0</v>
      </c>
      <c r="AY47" s="3">
        <v>7.2329999999999997</v>
      </c>
      <c r="AZ47" s="3">
        <v>21.776</v>
      </c>
      <c r="BA47" s="3">
        <v>0.5</v>
      </c>
      <c r="BB47" s="3">
        <v>24.745000000000001</v>
      </c>
      <c r="BC47" s="3">
        <v>27.806000000000001</v>
      </c>
      <c r="BD47" s="3">
        <v>1.6E-2</v>
      </c>
      <c r="BE47" s="3">
        <v>1.4999999999999999E-2</v>
      </c>
      <c r="BF47" s="3">
        <v>5.327</v>
      </c>
      <c r="BG47" s="3">
        <v>2.702</v>
      </c>
      <c r="BH47" s="3">
        <v>45.006</v>
      </c>
      <c r="BI47" s="3">
        <v>74.019000000000005</v>
      </c>
      <c r="BJ47" s="3">
        <v>11.513</v>
      </c>
      <c r="BK47" s="3">
        <v>22.181999999999999</v>
      </c>
      <c r="BL47" s="3">
        <v>0</v>
      </c>
      <c r="BM47" s="3">
        <v>40.1</v>
      </c>
      <c r="BN47" s="3">
        <v>55.456000000000003</v>
      </c>
      <c r="BO47" s="3">
        <v>54.018000000000001</v>
      </c>
      <c r="BP47" s="3">
        <v>28.992999999999999</v>
      </c>
      <c r="BQ47" s="3">
        <v>9.4830000000000005</v>
      </c>
      <c r="BR47" s="3">
        <v>56.658000000000001</v>
      </c>
      <c r="BS47" s="3">
        <v>52.13</v>
      </c>
      <c r="BT47" s="3">
        <v>81.637</v>
      </c>
      <c r="BU47" s="3">
        <v>79.278000000000006</v>
      </c>
      <c r="BV47" s="3">
        <v>0.14099999999999999</v>
      </c>
      <c r="BW47" s="3">
        <v>0</v>
      </c>
      <c r="BX47" s="3">
        <v>0.63900000000000001</v>
      </c>
      <c r="BY47" s="3">
        <v>1.0409999999999999</v>
      </c>
      <c r="BZ47" s="3">
        <v>1.127</v>
      </c>
      <c r="CA47" s="3">
        <v>1.0680000000000001</v>
      </c>
      <c r="CB47" s="3">
        <v>3.0000000000000001E-3</v>
      </c>
      <c r="CC47" s="3">
        <v>5.0000000000000001E-3</v>
      </c>
      <c r="CD47" s="3">
        <v>3.0000000000000001E-3</v>
      </c>
      <c r="CE47" s="3">
        <v>2E-3</v>
      </c>
      <c r="CF47" s="3">
        <v>2.7E-2</v>
      </c>
      <c r="CG47" s="3">
        <v>1.0999999999999999E-2</v>
      </c>
      <c r="CH47" s="3">
        <v>0.90500000000000003</v>
      </c>
      <c r="CI47" s="3">
        <v>0</v>
      </c>
      <c r="CJ47" s="3">
        <v>1.8149999999999999</v>
      </c>
      <c r="CK47" s="3">
        <v>2.0009999999999999</v>
      </c>
      <c r="CL47" s="3">
        <v>0</v>
      </c>
      <c r="CM47" s="3">
        <v>1E-3</v>
      </c>
      <c r="CN47" s="3">
        <v>6.0000000000000001E-3</v>
      </c>
      <c r="CO47" s="3">
        <v>2.7E-2</v>
      </c>
      <c r="CP47" s="3">
        <v>3.5550000000000002</v>
      </c>
      <c r="CQ47" s="3">
        <v>0.04</v>
      </c>
      <c r="CR47" s="3">
        <v>5.2169999999999996</v>
      </c>
      <c r="CS47" s="3">
        <v>3.94</v>
      </c>
      <c r="CT47" s="3">
        <v>0</v>
      </c>
      <c r="CU47" s="3">
        <v>0</v>
      </c>
      <c r="CV47" s="3">
        <v>0</v>
      </c>
      <c r="CW47" s="3">
        <v>0.111</v>
      </c>
      <c r="CX47" s="3">
        <v>0</v>
      </c>
      <c r="CY47" s="3">
        <v>1.4E-2</v>
      </c>
      <c r="CZ47" s="3">
        <v>3.0000000000000001E-3</v>
      </c>
      <c r="DA47" s="3">
        <v>0.01</v>
      </c>
      <c r="DB47" s="3">
        <v>6.0469999999999997</v>
      </c>
      <c r="DC47" s="3">
        <v>6.8959999999999999</v>
      </c>
      <c r="DD47" s="3">
        <v>8.2729999999999997</v>
      </c>
      <c r="DE47" s="3">
        <v>9.2810000000000006</v>
      </c>
      <c r="DF47" s="3">
        <v>7.8E-2</v>
      </c>
      <c r="DG47" s="3">
        <v>3.1560000000000001</v>
      </c>
      <c r="DH47" s="3">
        <v>0</v>
      </c>
      <c r="DI47" s="3">
        <v>9.2639999999999993</v>
      </c>
      <c r="DJ47" s="3">
        <v>0</v>
      </c>
      <c r="DK47" s="3">
        <v>9.9039999999999999</v>
      </c>
      <c r="DL47" s="3">
        <v>0</v>
      </c>
      <c r="DM47" s="3">
        <v>1.6E-2</v>
      </c>
      <c r="DN47" s="3">
        <v>3.1E-2</v>
      </c>
      <c r="DO47" s="3">
        <v>0</v>
      </c>
      <c r="DP47" s="3">
        <v>0.65600000000000003</v>
      </c>
      <c r="DQ47" s="3">
        <v>0.14099999999999999</v>
      </c>
      <c r="DR47" s="3">
        <v>0</v>
      </c>
      <c r="DS47" s="3">
        <v>0</v>
      </c>
      <c r="DT47" s="3">
        <v>22.603999999999999</v>
      </c>
      <c r="DU47" s="3">
        <v>15.48</v>
      </c>
      <c r="DV47" s="3">
        <v>0</v>
      </c>
      <c r="DW47" s="3">
        <v>0</v>
      </c>
      <c r="DX47" s="3">
        <v>3.1E-2</v>
      </c>
      <c r="DY47" s="3">
        <v>1.4999999999999999E-2</v>
      </c>
      <c r="DZ47" s="3">
        <v>35.366999999999997</v>
      </c>
      <c r="EA47" s="3">
        <v>52.143999999999998</v>
      </c>
      <c r="EB47" s="3">
        <v>63.298000000000002</v>
      </c>
      <c r="EC47" s="3">
        <v>68.504000000000005</v>
      </c>
      <c r="ED47" s="3">
        <v>13.733000000000001</v>
      </c>
      <c r="EE47" s="3">
        <v>7.8E-2</v>
      </c>
      <c r="EF47" s="3">
        <v>45.18</v>
      </c>
      <c r="EG47" s="3">
        <v>33.914000000000001</v>
      </c>
      <c r="EH47" s="3">
        <v>52.597000000000001</v>
      </c>
      <c r="EI47" s="3">
        <v>53.488999999999997</v>
      </c>
      <c r="EJ47" s="3">
        <v>23.494</v>
      </c>
      <c r="EK47" s="3">
        <v>29.524000000000001</v>
      </c>
      <c r="EL47" s="3">
        <v>48.238</v>
      </c>
      <c r="EM47" s="3">
        <v>53.643999999999998</v>
      </c>
      <c r="EN47" s="3">
        <v>90.884</v>
      </c>
      <c r="EO47" s="3">
        <v>81.762</v>
      </c>
      <c r="EP47" s="3">
        <v>0.217</v>
      </c>
      <c r="EQ47" s="3">
        <v>1.4999999999999999E-2</v>
      </c>
      <c r="ER47" s="3">
        <v>0.66900000000000004</v>
      </c>
      <c r="ES47" s="3">
        <v>0.13200000000000001</v>
      </c>
      <c r="ET47" s="3">
        <v>1.1379999999999999</v>
      </c>
      <c r="EU47" s="3">
        <v>1.262</v>
      </c>
      <c r="EV47" s="3">
        <v>1E-3</v>
      </c>
      <c r="EW47" s="3">
        <v>2E-3</v>
      </c>
      <c r="EX47" s="3">
        <v>1E-3</v>
      </c>
      <c r="EY47" s="3">
        <v>3.0000000000000001E-3</v>
      </c>
      <c r="EZ47" s="3">
        <v>1.4E-2</v>
      </c>
      <c r="FA47" s="3">
        <v>1.4E-2</v>
      </c>
      <c r="FB47" s="3">
        <v>2.3E-2</v>
      </c>
      <c r="FC47" s="3">
        <v>0.97699999999999998</v>
      </c>
      <c r="FD47" s="3">
        <v>2.2360000000000002</v>
      </c>
      <c r="FE47" s="3">
        <v>0</v>
      </c>
      <c r="FF47" s="3">
        <v>3.1469999999999998</v>
      </c>
      <c r="FG47" s="3">
        <v>3.859</v>
      </c>
      <c r="FH47" s="3">
        <v>4.0000000000000001E-3</v>
      </c>
      <c r="FI47" s="3">
        <v>0.01</v>
      </c>
      <c r="FJ47" s="3">
        <v>4.2999999999999997E-2</v>
      </c>
      <c r="FK47" s="3">
        <v>0.12</v>
      </c>
      <c r="FL47" s="3">
        <v>5.992</v>
      </c>
      <c r="FM47" s="3">
        <v>4.1639999999999997</v>
      </c>
      <c r="FN47" s="3">
        <v>0</v>
      </c>
      <c r="FO47" s="3">
        <v>1.9379999999999999</v>
      </c>
      <c r="FP47" s="3">
        <v>1E-3</v>
      </c>
      <c r="FQ47" s="3">
        <v>4.6230000000000002</v>
      </c>
      <c r="FR47" s="3">
        <v>6.3860000000000001</v>
      </c>
      <c r="FS47" s="3">
        <v>0.623</v>
      </c>
      <c r="FT47" s="3">
        <v>1.5740000000000001</v>
      </c>
      <c r="FU47" s="3">
        <v>2.1030000000000002</v>
      </c>
      <c r="FV47" s="3">
        <v>5.109</v>
      </c>
      <c r="FW47" s="3">
        <v>4.6379999999999999</v>
      </c>
      <c r="FX47" s="3">
        <v>8.7370000000000001</v>
      </c>
      <c r="FY47" s="3">
        <v>8.2379999999999995</v>
      </c>
      <c r="FZ47" s="3">
        <v>2.0150000000000001</v>
      </c>
      <c r="GA47" s="3">
        <v>0</v>
      </c>
      <c r="GB47" s="3">
        <v>7.3890000000000002</v>
      </c>
      <c r="GC47" s="3">
        <v>8.4039999999999999</v>
      </c>
      <c r="GD47" s="3">
        <v>0</v>
      </c>
      <c r="GE47" s="3">
        <v>1.266</v>
      </c>
      <c r="GF47" s="3">
        <v>0</v>
      </c>
      <c r="GG47" s="3">
        <v>1.4999999999999999E-2</v>
      </c>
      <c r="GH47" s="3">
        <v>1.6E-2</v>
      </c>
      <c r="GI47" s="3">
        <v>1.4999999999999999E-2</v>
      </c>
      <c r="GJ47" s="3">
        <v>0.109</v>
      </c>
      <c r="GK47" s="3">
        <v>0.23400000000000001</v>
      </c>
      <c r="GL47" s="3">
        <v>6.8890000000000002</v>
      </c>
      <c r="GM47" s="3">
        <v>8.1229999999999993</v>
      </c>
      <c r="GN47" s="3">
        <v>23.823</v>
      </c>
      <c r="GO47" s="3">
        <v>21.167000000000002</v>
      </c>
      <c r="GP47" s="3">
        <v>0</v>
      </c>
      <c r="GQ47" s="3">
        <v>1.4999999999999999E-2</v>
      </c>
      <c r="GR47" s="3">
        <v>1.6E-2</v>
      </c>
      <c r="GS47" s="3">
        <v>0.20300000000000001</v>
      </c>
      <c r="GT47" s="3">
        <v>42.084000000000003</v>
      </c>
      <c r="GU47" s="3">
        <v>2.6859999999999999</v>
      </c>
      <c r="GV47" s="3">
        <v>53.283999999999999</v>
      </c>
      <c r="GW47" s="3">
        <v>53.768000000000001</v>
      </c>
      <c r="GX47" s="3">
        <v>12.715999999999999</v>
      </c>
      <c r="GY47" s="3">
        <v>0</v>
      </c>
      <c r="GZ47" s="3">
        <v>0</v>
      </c>
      <c r="HA47" s="3">
        <v>35.195</v>
      </c>
      <c r="HB47" s="3">
        <v>52.112000000000002</v>
      </c>
      <c r="HC47" s="3">
        <v>1.4999999999999999E-2</v>
      </c>
      <c r="HD47" s="3">
        <v>20.338999999999999</v>
      </c>
      <c r="HE47" s="3">
        <v>26.446999999999999</v>
      </c>
      <c r="HF47" s="3">
        <v>48.238</v>
      </c>
      <c r="HG47" s="3">
        <v>53.768999999999998</v>
      </c>
      <c r="HH47" s="3">
        <v>74.28</v>
      </c>
      <c r="HI47" s="3">
        <v>79.481999999999999</v>
      </c>
      <c r="HJ47" s="3">
        <v>3.3000000000000002E-2</v>
      </c>
      <c r="HK47" s="3">
        <v>0.126</v>
      </c>
      <c r="HL47" s="3">
        <v>0.90900000000000003</v>
      </c>
      <c r="HM47" s="3">
        <v>1.016</v>
      </c>
      <c r="HN47" s="3">
        <v>0.97199999999999998</v>
      </c>
      <c r="HO47" s="3">
        <v>1E-3</v>
      </c>
      <c r="HP47" s="3">
        <v>1E-3</v>
      </c>
      <c r="HQ47" s="3">
        <v>3.0000000000000001E-3</v>
      </c>
      <c r="HR47" s="3">
        <v>1E-3</v>
      </c>
      <c r="HS47" s="3">
        <v>8.0000000000000002E-3</v>
      </c>
      <c r="HT47" s="3">
        <v>0.01</v>
      </c>
      <c r="HU47" s="3">
        <v>5.0000000000000001E-3</v>
      </c>
      <c r="HV47" s="3">
        <v>0</v>
      </c>
      <c r="HW47" s="3">
        <v>1.016</v>
      </c>
      <c r="HX47" s="3">
        <v>2</v>
      </c>
      <c r="HY47" s="3">
        <v>0</v>
      </c>
      <c r="HZ47" s="3">
        <v>2.6970000000000001</v>
      </c>
      <c r="IA47" s="3">
        <v>0</v>
      </c>
      <c r="IB47" s="3">
        <v>3.0000000000000001E-3</v>
      </c>
      <c r="IC47" s="3">
        <v>1E-3</v>
      </c>
      <c r="ID47" s="3">
        <v>8.2000000000000003E-2</v>
      </c>
      <c r="IE47" s="3">
        <v>3.2370000000000001</v>
      </c>
      <c r="IF47" s="3">
        <v>4.806</v>
      </c>
      <c r="IG47" s="3">
        <v>5.6260000000000003</v>
      </c>
      <c r="IH47" s="3">
        <v>8.9999999999999993E-3</v>
      </c>
      <c r="II47" s="3">
        <v>3.7509999999999999</v>
      </c>
      <c r="IJ47" s="3">
        <v>4.7709999999999999</v>
      </c>
      <c r="IK47" s="3">
        <v>4.266</v>
      </c>
      <c r="IL47" s="3">
        <v>0</v>
      </c>
      <c r="IM47" s="3">
        <v>1E-3</v>
      </c>
      <c r="IN47" s="3">
        <v>1.0999999999999999E-2</v>
      </c>
      <c r="IO47" s="3">
        <v>1.9E-2</v>
      </c>
      <c r="IP47" s="3">
        <v>6.4089999999999998</v>
      </c>
      <c r="IQ47" s="3">
        <v>5.1680000000000001</v>
      </c>
      <c r="IR47" s="3">
        <v>6.8630000000000004</v>
      </c>
      <c r="IS47" s="3">
        <v>9.984</v>
      </c>
      <c r="IT47" s="3">
        <v>6.3E-2</v>
      </c>
      <c r="IU47" s="3">
        <v>2.0470000000000002</v>
      </c>
      <c r="IV47" s="3">
        <v>7.5140000000000002</v>
      </c>
      <c r="IW47" s="3">
        <v>2.8119999999999998</v>
      </c>
      <c r="IX47" s="3">
        <v>7.6079999999999997</v>
      </c>
      <c r="IY47" s="3">
        <v>1.6E-2</v>
      </c>
      <c r="IZ47" s="3">
        <v>0</v>
      </c>
      <c r="JA47" s="3">
        <v>0</v>
      </c>
      <c r="JB47" s="3">
        <v>1.6E-2</v>
      </c>
      <c r="JC47" s="3">
        <v>1.6E-2</v>
      </c>
      <c r="JD47" s="3">
        <v>10.326000000000001</v>
      </c>
      <c r="JE47" s="3">
        <v>4.7E-2</v>
      </c>
      <c r="JF47" s="3">
        <v>8.5289999999999999</v>
      </c>
      <c r="JG47" s="3">
        <v>0</v>
      </c>
      <c r="JH47" s="3">
        <v>1.4999999999999999E-2</v>
      </c>
      <c r="JI47" s="3">
        <v>0</v>
      </c>
      <c r="JJ47" s="3">
        <v>0</v>
      </c>
      <c r="JK47" s="3">
        <v>26.306999999999999</v>
      </c>
      <c r="JL47" s="3">
        <v>1.4999999999999999E-2</v>
      </c>
      <c r="JM47" s="3">
        <v>0</v>
      </c>
      <c r="JN47" s="3">
        <v>41.302999999999997</v>
      </c>
      <c r="JO47" s="3">
        <v>42.552</v>
      </c>
      <c r="JP47" s="3">
        <v>45.957999999999998</v>
      </c>
      <c r="JQ47" s="3">
        <v>46.145000000000003</v>
      </c>
      <c r="JR47" s="3">
        <v>0</v>
      </c>
      <c r="JS47" s="3">
        <v>19.931999999999999</v>
      </c>
      <c r="JT47" s="3">
        <v>31.04</v>
      </c>
      <c r="JU47" s="3">
        <v>0</v>
      </c>
      <c r="JV47" s="3">
        <v>51.441000000000003</v>
      </c>
      <c r="JW47" s="3">
        <v>52.082000000000001</v>
      </c>
      <c r="JX47" s="3">
        <v>32.085999999999999</v>
      </c>
      <c r="JY47" s="3">
        <v>23.51</v>
      </c>
      <c r="JZ47" s="3">
        <v>54.097000000000001</v>
      </c>
      <c r="KA47" s="3">
        <v>57.033999999999999</v>
      </c>
      <c r="KB47" s="3">
        <v>77.623000000000005</v>
      </c>
      <c r="KC47" s="3">
        <v>78.293999999999997</v>
      </c>
      <c r="KD47" s="3">
        <v>1E-3</v>
      </c>
      <c r="KE47" s="3">
        <v>0.54</v>
      </c>
      <c r="KF47" s="3">
        <v>0.01</v>
      </c>
      <c r="KG47" s="3">
        <v>0.755</v>
      </c>
      <c r="KH47" s="3">
        <v>1.3959999999999999</v>
      </c>
      <c r="KI47" s="3">
        <v>1.6679999999999999</v>
      </c>
      <c r="KJ47" s="3">
        <v>2E-3</v>
      </c>
      <c r="KK47" s="3">
        <v>0</v>
      </c>
      <c r="KL47" s="3">
        <v>2E-3</v>
      </c>
      <c r="KM47" s="3">
        <v>6.0000000000000001E-3</v>
      </c>
      <c r="KN47" s="3">
        <v>1.2999999999999999E-2</v>
      </c>
      <c r="KO47" s="3">
        <v>8.9999999999999993E-3</v>
      </c>
      <c r="KP47" s="3">
        <v>0</v>
      </c>
      <c r="KQ47" s="3">
        <v>1.2709999999999999</v>
      </c>
      <c r="KR47" s="3">
        <v>1.5720000000000001</v>
      </c>
      <c r="KS47" s="3">
        <v>3.2130000000000001</v>
      </c>
      <c r="KT47" s="3">
        <v>0</v>
      </c>
      <c r="KU47" s="3">
        <v>1E-3</v>
      </c>
      <c r="KV47" s="3">
        <v>3.0000000000000001E-3</v>
      </c>
      <c r="KW47" s="3">
        <v>2E-3</v>
      </c>
      <c r="KX47" s="3">
        <v>2.8000000000000001E-2</v>
      </c>
      <c r="KY47" s="3">
        <v>2.7E-2</v>
      </c>
      <c r="KZ47" s="3">
        <v>5.3419999999999996</v>
      </c>
      <c r="LA47" s="3">
        <v>5.6959999999999997</v>
      </c>
      <c r="LB47" s="3">
        <v>1.774</v>
      </c>
      <c r="LC47" s="3">
        <v>0</v>
      </c>
      <c r="LD47" s="3">
        <v>3.6960000000000002</v>
      </c>
      <c r="LE47" s="3">
        <v>3.9940000000000002</v>
      </c>
      <c r="LF47" s="3">
        <v>0</v>
      </c>
      <c r="LG47" s="3">
        <v>2E-3</v>
      </c>
      <c r="LH47" s="3">
        <v>2E-3</v>
      </c>
      <c r="LI47" s="3">
        <v>1.992</v>
      </c>
      <c r="LJ47" s="3">
        <v>5.1710000000000003</v>
      </c>
      <c r="LK47" s="3">
        <v>5.9809999999999999</v>
      </c>
      <c r="LL47" s="3">
        <v>7.3940000000000001</v>
      </c>
      <c r="LM47" s="3">
        <v>9.2509999999999994</v>
      </c>
      <c r="LN47" s="3">
        <v>3.1E-2</v>
      </c>
      <c r="LO47" s="3">
        <v>1.6E-2</v>
      </c>
      <c r="LP47" s="3">
        <v>7.1849999999999996</v>
      </c>
      <c r="LQ47" s="3">
        <v>7.0140000000000002</v>
      </c>
      <c r="LR47" s="3">
        <v>8.6069999999999993</v>
      </c>
      <c r="LS47" s="3">
        <v>10.481999999999999</v>
      </c>
      <c r="LT47" s="3">
        <v>4.7E-2</v>
      </c>
      <c r="LU47" s="3">
        <v>0</v>
      </c>
      <c r="LV47" s="3">
        <v>0</v>
      </c>
      <c r="LW47" s="3">
        <v>3.1E-2</v>
      </c>
      <c r="LX47" s="3">
        <v>10.779</v>
      </c>
      <c r="LY47" s="3">
        <v>4.7640000000000002</v>
      </c>
      <c r="LZ47" s="3">
        <v>8.3409999999999993</v>
      </c>
      <c r="MA47" s="3">
        <v>0</v>
      </c>
      <c r="MB47" s="3">
        <v>17.199000000000002</v>
      </c>
      <c r="MC47" s="3">
        <v>0</v>
      </c>
      <c r="MD47" s="3">
        <v>29.12</v>
      </c>
      <c r="ME47" s="3">
        <v>0</v>
      </c>
      <c r="MF47" s="3">
        <v>1.6E-2</v>
      </c>
      <c r="MG47" s="3">
        <v>6.3E-2</v>
      </c>
      <c r="MH47" s="3">
        <v>34.256999999999998</v>
      </c>
      <c r="MI47" s="3">
        <v>0.14099999999999999</v>
      </c>
      <c r="MJ47" s="3">
        <v>57.627000000000002</v>
      </c>
      <c r="MK47" s="3">
        <v>60.439</v>
      </c>
      <c r="ML47" s="3">
        <v>17.995999999999999</v>
      </c>
      <c r="MM47" s="3">
        <v>0</v>
      </c>
      <c r="MN47" s="3">
        <v>33.273000000000003</v>
      </c>
      <c r="MO47" s="3">
        <v>41.381</v>
      </c>
      <c r="MP47" s="3">
        <v>1.6E-2</v>
      </c>
      <c r="MQ47" s="3">
        <v>0</v>
      </c>
      <c r="MR47" s="3">
        <v>19.449000000000002</v>
      </c>
      <c r="MS47" s="3">
        <v>0.82799999999999996</v>
      </c>
      <c r="MT47" s="3">
        <v>50.667999999999999</v>
      </c>
      <c r="MU47" s="3">
        <v>50.582000000000001</v>
      </c>
      <c r="MV47" s="3">
        <v>91.915999999999997</v>
      </c>
      <c r="MW47" s="3">
        <v>92.947000000000003</v>
      </c>
    </row>
    <row r="48" spans="1:361" x14ac:dyDescent="0.3">
      <c r="A48" s="3">
        <v>6</v>
      </c>
      <c r="B48" s="3">
        <v>0.41799999999999998</v>
      </c>
      <c r="C48" s="3">
        <v>0</v>
      </c>
      <c r="D48" s="3">
        <v>0.78700000000000003</v>
      </c>
      <c r="E48" s="3">
        <v>1.087</v>
      </c>
      <c r="F48" s="3">
        <v>1E-3</v>
      </c>
      <c r="G48" s="3">
        <v>0.71099999999999997</v>
      </c>
      <c r="H48" s="3">
        <v>2E-3</v>
      </c>
      <c r="I48" s="3">
        <v>2E-3</v>
      </c>
      <c r="J48" s="3">
        <v>7.0000000000000001E-3</v>
      </c>
      <c r="K48" s="3">
        <v>8.9999999999999993E-3</v>
      </c>
      <c r="L48" s="3">
        <v>8.0000000000000002E-3</v>
      </c>
      <c r="M48" s="3">
        <v>2.1000000000000001E-2</v>
      </c>
      <c r="N48" s="3">
        <v>0.68600000000000005</v>
      </c>
      <c r="O48" s="3">
        <v>0.85599999999999998</v>
      </c>
      <c r="P48" s="3">
        <v>1.9159999999999999</v>
      </c>
      <c r="Q48" s="3">
        <v>0</v>
      </c>
      <c r="R48" s="3">
        <v>3.31</v>
      </c>
      <c r="S48" s="3">
        <v>2.8759999999999999</v>
      </c>
      <c r="T48" s="3">
        <v>1E-3</v>
      </c>
      <c r="U48" s="3">
        <v>3.0000000000000001E-3</v>
      </c>
      <c r="V48" s="3">
        <v>0.92700000000000005</v>
      </c>
      <c r="W48" s="3">
        <v>2.6909999999999998</v>
      </c>
      <c r="X48" s="3">
        <v>3.8620000000000001</v>
      </c>
      <c r="Y48" s="3">
        <v>4.3179999999999996</v>
      </c>
      <c r="Z48" s="3">
        <v>1.742</v>
      </c>
      <c r="AA48" s="3">
        <v>2.7949999999999999</v>
      </c>
      <c r="AB48" s="3">
        <v>4.3620000000000001</v>
      </c>
      <c r="AC48" s="3">
        <v>3.8580000000000001</v>
      </c>
      <c r="AD48" s="3">
        <v>4.4359999999999999</v>
      </c>
      <c r="AE48" s="3">
        <v>1E-3</v>
      </c>
      <c r="AF48" s="3">
        <v>2.0939999999999999</v>
      </c>
      <c r="AG48" s="3">
        <v>2.2530000000000001</v>
      </c>
      <c r="AH48" s="3">
        <v>4.968</v>
      </c>
      <c r="AI48" s="3">
        <v>5.157</v>
      </c>
      <c r="AJ48" s="3">
        <v>5.7080000000000002</v>
      </c>
      <c r="AK48" s="3">
        <v>8.9149999999999991</v>
      </c>
      <c r="AL48" s="3">
        <v>1.4999999999999999E-2</v>
      </c>
      <c r="AM48" s="3">
        <v>0</v>
      </c>
      <c r="AN48" s="3">
        <v>7.53</v>
      </c>
      <c r="AO48" s="3">
        <v>0.187</v>
      </c>
      <c r="AP48" s="3">
        <v>8.2159999999999993</v>
      </c>
      <c r="AQ48" s="3">
        <v>0</v>
      </c>
      <c r="AR48" s="3">
        <v>0</v>
      </c>
      <c r="AS48" s="3">
        <v>0</v>
      </c>
      <c r="AT48" s="3">
        <v>1.6E-2</v>
      </c>
      <c r="AU48" s="3">
        <v>1.6E-2</v>
      </c>
      <c r="AV48" s="3">
        <v>0.23400000000000001</v>
      </c>
      <c r="AW48" s="3">
        <v>0.67100000000000004</v>
      </c>
      <c r="AX48" s="3">
        <v>0</v>
      </c>
      <c r="AY48" s="3">
        <v>8.2949999999999999</v>
      </c>
      <c r="AZ48" s="3">
        <v>21.510999999999999</v>
      </c>
      <c r="BA48" s="3">
        <v>2.5470000000000002</v>
      </c>
      <c r="BB48" s="3">
        <v>26.306000000000001</v>
      </c>
      <c r="BC48" s="3">
        <v>30.992999999999999</v>
      </c>
      <c r="BD48" s="3">
        <v>0</v>
      </c>
      <c r="BE48" s="3">
        <v>3.1E-2</v>
      </c>
      <c r="BF48" s="3">
        <v>2.625</v>
      </c>
      <c r="BG48" s="3">
        <v>17</v>
      </c>
      <c r="BH48" s="3">
        <v>48.02</v>
      </c>
      <c r="BI48" s="3">
        <v>71.701999999999998</v>
      </c>
      <c r="BJ48" s="3">
        <v>12.231</v>
      </c>
      <c r="BK48" s="3">
        <v>20.760999999999999</v>
      </c>
      <c r="BL48" s="3">
        <v>0</v>
      </c>
      <c r="BM48" s="3">
        <v>43.865000000000002</v>
      </c>
      <c r="BN48" s="3">
        <v>54.784999999999997</v>
      </c>
      <c r="BO48" s="3">
        <v>59.533000000000001</v>
      </c>
      <c r="BP48" s="3">
        <v>28.384</v>
      </c>
      <c r="BQ48" s="3">
        <v>3.1389999999999998</v>
      </c>
      <c r="BR48" s="3">
        <v>54.487000000000002</v>
      </c>
      <c r="BS48" s="3">
        <v>53.726999999999997</v>
      </c>
      <c r="BT48" s="3">
        <v>83.215000000000003</v>
      </c>
      <c r="BU48" s="3">
        <v>77.418999999999997</v>
      </c>
      <c r="BV48" s="3">
        <v>0.13200000000000001</v>
      </c>
      <c r="BW48" s="3">
        <v>0</v>
      </c>
      <c r="BX48" s="3">
        <v>0.748</v>
      </c>
      <c r="BY48" s="3">
        <v>1.115</v>
      </c>
      <c r="BZ48" s="3">
        <v>0.53500000000000003</v>
      </c>
      <c r="CA48" s="3">
        <v>1.069</v>
      </c>
      <c r="CB48" s="3">
        <v>3.0000000000000001E-3</v>
      </c>
      <c r="CC48" s="3">
        <v>1E-3</v>
      </c>
      <c r="CD48" s="3">
        <v>2E-3</v>
      </c>
      <c r="CE48" s="3">
        <v>1E-3</v>
      </c>
      <c r="CF48" s="3">
        <v>0.13600000000000001</v>
      </c>
      <c r="CG48" s="3">
        <v>3.0000000000000001E-3</v>
      </c>
      <c r="CH48" s="3">
        <v>1.0329999999999999</v>
      </c>
      <c r="CI48" s="3">
        <v>3.0000000000000001E-3</v>
      </c>
      <c r="CJ48" s="3">
        <v>2.0179999999999998</v>
      </c>
      <c r="CK48" s="3">
        <v>2.2010000000000001</v>
      </c>
      <c r="CL48" s="3">
        <v>0</v>
      </c>
      <c r="CM48" s="3">
        <v>0</v>
      </c>
      <c r="CN48" s="3">
        <v>2E-3</v>
      </c>
      <c r="CO48" s="3">
        <v>2.4E-2</v>
      </c>
      <c r="CP48" s="3">
        <v>3.0059999999999998</v>
      </c>
      <c r="CQ48" s="3">
        <v>1.7999999999999999E-2</v>
      </c>
      <c r="CR48" s="3">
        <v>5.774</v>
      </c>
      <c r="CS48" s="3">
        <v>3.988</v>
      </c>
      <c r="CT48" s="3">
        <v>0</v>
      </c>
      <c r="CU48" s="3">
        <v>0</v>
      </c>
      <c r="CV48" s="3">
        <v>0</v>
      </c>
      <c r="CW48" s="3">
        <v>1.0999999999999999E-2</v>
      </c>
      <c r="CX48" s="3">
        <v>1E-3</v>
      </c>
      <c r="CY48" s="3">
        <v>2E-3</v>
      </c>
      <c r="CZ48" s="3">
        <v>2E-3</v>
      </c>
      <c r="DA48" s="3">
        <v>0.01</v>
      </c>
      <c r="DB48" s="3">
        <v>6.3769999999999998</v>
      </c>
      <c r="DC48" s="3">
        <v>7.2480000000000002</v>
      </c>
      <c r="DD48" s="3">
        <v>8.1999999999999993</v>
      </c>
      <c r="DE48" s="3">
        <v>8.6300000000000008</v>
      </c>
      <c r="DF48" s="3">
        <v>0.187</v>
      </c>
      <c r="DG48" s="3">
        <v>3.1869999999999998</v>
      </c>
      <c r="DH48" s="3">
        <v>0</v>
      </c>
      <c r="DI48" s="3">
        <v>9.17</v>
      </c>
      <c r="DJ48" s="3">
        <v>0</v>
      </c>
      <c r="DK48" s="3">
        <v>9.2940000000000005</v>
      </c>
      <c r="DL48" s="3">
        <v>1.6E-2</v>
      </c>
      <c r="DM48" s="3">
        <v>0</v>
      </c>
      <c r="DN48" s="3">
        <v>1.6E-2</v>
      </c>
      <c r="DO48" s="3">
        <v>3.1E-2</v>
      </c>
      <c r="DP48" s="3">
        <v>0.59399999999999997</v>
      </c>
      <c r="DQ48" s="3">
        <v>4.7E-2</v>
      </c>
      <c r="DR48" s="3">
        <v>0</v>
      </c>
      <c r="DS48" s="3">
        <v>0</v>
      </c>
      <c r="DT48" s="3">
        <v>20.37</v>
      </c>
      <c r="DU48" s="3">
        <v>15.965999999999999</v>
      </c>
      <c r="DV48" s="3">
        <v>0</v>
      </c>
      <c r="DW48" s="3">
        <v>0</v>
      </c>
      <c r="DX48" s="3">
        <v>0</v>
      </c>
      <c r="DY48" s="3">
        <v>1.6E-2</v>
      </c>
      <c r="DZ48" s="3">
        <v>34.164000000000001</v>
      </c>
      <c r="EA48" s="3">
        <v>55.720999999999997</v>
      </c>
      <c r="EB48" s="3">
        <v>63.031999999999996</v>
      </c>
      <c r="EC48" s="3">
        <v>69.451999999999998</v>
      </c>
      <c r="ED48" s="3">
        <v>14.262</v>
      </c>
      <c r="EE48" s="3">
        <v>0</v>
      </c>
      <c r="EF48" s="3">
        <v>41.115000000000002</v>
      </c>
      <c r="EG48" s="3">
        <v>33.664000000000001</v>
      </c>
      <c r="EH48" s="3">
        <v>55.097000000000001</v>
      </c>
      <c r="EI48" s="3">
        <v>53.55</v>
      </c>
      <c r="EJ48" s="3">
        <v>21.527000000000001</v>
      </c>
      <c r="EK48" s="3">
        <v>29.93</v>
      </c>
      <c r="EL48" s="3">
        <v>48.378999999999998</v>
      </c>
      <c r="EM48" s="3">
        <v>58.33</v>
      </c>
      <c r="EN48" s="3">
        <v>87.933000000000007</v>
      </c>
      <c r="EO48" s="3">
        <v>73.03</v>
      </c>
      <c r="EP48" s="3">
        <v>0.16500000000000001</v>
      </c>
      <c r="EQ48" s="3">
        <v>1.2E-2</v>
      </c>
      <c r="ER48" s="3">
        <v>0.61299999999999999</v>
      </c>
      <c r="ES48" s="3">
        <v>7.0000000000000001E-3</v>
      </c>
      <c r="ET48" s="3">
        <v>1.125</v>
      </c>
      <c r="EU48" s="3">
        <v>1.3340000000000001</v>
      </c>
      <c r="EV48" s="3">
        <v>0</v>
      </c>
      <c r="EW48" s="3">
        <v>1E-3</v>
      </c>
      <c r="EX48" s="3">
        <v>1E-3</v>
      </c>
      <c r="EY48" s="3">
        <v>3.0000000000000001E-3</v>
      </c>
      <c r="EZ48" s="3">
        <v>7.3999999999999996E-2</v>
      </c>
      <c r="FA48" s="3">
        <v>4.0000000000000001E-3</v>
      </c>
      <c r="FB48" s="3">
        <v>7.0000000000000001E-3</v>
      </c>
      <c r="FC48" s="3">
        <v>1.1719999999999999</v>
      </c>
      <c r="FD48" s="3">
        <v>2.0590000000000002</v>
      </c>
      <c r="FE48" s="3">
        <v>0</v>
      </c>
      <c r="FF48" s="3">
        <v>3.1429999999999998</v>
      </c>
      <c r="FG48" s="3">
        <v>4.6420000000000003</v>
      </c>
      <c r="FH48" s="3">
        <v>1.2999999999999999E-2</v>
      </c>
      <c r="FI48" s="3">
        <v>2.3E-2</v>
      </c>
      <c r="FJ48" s="3">
        <v>0.191</v>
      </c>
      <c r="FK48" s="3">
        <v>0.26300000000000001</v>
      </c>
      <c r="FL48" s="3">
        <v>5.968</v>
      </c>
      <c r="FM48" s="3">
        <v>3.7320000000000002</v>
      </c>
      <c r="FN48" s="3">
        <v>0</v>
      </c>
      <c r="FO48" s="3">
        <v>1.6659999999999999</v>
      </c>
      <c r="FP48" s="3">
        <v>1E-3</v>
      </c>
      <c r="FQ48" s="3">
        <v>4.5679999999999996</v>
      </c>
      <c r="FR48" s="3">
        <v>7.1139999999999999</v>
      </c>
      <c r="FS48" s="3">
        <v>0.40100000000000002</v>
      </c>
      <c r="FT48" s="3">
        <v>1.59</v>
      </c>
      <c r="FU48" s="3">
        <v>2.1120000000000001</v>
      </c>
      <c r="FV48" s="3">
        <v>5.4240000000000004</v>
      </c>
      <c r="FW48" s="3">
        <v>4.2549999999999999</v>
      </c>
      <c r="FX48" s="3">
        <v>8.6880000000000006</v>
      </c>
      <c r="FY48" s="3">
        <v>8.4440000000000008</v>
      </c>
      <c r="FZ48" s="3">
        <v>2.1709999999999998</v>
      </c>
      <c r="GA48" s="3">
        <v>0.156</v>
      </c>
      <c r="GB48" s="3">
        <v>7.4359999999999999</v>
      </c>
      <c r="GC48" s="3">
        <v>8.5449999999999999</v>
      </c>
      <c r="GD48" s="3">
        <v>0</v>
      </c>
      <c r="GE48" s="3">
        <v>1.024</v>
      </c>
      <c r="GF48" s="3">
        <v>0</v>
      </c>
      <c r="GG48" s="3">
        <v>3.2000000000000001E-2</v>
      </c>
      <c r="GH48" s="3">
        <v>1.6E-2</v>
      </c>
      <c r="GI48" s="3">
        <v>1.6E-2</v>
      </c>
      <c r="GJ48" s="3">
        <v>1.9690000000000001</v>
      </c>
      <c r="GK48" s="3">
        <v>0.85899999999999999</v>
      </c>
      <c r="GL48" s="3">
        <v>7.4509999999999996</v>
      </c>
      <c r="GM48" s="3">
        <v>8.3889999999999993</v>
      </c>
      <c r="GN48" s="3">
        <v>23.416</v>
      </c>
      <c r="GO48" s="3">
        <v>23.198</v>
      </c>
      <c r="GP48" s="3">
        <v>0</v>
      </c>
      <c r="GQ48" s="3">
        <v>0</v>
      </c>
      <c r="GR48" s="3">
        <v>0</v>
      </c>
      <c r="GS48" s="3">
        <v>3.1E-2</v>
      </c>
      <c r="GT48" s="3">
        <v>45.036000000000001</v>
      </c>
      <c r="GU48" s="3">
        <v>8.8729999999999993</v>
      </c>
      <c r="GV48" s="3">
        <v>56.518000000000001</v>
      </c>
      <c r="GW48" s="3">
        <v>63.767000000000003</v>
      </c>
      <c r="GX48" s="3">
        <v>13.012</v>
      </c>
      <c r="GY48" s="3">
        <v>0</v>
      </c>
      <c r="GZ48" s="3">
        <v>1.6E-2</v>
      </c>
      <c r="HA48" s="3">
        <v>35.319000000000003</v>
      </c>
      <c r="HB48" s="3">
        <v>52.128999999999998</v>
      </c>
      <c r="HC48" s="3">
        <v>0</v>
      </c>
      <c r="HD48" s="3">
        <v>20.151</v>
      </c>
      <c r="HE48" s="3">
        <v>27.29</v>
      </c>
      <c r="HF48" s="3">
        <v>48.378999999999998</v>
      </c>
      <c r="HG48" s="3">
        <v>56.548999999999999</v>
      </c>
      <c r="HH48" s="3">
        <v>75.325999999999993</v>
      </c>
      <c r="HI48" s="3">
        <v>79.403000000000006</v>
      </c>
      <c r="HJ48" s="3">
        <v>2.7E-2</v>
      </c>
      <c r="HK48" s="3">
        <v>0.13900000000000001</v>
      </c>
      <c r="HL48" s="3">
        <v>0.85799999999999998</v>
      </c>
      <c r="HM48" s="3">
        <v>0.33900000000000002</v>
      </c>
      <c r="HN48" s="3">
        <v>0.99399999999999999</v>
      </c>
      <c r="HO48" s="3">
        <v>1.7999999999999999E-2</v>
      </c>
      <c r="HP48" s="3">
        <v>2E-3</v>
      </c>
      <c r="HQ48" s="3">
        <v>2E-3</v>
      </c>
      <c r="HR48" s="3">
        <v>0.01</v>
      </c>
      <c r="HS48" s="3">
        <v>8.0000000000000002E-3</v>
      </c>
      <c r="HT48" s="3">
        <v>5.0000000000000001E-3</v>
      </c>
      <c r="HU48" s="3">
        <v>4.0000000000000001E-3</v>
      </c>
      <c r="HV48" s="3">
        <v>0</v>
      </c>
      <c r="HW48" s="3">
        <v>1.208</v>
      </c>
      <c r="HX48" s="3">
        <v>1.7889999999999999</v>
      </c>
      <c r="HY48" s="3">
        <v>0</v>
      </c>
      <c r="HZ48" s="3">
        <v>2.7919999999999998</v>
      </c>
      <c r="IA48" s="3">
        <v>0</v>
      </c>
      <c r="IB48" s="3">
        <v>8.0000000000000002E-3</v>
      </c>
      <c r="IC48" s="3">
        <v>2E-3</v>
      </c>
      <c r="ID48" s="3">
        <v>0.16400000000000001</v>
      </c>
      <c r="IE48" s="3">
        <v>2.742</v>
      </c>
      <c r="IF48" s="3">
        <v>4.5599999999999996</v>
      </c>
      <c r="IG48" s="3">
        <v>4.569</v>
      </c>
      <c r="IH48" s="3">
        <v>1E-3</v>
      </c>
      <c r="II48" s="3">
        <v>3.278</v>
      </c>
      <c r="IJ48" s="3">
        <v>4.484</v>
      </c>
      <c r="IK48" s="3">
        <v>4.1840000000000002</v>
      </c>
      <c r="IL48" s="3">
        <v>1E-3</v>
      </c>
      <c r="IM48" s="3">
        <v>0</v>
      </c>
      <c r="IN48" s="3">
        <v>3.0000000000000001E-3</v>
      </c>
      <c r="IO48" s="3">
        <v>0.13200000000000001</v>
      </c>
      <c r="IP48" s="3">
        <v>6.7130000000000001</v>
      </c>
      <c r="IQ48" s="3">
        <v>5.4770000000000003</v>
      </c>
      <c r="IR48" s="3">
        <v>7.3650000000000002</v>
      </c>
      <c r="IS48" s="3">
        <v>8.8670000000000009</v>
      </c>
      <c r="IT48" s="3">
        <v>0</v>
      </c>
      <c r="IU48" s="3">
        <v>2.4049999999999998</v>
      </c>
      <c r="IV48" s="3">
        <v>7.0609999999999999</v>
      </c>
      <c r="IW48" s="3">
        <v>6.4669999999999996</v>
      </c>
      <c r="IX48" s="3">
        <v>8.0289999999999999</v>
      </c>
      <c r="IY48" s="3">
        <v>0</v>
      </c>
      <c r="IZ48" s="3">
        <v>0</v>
      </c>
      <c r="JA48" s="3">
        <v>1.6E-2</v>
      </c>
      <c r="JB48" s="3">
        <v>0</v>
      </c>
      <c r="JC48" s="3">
        <v>1.4999999999999999E-2</v>
      </c>
      <c r="JD48" s="3">
        <v>5.8739999999999997</v>
      </c>
      <c r="JE48" s="3">
        <v>3.1E-2</v>
      </c>
      <c r="JF48" s="3">
        <v>8.2170000000000005</v>
      </c>
      <c r="JG48" s="3">
        <v>0</v>
      </c>
      <c r="JH48" s="3">
        <v>0</v>
      </c>
      <c r="JI48" s="3">
        <v>0</v>
      </c>
      <c r="JJ48" s="3">
        <v>0</v>
      </c>
      <c r="JK48" s="3">
        <v>25.664999999999999</v>
      </c>
      <c r="JL48" s="3">
        <v>0.29699999999999999</v>
      </c>
      <c r="JM48" s="3">
        <v>1.4999999999999999E-2</v>
      </c>
      <c r="JN48" s="3">
        <v>35.835999999999999</v>
      </c>
      <c r="JO48" s="3">
        <v>38.648000000000003</v>
      </c>
      <c r="JP48" s="3">
        <v>54.033999999999999</v>
      </c>
      <c r="JQ48" s="3">
        <v>42.881</v>
      </c>
      <c r="JR48" s="3">
        <v>0</v>
      </c>
      <c r="JS48" s="3">
        <v>21.448</v>
      </c>
      <c r="JT48" s="3">
        <v>31.132999999999999</v>
      </c>
      <c r="JU48" s="3">
        <v>0</v>
      </c>
      <c r="JV48" s="3">
        <v>51.831000000000003</v>
      </c>
      <c r="JW48" s="3">
        <v>26.884</v>
      </c>
      <c r="JX48" s="3">
        <v>31.757999999999999</v>
      </c>
      <c r="JY48" s="3">
        <v>24.181999999999999</v>
      </c>
      <c r="JZ48" s="3">
        <v>48.941000000000003</v>
      </c>
      <c r="KA48" s="3">
        <v>52.564999999999998</v>
      </c>
      <c r="KB48" s="3">
        <v>77.372</v>
      </c>
      <c r="KC48" s="3">
        <v>70.233000000000004</v>
      </c>
      <c r="KD48" s="3">
        <v>2E-3</v>
      </c>
      <c r="KE48" s="3">
        <v>0.52500000000000002</v>
      </c>
      <c r="KF48" s="3">
        <v>3.2000000000000001E-2</v>
      </c>
      <c r="KG48" s="3">
        <v>0.83499999999999996</v>
      </c>
      <c r="KH48" s="3">
        <v>1.62</v>
      </c>
      <c r="KI48" s="3">
        <v>1.679</v>
      </c>
      <c r="KJ48" s="3">
        <v>0</v>
      </c>
      <c r="KK48" s="3">
        <v>1E-3</v>
      </c>
      <c r="KL48" s="3">
        <v>2E-3</v>
      </c>
      <c r="KM48" s="3">
        <v>1.0999999999999999E-2</v>
      </c>
      <c r="KN48" s="3">
        <v>8.0000000000000002E-3</v>
      </c>
      <c r="KO48" s="3">
        <v>6.0000000000000001E-3</v>
      </c>
      <c r="KP48" s="3">
        <v>0</v>
      </c>
      <c r="KQ48" s="3">
        <v>1.1950000000000001</v>
      </c>
      <c r="KR48" s="3">
        <v>1.538</v>
      </c>
      <c r="KS48" s="3">
        <v>3.32</v>
      </c>
      <c r="KT48" s="3">
        <v>0</v>
      </c>
      <c r="KU48" s="3">
        <v>2E-3</v>
      </c>
      <c r="KV48" s="3">
        <v>2E-3</v>
      </c>
      <c r="KW48" s="3">
        <v>2E-3</v>
      </c>
      <c r="KX48" s="3">
        <v>8.0000000000000002E-3</v>
      </c>
      <c r="KY48" s="3">
        <v>5.0999999999999997E-2</v>
      </c>
      <c r="KZ48" s="3">
        <v>5.343</v>
      </c>
      <c r="LA48" s="3">
        <v>5.4509999999999996</v>
      </c>
      <c r="LB48" s="3">
        <v>1.82</v>
      </c>
      <c r="LC48" s="3">
        <v>0</v>
      </c>
      <c r="LD48" s="3">
        <v>3.54</v>
      </c>
      <c r="LE48" s="3">
        <v>3.887</v>
      </c>
      <c r="LF48" s="3">
        <v>0</v>
      </c>
      <c r="LG48" s="3">
        <v>0</v>
      </c>
      <c r="LH48" s="3">
        <v>2E-3</v>
      </c>
      <c r="LI48" s="3">
        <v>1.972</v>
      </c>
      <c r="LJ48" s="3">
        <v>4.9800000000000004</v>
      </c>
      <c r="LK48" s="3">
        <v>5.5449999999999999</v>
      </c>
      <c r="LL48" s="3">
        <v>7.1859999999999999</v>
      </c>
      <c r="LM48" s="3">
        <v>8.5020000000000007</v>
      </c>
      <c r="LN48" s="3">
        <v>4.7E-2</v>
      </c>
      <c r="LO48" s="3">
        <v>0</v>
      </c>
      <c r="LP48" s="3">
        <v>8.17</v>
      </c>
      <c r="LQ48" s="3">
        <v>3.6709999999999998</v>
      </c>
      <c r="LR48" s="3">
        <v>8.9049999999999994</v>
      </c>
      <c r="LS48" s="3">
        <v>9.56</v>
      </c>
      <c r="LT48" s="3">
        <v>1.6E-2</v>
      </c>
      <c r="LU48" s="3">
        <v>1.6E-2</v>
      </c>
      <c r="LV48" s="3">
        <v>1.6E-2</v>
      </c>
      <c r="LW48" s="3">
        <v>1.6E-2</v>
      </c>
      <c r="LX48" s="3">
        <v>2.4369999999999998</v>
      </c>
      <c r="LY48" s="3">
        <v>0.11</v>
      </c>
      <c r="LZ48" s="3">
        <v>8.4039999999999999</v>
      </c>
      <c r="MA48" s="3">
        <v>0</v>
      </c>
      <c r="MB48" s="3">
        <v>18.792999999999999</v>
      </c>
      <c r="MC48" s="3">
        <v>0</v>
      </c>
      <c r="MD48" s="3">
        <v>30.242999999999999</v>
      </c>
      <c r="ME48" s="3">
        <v>0</v>
      </c>
      <c r="MF48" s="3">
        <v>0</v>
      </c>
      <c r="MG48" s="3">
        <v>4.5999999999999999E-2</v>
      </c>
      <c r="MH48" s="3">
        <v>34.695</v>
      </c>
      <c r="MI48" s="3">
        <v>0.29699999999999999</v>
      </c>
      <c r="MJ48" s="3">
        <v>52.018999999999998</v>
      </c>
      <c r="MK48" s="3">
        <v>62.094999999999999</v>
      </c>
      <c r="ML48" s="3">
        <v>18.215</v>
      </c>
      <c r="MM48" s="3">
        <v>0</v>
      </c>
      <c r="MN48" s="3">
        <v>33.085999999999999</v>
      </c>
      <c r="MO48" s="3">
        <v>38.427999999999997</v>
      </c>
      <c r="MP48" s="3">
        <v>0</v>
      </c>
      <c r="MQ48" s="3">
        <v>0</v>
      </c>
      <c r="MR48" s="3">
        <v>18.308</v>
      </c>
      <c r="MS48" s="3">
        <v>0.42199999999999999</v>
      </c>
      <c r="MT48" s="3">
        <v>53.408999999999999</v>
      </c>
      <c r="MU48" s="3">
        <v>45.848999999999997</v>
      </c>
      <c r="MV48" s="3">
        <v>90.103999999999999</v>
      </c>
      <c r="MW48" s="3">
        <v>86.635000000000005</v>
      </c>
    </row>
    <row r="49" spans="1:361" x14ac:dyDescent="0.3">
      <c r="A49" s="3">
        <v>7</v>
      </c>
      <c r="B49" s="3">
        <v>0.436</v>
      </c>
      <c r="C49" s="3">
        <v>0</v>
      </c>
      <c r="D49" s="3">
        <v>0.76600000000000001</v>
      </c>
      <c r="E49" s="3">
        <v>0.97699999999999998</v>
      </c>
      <c r="F49" s="3">
        <v>8.0000000000000002E-3</v>
      </c>
      <c r="G49" s="3">
        <v>0.85599999999999998</v>
      </c>
      <c r="H49" s="3">
        <v>2E-3</v>
      </c>
      <c r="I49" s="3">
        <v>2E-3</v>
      </c>
      <c r="J49" s="3">
        <v>3.0000000000000001E-3</v>
      </c>
      <c r="K49" s="3">
        <v>1.2E-2</v>
      </c>
      <c r="L49" s="3">
        <v>3.1E-2</v>
      </c>
      <c r="M49" s="3">
        <v>0.156</v>
      </c>
      <c r="N49" s="3">
        <v>0.7</v>
      </c>
      <c r="O49" s="3">
        <v>0.79400000000000004</v>
      </c>
      <c r="P49" s="3">
        <v>2.0049999999999999</v>
      </c>
      <c r="Q49" s="3">
        <v>0</v>
      </c>
      <c r="R49" s="3">
        <v>2.9239999999999999</v>
      </c>
      <c r="S49" s="3">
        <v>2.8620000000000001</v>
      </c>
      <c r="T49" s="3">
        <v>1E-3</v>
      </c>
      <c r="U49" s="3">
        <v>4.0000000000000001E-3</v>
      </c>
      <c r="V49" s="3">
        <v>0.24299999999999999</v>
      </c>
      <c r="W49" s="3">
        <v>2.6779999999999999</v>
      </c>
      <c r="X49" s="3">
        <v>3.895</v>
      </c>
      <c r="Y49" s="3">
        <v>4.4420000000000002</v>
      </c>
      <c r="Z49" s="3">
        <v>1.625</v>
      </c>
      <c r="AA49" s="3">
        <v>2.71</v>
      </c>
      <c r="AB49" s="3">
        <v>3.9790000000000001</v>
      </c>
      <c r="AC49" s="3">
        <v>3.9769999999999999</v>
      </c>
      <c r="AD49" s="3">
        <v>4.55</v>
      </c>
      <c r="AE49" s="3">
        <v>0</v>
      </c>
      <c r="AF49" s="3">
        <v>2.1640000000000001</v>
      </c>
      <c r="AG49" s="3">
        <v>2.23</v>
      </c>
      <c r="AH49" s="3">
        <v>5.4530000000000003</v>
      </c>
      <c r="AI49" s="3">
        <v>5.351</v>
      </c>
      <c r="AJ49" s="3">
        <v>5.7290000000000001</v>
      </c>
      <c r="AK49" s="3">
        <v>8.8490000000000002</v>
      </c>
      <c r="AL49" s="3">
        <v>3.1E-2</v>
      </c>
      <c r="AM49" s="3">
        <v>1.6E-2</v>
      </c>
      <c r="AN49" s="3">
        <v>7.3879999999999999</v>
      </c>
      <c r="AO49" s="3">
        <v>0.438</v>
      </c>
      <c r="AP49" s="3">
        <v>8.42</v>
      </c>
      <c r="AQ49" s="3">
        <v>0</v>
      </c>
      <c r="AR49" s="3">
        <v>1.4999999999999999E-2</v>
      </c>
      <c r="AS49" s="3">
        <v>3.1E-2</v>
      </c>
      <c r="AT49" s="3">
        <v>1.6E-2</v>
      </c>
      <c r="AU49" s="3">
        <v>0.29699999999999999</v>
      </c>
      <c r="AV49" s="3">
        <v>2.0619999999999998</v>
      </c>
      <c r="AW49" s="3">
        <v>7.8E-2</v>
      </c>
      <c r="AX49" s="3">
        <v>0</v>
      </c>
      <c r="AY49" s="3">
        <v>7.3419999999999996</v>
      </c>
      <c r="AZ49" s="3">
        <v>21.791</v>
      </c>
      <c r="BA49" s="3">
        <v>4.4050000000000002</v>
      </c>
      <c r="BB49" s="3">
        <v>25.338000000000001</v>
      </c>
      <c r="BC49" s="3">
        <v>29.524000000000001</v>
      </c>
      <c r="BD49" s="3">
        <v>0</v>
      </c>
      <c r="BE49" s="3">
        <v>6.3E-2</v>
      </c>
      <c r="BF49" s="3">
        <v>0.90600000000000003</v>
      </c>
      <c r="BG49" s="3">
        <v>13.965</v>
      </c>
      <c r="BH49" s="3">
        <v>43.427999999999997</v>
      </c>
      <c r="BI49" s="3">
        <v>69.89</v>
      </c>
      <c r="BJ49" s="3">
        <v>11.731999999999999</v>
      </c>
      <c r="BK49" s="3">
        <v>21.026</v>
      </c>
      <c r="BL49" s="3">
        <v>0</v>
      </c>
      <c r="BM49" s="3">
        <v>43.771000000000001</v>
      </c>
      <c r="BN49" s="3">
        <v>54.564999999999998</v>
      </c>
      <c r="BO49" s="3">
        <v>59.033000000000001</v>
      </c>
      <c r="BP49" s="3">
        <v>26.056000000000001</v>
      </c>
      <c r="BQ49" s="3">
        <v>0.57799999999999996</v>
      </c>
      <c r="BR49" s="3">
        <v>59.018000000000001</v>
      </c>
      <c r="BS49" s="3">
        <v>52.924999999999997</v>
      </c>
      <c r="BT49" s="3">
        <v>77.965999999999994</v>
      </c>
      <c r="BU49" s="3">
        <v>73.921000000000006</v>
      </c>
      <c r="BV49" s="3">
        <v>0.115</v>
      </c>
      <c r="BW49" s="3">
        <v>1E-3</v>
      </c>
      <c r="BX49" s="3">
        <v>0.67200000000000004</v>
      </c>
      <c r="BY49" s="3">
        <v>1.056</v>
      </c>
      <c r="BZ49" s="3">
        <v>1.042</v>
      </c>
      <c r="CA49" s="3">
        <v>1.054</v>
      </c>
      <c r="CB49" s="3">
        <v>2E-3</v>
      </c>
      <c r="CC49" s="3">
        <v>3.0000000000000001E-3</v>
      </c>
      <c r="CD49" s="3">
        <v>1E-3</v>
      </c>
      <c r="CE49" s="3">
        <v>1E-3</v>
      </c>
      <c r="CF49" s="3">
        <v>6.7000000000000004E-2</v>
      </c>
      <c r="CG49" s="3">
        <v>1.4999999999999999E-2</v>
      </c>
      <c r="CH49" s="3">
        <v>0.97499999999999998</v>
      </c>
      <c r="CI49" s="3">
        <v>1E-3</v>
      </c>
      <c r="CJ49" s="3">
        <v>1.921</v>
      </c>
      <c r="CK49" s="3">
        <v>2.0659999999999998</v>
      </c>
      <c r="CL49" s="3">
        <v>0</v>
      </c>
      <c r="CM49" s="3">
        <v>1E-3</v>
      </c>
      <c r="CN49" s="3">
        <v>2E-3</v>
      </c>
      <c r="CO49" s="3">
        <v>5.1999999999999998E-2</v>
      </c>
      <c r="CP49" s="3">
        <v>2.7069999999999999</v>
      </c>
      <c r="CQ49" s="3">
        <v>1.7999999999999999E-2</v>
      </c>
      <c r="CR49" s="3">
        <v>4.8609999999999998</v>
      </c>
      <c r="CS49" s="3">
        <v>3.9060000000000001</v>
      </c>
      <c r="CT49" s="3">
        <v>0</v>
      </c>
      <c r="CU49" s="3">
        <v>0</v>
      </c>
      <c r="CV49" s="3">
        <v>1E-3</v>
      </c>
      <c r="CW49" s="3">
        <v>2E-3</v>
      </c>
      <c r="CX49" s="3">
        <v>0</v>
      </c>
      <c r="CY49" s="3">
        <v>0.124</v>
      </c>
      <c r="CZ49" s="3">
        <v>3.0000000000000001E-3</v>
      </c>
      <c r="DA49" s="3">
        <v>1.9E-2</v>
      </c>
      <c r="DB49" s="3">
        <v>6.069</v>
      </c>
      <c r="DC49" s="3">
        <v>7.63</v>
      </c>
      <c r="DD49" s="3">
        <v>7.7830000000000004</v>
      </c>
      <c r="DE49" s="3">
        <v>8.9730000000000008</v>
      </c>
      <c r="DF49" s="3">
        <v>0.109</v>
      </c>
      <c r="DG49" s="3">
        <v>3.2959999999999998</v>
      </c>
      <c r="DH49" s="3">
        <v>7.8E-2</v>
      </c>
      <c r="DI49" s="3">
        <v>9.5129999999999999</v>
      </c>
      <c r="DJ49" s="3">
        <v>1.6E-2</v>
      </c>
      <c r="DK49" s="3">
        <v>10.356999999999999</v>
      </c>
      <c r="DL49" s="3">
        <v>0</v>
      </c>
      <c r="DM49" s="3">
        <v>0</v>
      </c>
      <c r="DN49" s="3">
        <v>0</v>
      </c>
      <c r="DO49" s="3">
        <v>0</v>
      </c>
      <c r="DP49" s="3">
        <v>0.14099999999999999</v>
      </c>
      <c r="DQ49" s="3">
        <v>0.156</v>
      </c>
      <c r="DR49" s="3">
        <v>0</v>
      </c>
      <c r="DS49" s="3">
        <v>0</v>
      </c>
      <c r="DT49" s="3">
        <v>22.76</v>
      </c>
      <c r="DU49" s="3">
        <v>15.667999999999999</v>
      </c>
      <c r="DV49" s="3">
        <v>1.6E-2</v>
      </c>
      <c r="DW49" s="3">
        <v>1.6E-2</v>
      </c>
      <c r="DX49" s="3">
        <v>0</v>
      </c>
      <c r="DY49" s="3">
        <v>1.4999999999999999E-2</v>
      </c>
      <c r="DZ49" s="3">
        <v>19.465</v>
      </c>
      <c r="EA49" s="3">
        <v>55.033999999999999</v>
      </c>
      <c r="EB49" s="3">
        <v>59.643000000000001</v>
      </c>
      <c r="EC49" s="3">
        <v>62.61</v>
      </c>
      <c r="ED49" s="3">
        <v>13.653</v>
      </c>
      <c r="EE49" s="3">
        <v>1.6E-2</v>
      </c>
      <c r="EF49" s="3">
        <v>43.771000000000001</v>
      </c>
      <c r="EG49" s="3">
        <v>33.805</v>
      </c>
      <c r="EH49" s="3">
        <v>52.564999999999998</v>
      </c>
      <c r="EI49" s="3">
        <v>54.19</v>
      </c>
      <c r="EJ49" s="3">
        <v>23.26</v>
      </c>
      <c r="EK49" s="3">
        <v>28.041</v>
      </c>
      <c r="EL49" s="3">
        <v>51.972000000000001</v>
      </c>
      <c r="EM49" s="3">
        <v>58.58</v>
      </c>
      <c r="EN49" s="3">
        <v>82.823999999999998</v>
      </c>
      <c r="EO49" s="3">
        <v>79.308999999999997</v>
      </c>
      <c r="EP49" s="3">
        <v>0.24099999999999999</v>
      </c>
      <c r="EQ49" s="3">
        <v>1.9E-2</v>
      </c>
      <c r="ER49" s="3">
        <v>0.65200000000000002</v>
      </c>
      <c r="ES49" s="3">
        <v>2.1000000000000001E-2</v>
      </c>
      <c r="ET49" s="3">
        <v>1.056</v>
      </c>
      <c r="EU49" s="3">
        <v>1.254</v>
      </c>
      <c r="EV49" s="3">
        <v>0</v>
      </c>
      <c r="EW49" s="3">
        <v>1E-3</v>
      </c>
      <c r="EX49" s="3">
        <v>1E-3</v>
      </c>
      <c r="EY49" s="3">
        <v>3.0000000000000001E-3</v>
      </c>
      <c r="EZ49" s="3">
        <v>6.0999999999999999E-2</v>
      </c>
      <c r="FA49" s="3">
        <v>4.0000000000000001E-3</v>
      </c>
      <c r="FB49" s="3">
        <v>0.20399999999999999</v>
      </c>
      <c r="FC49" s="3">
        <v>1.0569999999999999</v>
      </c>
      <c r="FD49" s="3">
        <v>1.9550000000000001</v>
      </c>
      <c r="FE49" s="3">
        <v>0</v>
      </c>
      <c r="FF49" s="3">
        <v>3.2509999999999999</v>
      </c>
      <c r="FG49" s="3">
        <v>4.0579999999999998</v>
      </c>
      <c r="FH49" s="3">
        <v>0.01</v>
      </c>
      <c r="FI49" s="3">
        <v>1.2E-2</v>
      </c>
      <c r="FJ49" s="3">
        <v>0.376</v>
      </c>
      <c r="FK49" s="3">
        <v>5.6000000000000001E-2</v>
      </c>
      <c r="FL49" s="3">
        <v>6.1319999999999997</v>
      </c>
      <c r="FM49" s="3">
        <v>4.0359999999999996</v>
      </c>
      <c r="FN49" s="3">
        <v>0</v>
      </c>
      <c r="FO49" s="3">
        <v>1.776</v>
      </c>
      <c r="FP49" s="3">
        <v>1E-3</v>
      </c>
      <c r="FQ49" s="3">
        <v>4.8840000000000003</v>
      </c>
      <c r="FR49" s="3">
        <v>6.2930000000000001</v>
      </c>
      <c r="FS49" s="3">
        <v>0.108</v>
      </c>
      <c r="FT49" s="3">
        <v>1.8220000000000001</v>
      </c>
      <c r="FU49" s="3">
        <v>2.1070000000000002</v>
      </c>
      <c r="FV49" s="3">
        <v>5.3239999999999998</v>
      </c>
      <c r="FW49" s="3">
        <v>4.6210000000000004</v>
      </c>
      <c r="FX49" s="3">
        <v>7.9189999999999996</v>
      </c>
      <c r="FY49" s="3">
        <v>8.8070000000000004</v>
      </c>
      <c r="FZ49" s="3">
        <v>2.125</v>
      </c>
      <c r="GA49" s="3">
        <v>7.9000000000000001E-2</v>
      </c>
      <c r="GB49" s="3">
        <v>7.6539999999999999</v>
      </c>
      <c r="GC49" s="3">
        <v>9.4670000000000005</v>
      </c>
      <c r="GD49" s="3">
        <v>0</v>
      </c>
      <c r="GE49" s="3">
        <v>1.4530000000000001</v>
      </c>
      <c r="GF49" s="3">
        <v>0</v>
      </c>
      <c r="GG49" s="3">
        <v>1.4999999999999999E-2</v>
      </c>
      <c r="GH49" s="3">
        <v>4.5999999999999999E-2</v>
      </c>
      <c r="GI49" s="3">
        <v>6.3E-2</v>
      </c>
      <c r="GJ49" s="3">
        <v>2.1709999999999998</v>
      </c>
      <c r="GK49" s="3">
        <v>0.70299999999999996</v>
      </c>
      <c r="GL49" s="3">
        <v>6.8890000000000002</v>
      </c>
      <c r="GM49" s="3">
        <v>8.0289999999999999</v>
      </c>
      <c r="GN49" s="3">
        <v>25.978999999999999</v>
      </c>
      <c r="GO49" s="3">
        <v>23.885000000000002</v>
      </c>
      <c r="GP49" s="3">
        <v>1.4999999999999999E-2</v>
      </c>
      <c r="GQ49" s="3">
        <v>0</v>
      </c>
      <c r="GR49" s="3">
        <v>1.6E-2</v>
      </c>
      <c r="GS49" s="3">
        <v>0.51600000000000001</v>
      </c>
      <c r="GT49" s="3">
        <v>43.802999999999997</v>
      </c>
      <c r="GU49" s="3">
        <v>1.4690000000000001</v>
      </c>
      <c r="GV49" s="3">
        <v>53.924999999999997</v>
      </c>
      <c r="GW49" s="3">
        <v>58.860999999999997</v>
      </c>
      <c r="GX49" s="3">
        <v>13.090999999999999</v>
      </c>
      <c r="GY49" s="3">
        <v>0</v>
      </c>
      <c r="GZ49" s="3">
        <v>0</v>
      </c>
      <c r="HA49" s="3">
        <v>35.008000000000003</v>
      </c>
      <c r="HB49" s="3">
        <v>51.816000000000003</v>
      </c>
      <c r="HC49" s="3">
        <v>0</v>
      </c>
      <c r="HD49" s="3">
        <v>19.652000000000001</v>
      </c>
      <c r="HE49" s="3">
        <v>24.526</v>
      </c>
      <c r="HF49" s="3">
        <v>51.972000000000001</v>
      </c>
      <c r="HG49" s="3">
        <v>52.533999999999999</v>
      </c>
      <c r="HH49" s="3">
        <v>71.78</v>
      </c>
      <c r="HI49" s="3">
        <v>85.045000000000002</v>
      </c>
      <c r="HJ49" s="3">
        <v>1.9E-2</v>
      </c>
      <c r="HK49" s="3">
        <v>0.13400000000000001</v>
      </c>
      <c r="HL49" s="3">
        <v>0.875</v>
      </c>
      <c r="HM49" s="3">
        <v>0.83799999999999997</v>
      </c>
      <c r="HN49" s="3">
        <v>0.95599999999999996</v>
      </c>
      <c r="HO49" s="3">
        <v>0</v>
      </c>
      <c r="HP49" s="3">
        <v>1E-3</v>
      </c>
      <c r="HQ49" s="3">
        <v>3.0000000000000001E-3</v>
      </c>
      <c r="HR49" s="3">
        <v>1E-3</v>
      </c>
      <c r="HS49" s="3">
        <v>8.0000000000000002E-3</v>
      </c>
      <c r="HT49" s="3">
        <v>7.0000000000000001E-3</v>
      </c>
      <c r="HU49" s="3">
        <v>5.0000000000000001E-3</v>
      </c>
      <c r="HV49" s="3">
        <v>0</v>
      </c>
      <c r="HW49" s="3">
        <v>1.157</v>
      </c>
      <c r="HX49" s="3">
        <v>1.752</v>
      </c>
      <c r="HY49" s="3">
        <v>0</v>
      </c>
      <c r="HZ49" s="3">
        <v>2.4609999999999999</v>
      </c>
      <c r="IA49" s="3">
        <v>0</v>
      </c>
      <c r="IB49" s="3">
        <v>2E-3</v>
      </c>
      <c r="IC49" s="3">
        <v>3.0000000000000001E-3</v>
      </c>
      <c r="ID49" s="3">
        <v>8.0000000000000002E-3</v>
      </c>
      <c r="IE49" s="3">
        <v>2.8929999999999998</v>
      </c>
      <c r="IF49" s="3">
        <v>4.3819999999999997</v>
      </c>
      <c r="IG49" s="3">
        <v>5.1920000000000002</v>
      </c>
      <c r="IH49" s="3">
        <v>7.0000000000000001E-3</v>
      </c>
      <c r="II49" s="3">
        <v>3.5819999999999999</v>
      </c>
      <c r="IJ49" s="3">
        <v>4.7469999999999999</v>
      </c>
      <c r="IK49" s="3">
        <v>4.4710000000000001</v>
      </c>
      <c r="IL49" s="3">
        <v>0</v>
      </c>
      <c r="IM49" s="3">
        <v>1E-3</v>
      </c>
      <c r="IN49" s="3">
        <v>3.0000000000000001E-3</v>
      </c>
      <c r="IO49" s="3">
        <v>0.01</v>
      </c>
      <c r="IP49" s="3">
        <v>5.923</v>
      </c>
      <c r="IQ49" s="3">
        <v>5.1980000000000004</v>
      </c>
      <c r="IR49" s="3">
        <v>7.0949999999999998</v>
      </c>
      <c r="IS49" s="3">
        <v>9.7799999999999994</v>
      </c>
      <c r="IT49" s="3">
        <v>0</v>
      </c>
      <c r="IU49" s="3">
        <v>2.3119999999999998</v>
      </c>
      <c r="IV49" s="3">
        <v>7.0759999999999996</v>
      </c>
      <c r="IW49" s="3">
        <v>0.73399999999999999</v>
      </c>
      <c r="IX49" s="3">
        <v>7.6539999999999999</v>
      </c>
      <c r="IY49" s="3">
        <v>0</v>
      </c>
      <c r="IZ49" s="3">
        <v>1.6E-2</v>
      </c>
      <c r="JA49" s="3">
        <v>0</v>
      </c>
      <c r="JB49" s="3">
        <v>7.8E-2</v>
      </c>
      <c r="JC49" s="3">
        <v>9.4E-2</v>
      </c>
      <c r="JD49" s="3">
        <v>11.45</v>
      </c>
      <c r="JE49" s="3">
        <v>0.29699999999999999</v>
      </c>
      <c r="JF49" s="3">
        <v>8.0449999999999999</v>
      </c>
      <c r="JG49" s="3">
        <v>0</v>
      </c>
      <c r="JH49" s="3">
        <v>0</v>
      </c>
      <c r="JI49" s="3">
        <v>0</v>
      </c>
      <c r="JJ49" s="3">
        <v>0</v>
      </c>
      <c r="JK49" s="3">
        <v>25.885000000000002</v>
      </c>
      <c r="JL49" s="3">
        <v>0</v>
      </c>
      <c r="JM49" s="3">
        <v>3.2000000000000001E-2</v>
      </c>
      <c r="JN49" s="3">
        <v>38.006</v>
      </c>
      <c r="JO49" s="3">
        <v>42.661000000000001</v>
      </c>
      <c r="JP49" s="3">
        <v>50.691000000000003</v>
      </c>
      <c r="JQ49" s="3">
        <v>46.959000000000003</v>
      </c>
      <c r="JR49" s="3">
        <v>1.6E-2</v>
      </c>
      <c r="JS49" s="3">
        <v>21.635999999999999</v>
      </c>
      <c r="JT49" s="3">
        <v>31.18</v>
      </c>
      <c r="JU49" s="3">
        <v>1.6E-2</v>
      </c>
      <c r="JV49" s="3">
        <v>51.191000000000003</v>
      </c>
      <c r="JW49" s="3">
        <v>1.5780000000000001</v>
      </c>
      <c r="JX49" s="3">
        <v>31.117000000000001</v>
      </c>
      <c r="JY49" s="3">
        <v>23.309000000000001</v>
      </c>
      <c r="JZ49" s="3">
        <v>49.895000000000003</v>
      </c>
      <c r="KA49" s="3">
        <v>52.738</v>
      </c>
      <c r="KB49" s="3">
        <v>86.542000000000002</v>
      </c>
      <c r="KC49" s="3">
        <v>76.106999999999999</v>
      </c>
      <c r="KD49" s="3">
        <v>1E-3</v>
      </c>
      <c r="KE49" s="3">
        <v>0.54700000000000004</v>
      </c>
      <c r="KF49" s="3">
        <v>3.0000000000000001E-3</v>
      </c>
      <c r="KG49" s="3">
        <v>0.73399999999999999</v>
      </c>
      <c r="KH49" s="3">
        <v>1.6060000000000001</v>
      </c>
      <c r="KI49" s="3">
        <v>1.8879999999999999</v>
      </c>
      <c r="KJ49" s="3">
        <v>1E-3</v>
      </c>
      <c r="KK49" s="3">
        <v>2E-3</v>
      </c>
      <c r="KL49" s="3">
        <v>2E-3</v>
      </c>
      <c r="KM49" s="3">
        <v>5.0000000000000001E-3</v>
      </c>
      <c r="KN49" s="3">
        <v>2.1999999999999999E-2</v>
      </c>
      <c r="KO49" s="3">
        <v>6.0000000000000001E-3</v>
      </c>
      <c r="KP49" s="3">
        <v>0</v>
      </c>
      <c r="KQ49" s="3">
        <v>1.577</v>
      </c>
      <c r="KR49" s="3">
        <v>1.51</v>
      </c>
      <c r="KS49" s="3">
        <v>3.0870000000000002</v>
      </c>
      <c r="KT49" s="3">
        <v>0</v>
      </c>
      <c r="KU49" s="3">
        <v>0</v>
      </c>
      <c r="KV49" s="3">
        <v>2E-3</v>
      </c>
      <c r="KW49" s="3">
        <v>2E-3</v>
      </c>
      <c r="KX49" s="3">
        <v>7.0000000000000001E-3</v>
      </c>
      <c r="KY49" s="3">
        <v>1.0999999999999999E-2</v>
      </c>
      <c r="KZ49" s="3">
        <v>5.4080000000000004</v>
      </c>
      <c r="LA49" s="3">
        <v>5.7060000000000004</v>
      </c>
      <c r="LB49" s="3">
        <v>1.706</v>
      </c>
      <c r="LC49" s="3">
        <v>0</v>
      </c>
      <c r="LD49" s="3">
        <v>3.5379999999999998</v>
      </c>
      <c r="LE49" s="3">
        <v>3.8239999999999998</v>
      </c>
      <c r="LF49" s="3">
        <v>1E-3</v>
      </c>
      <c r="LG49" s="3">
        <v>2E-3</v>
      </c>
      <c r="LH49" s="3">
        <v>3.0000000000000001E-3</v>
      </c>
      <c r="LI49" s="3">
        <v>2.2909999999999999</v>
      </c>
      <c r="LJ49" s="3">
        <v>5.4409999999999998</v>
      </c>
      <c r="LK49" s="3">
        <v>5.5960000000000001</v>
      </c>
      <c r="LL49" s="3">
        <v>7.359</v>
      </c>
      <c r="LM49" s="3">
        <v>9.6980000000000004</v>
      </c>
      <c r="LN49" s="3">
        <v>4.7E-2</v>
      </c>
      <c r="LO49" s="3">
        <v>1.4999999999999999E-2</v>
      </c>
      <c r="LP49" s="3">
        <v>8.0920000000000005</v>
      </c>
      <c r="LQ49" s="3">
        <v>6.4829999999999997</v>
      </c>
      <c r="LR49" s="3">
        <v>8.17</v>
      </c>
      <c r="LS49" s="3">
        <v>9.7949999999999999</v>
      </c>
      <c r="LT49" s="3">
        <v>0</v>
      </c>
      <c r="LU49" s="3">
        <v>1.6E-2</v>
      </c>
      <c r="LV49" s="3">
        <v>1.4999999999999999E-2</v>
      </c>
      <c r="LW49" s="3">
        <v>0</v>
      </c>
      <c r="LX49" s="3">
        <v>0.375</v>
      </c>
      <c r="LY49" s="3">
        <v>0.73399999999999999</v>
      </c>
      <c r="LZ49" s="3">
        <v>8.17</v>
      </c>
      <c r="MA49" s="3">
        <v>0</v>
      </c>
      <c r="MB49" s="3">
        <v>18.463999999999999</v>
      </c>
      <c r="MC49" s="3">
        <v>0</v>
      </c>
      <c r="MD49" s="3">
        <v>29.399000000000001</v>
      </c>
      <c r="ME49" s="3">
        <v>0</v>
      </c>
      <c r="MF49" s="3">
        <v>1.4999999999999999E-2</v>
      </c>
      <c r="MG49" s="3">
        <v>1.6E-2</v>
      </c>
      <c r="MH49" s="3">
        <v>33.976999999999997</v>
      </c>
      <c r="MI49" s="3">
        <v>0.42099999999999999</v>
      </c>
      <c r="MJ49" s="3">
        <v>50.91</v>
      </c>
      <c r="MK49" s="3">
        <v>61.454000000000001</v>
      </c>
      <c r="ML49" s="3">
        <v>16.542999999999999</v>
      </c>
      <c r="MM49" s="3">
        <v>1.4999999999999999E-2</v>
      </c>
      <c r="MN49" s="3">
        <v>33.679000000000002</v>
      </c>
      <c r="MO49" s="3">
        <v>37.71</v>
      </c>
      <c r="MP49" s="3">
        <v>0</v>
      </c>
      <c r="MQ49" s="3">
        <v>0</v>
      </c>
      <c r="MR49" s="3">
        <v>19.198</v>
      </c>
      <c r="MS49" s="3">
        <v>1.421</v>
      </c>
      <c r="MT49" s="3">
        <v>53.8</v>
      </c>
      <c r="MU49" s="3">
        <v>50.816000000000003</v>
      </c>
      <c r="MV49" s="3">
        <v>78.980999999999995</v>
      </c>
      <c r="MW49" s="3">
        <v>85.793000000000006</v>
      </c>
    </row>
    <row r="50" spans="1:361" x14ac:dyDescent="0.3">
      <c r="A50" s="3">
        <v>8</v>
      </c>
      <c r="B50" s="3">
        <v>0.44400000000000001</v>
      </c>
      <c r="C50" s="3">
        <v>0</v>
      </c>
      <c r="D50" s="3">
        <v>0.74299999999999999</v>
      </c>
      <c r="E50" s="3">
        <v>1.0760000000000001</v>
      </c>
      <c r="F50" s="3">
        <v>1E-3</v>
      </c>
      <c r="G50" s="3">
        <v>1.758</v>
      </c>
      <c r="H50" s="3">
        <v>1E-3</v>
      </c>
      <c r="I50" s="3">
        <v>2E-3</v>
      </c>
      <c r="J50" s="3">
        <v>8.9999999999999993E-3</v>
      </c>
      <c r="K50" s="3">
        <v>3.0000000000000001E-3</v>
      </c>
      <c r="L50" s="3">
        <v>1.2E-2</v>
      </c>
      <c r="M50" s="3">
        <v>2.8000000000000001E-2</v>
      </c>
      <c r="N50" s="3">
        <v>0.68</v>
      </c>
      <c r="O50" s="3">
        <v>0.77900000000000003</v>
      </c>
      <c r="P50" s="3">
        <v>1.95</v>
      </c>
      <c r="Q50" s="3">
        <v>1E-3</v>
      </c>
      <c r="R50" s="3">
        <v>2.9950000000000001</v>
      </c>
      <c r="S50" s="3">
        <v>2.956</v>
      </c>
      <c r="T50" s="3">
        <v>2E-3</v>
      </c>
      <c r="U50" s="3">
        <v>6.0000000000000001E-3</v>
      </c>
      <c r="V50" s="3">
        <v>9.5000000000000001E-2</v>
      </c>
      <c r="W50" s="3">
        <v>2.7469999999999999</v>
      </c>
      <c r="X50" s="3">
        <v>3.8079999999999998</v>
      </c>
      <c r="Y50" s="3">
        <v>4.9080000000000004</v>
      </c>
      <c r="Z50" s="3">
        <v>1.6</v>
      </c>
      <c r="AA50" s="3">
        <v>3.7469999999999999</v>
      </c>
      <c r="AB50" s="3">
        <v>4.28</v>
      </c>
      <c r="AC50" s="3">
        <v>3.9609999999999999</v>
      </c>
      <c r="AD50" s="3">
        <v>4.4539999999999997</v>
      </c>
      <c r="AE50" s="3">
        <v>0</v>
      </c>
      <c r="AF50" s="3">
        <v>2.4750000000000001</v>
      </c>
      <c r="AG50" s="3">
        <v>2.3250000000000002</v>
      </c>
      <c r="AH50" s="3">
        <v>5.6020000000000003</v>
      </c>
      <c r="AI50" s="3">
        <v>5.5129999999999999</v>
      </c>
      <c r="AJ50" s="3">
        <v>6.0090000000000003</v>
      </c>
      <c r="AK50" s="3">
        <v>8.35</v>
      </c>
      <c r="AL50" s="3">
        <v>3.2000000000000001E-2</v>
      </c>
      <c r="AM50" s="3">
        <v>0</v>
      </c>
      <c r="AN50" s="3">
        <v>7.5919999999999996</v>
      </c>
      <c r="AO50" s="3">
        <v>0.14000000000000001</v>
      </c>
      <c r="AP50" s="3">
        <v>8.7949999999999999</v>
      </c>
      <c r="AQ50" s="3">
        <v>4.7E-2</v>
      </c>
      <c r="AR50" s="3">
        <v>0</v>
      </c>
      <c r="AS50" s="3">
        <v>0</v>
      </c>
      <c r="AT50" s="3">
        <v>9.2999999999999999E-2</v>
      </c>
      <c r="AU50" s="3">
        <v>0</v>
      </c>
      <c r="AV50" s="3">
        <v>0.56200000000000006</v>
      </c>
      <c r="AW50" s="3">
        <v>4.7E-2</v>
      </c>
      <c r="AX50" s="3">
        <v>0</v>
      </c>
      <c r="AY50" s="3">
        <v>7.7949999999999999</v>
      </c>
      <c r="AZ50" s="3">
        <v>22.042000000000002</v>
      </c>
      <c r="BA50" s="3">
        <v>2.7490000000000001</v>
      </c>
      <c r="BB50" s="3">
        <v>24.791</v>
      </c>
      <c r="BC50" s="3">
        <v>30.305</v>
      </c>
      <c r="BD50" s="3">
        <v>1.6E-2</v>
      </c>
      <c r="BE50" s="3">
        <v>1.6E-2</v>
      </c>
      <c r="BF50" s="3">
        <v>7.3890000000000002</v>
      </c>
      <c r="BG50" s="3">
        <v>6.7489999999999997</v>
      </c>
      <c r="BH50" s="3">
        <v>48.832000000000001</v>
      </c>
      <c r="BI50" s="3">
        <v>70.912999999999997</v>
      </c>
      <c r="BJ50" s="3">
        <v>12.215999999999999</v>
      </c>
      <c r="BK50" s="3">
        <v>20.885999999999999</v>
      </c>
      <c r="BL50" s="3">
        <v>0</v>
      </c>
      <c r="BM50" s="3">
        <v>44.332999999999998</v>
      </c>
      <c r="BN50" s="3">
        <v>55.113</v>
      </c>
      <c r="BO50" s="3">
        <v>60.11</v>
      </c>
      <c r="BP50" s="3">
        <v>29.664999999999999</v>
      </c>
      <c r="BQ50" s="3">
        <v>11.919</v>
      </c>
      <c r="BR50" s="3">
        <v>57.985999999999997</v>
      </c>
      <c r="BS50" s="3">
        <v>52.658999999999999</v>
      </c>
      <c r="BT50" s="3">
        <v>82.448999999999998</v>
      </c>
      <c r="BU50" s="3">
        <v>79.293000000000006</v>
      </c>
      <c r="BV50" s="3">
        <v>0.112</v>
      </c>
      <c r="BW50" s="3">
        <v>1E-3</v>
      </c>
      <c r="BX50" s="3">
        <v>0.72599999999999998</v>
      </c>
      <c r="BY50" s="3">
        <v>1.073</v>
      </c>
      <c r="BZ50" s="3">
        <v>1.127</v>
      </c>
      <c r="CA50" s="3">
        <v>1.056</v>
      </c>
      <c r="CB50" s="3">
        <v>2E-3</v>
      </c>
      <c r="CC50" s="3">
        <v>3.0000000000000001E-3</v>
      </c>
      <c r="CD50" s="3">
        <v>2E-3</v>
      </c>
      <c r="CE50" s="3">
        <v>2E-3</v>
      </c>
      <c r="CF50" s="3">
        <v>8.9999999999999993E-3</v>
      </c>
      <c r="CG50" s="3">
        <v>3.0000000000000001E-3</v>
      </c>
      <c r="CH50" s="3">
        <v>0.91100000000000003</v>
      </c>
      <c r="CI50" s="3">
        <v>0</v>
      </c>
      <c r="CJ50" s="3">
        <v>1.921</v>
      </c>
      <c r="CK50" s="3">
        <v>1.986</v>
      </c>
      <c r="CL50" s="3">
        <v>1E-3</v>
      </c>
      <c r="CM50" s="3">
        <v>0</v>
      </c>
      <c r="CN50" s="3">
        <v>2E-3</v>
      </c>
      <c r="CO50" s="3">
        <v>7.0000000000000001E-3</v>
      </c>
      <c r="CP50" s="3">
        <v>3.8010000000000002</v>
      </c>
      <c r="CQ50" s="3">
        <v>0.03</v>
      </c>
      <c r="CR50" s="3">
        <v>5.4720000000000004</v>
      </c>
      <c r="CS50" s="3">
        <v>3.86</v>
      </c>
      <c r="CT50" s="3">
        <v>0</v>
      </c>
      <c r="CU50" s="3">
        <v>0</v>
      </c>
      <c r="CV50" s="3">
        <v>0</v>
      </c>
      <c r="CW50" s="3">
        <v>2E-3</v>
      </c>
      <c r="CX50" s="3">
        <v>0</v>
      </c>
      <c r="CY50" s="3">
        <v>5.0999999999999997E-2</v>
      </c>
      <c r="CZ50" s="3">
        <v>3.0000000000000001E-3</v>
      </c>
      <c r="DA50" s="3">
        <v>4.8000000000000001E-2</v>
      </c>
      <c r="DB50" s="3">
        <v>6.4539999999999997</v>
      </c>
      <c r="DC50" s="3">
        <v>6.7709999999999999</v>
      </c>
      <c r="DD50" s="3">
        <v>7.3849999999999998</v>
      </c>
      <c r="DE50" s="3">
        <v>8.5380000000000003</v>
      </c>
      <c r="DF50" s="3">
        <v>0</v>
      </c>
      <c r="DG50" s="3">
        <v>3.3580000000000001</v>
      </c>
      <c r="DH50" s="3">
        <v>0</v>
      </c>
      <c r="DI50" s="3">
        <v>8.7639999999999993</v>
      </c>
      <c r="DJ50" s="3">
        <v>0</v>
      </c>
      <c r="DK50" s="3">
        <v>9.7330000000000005</v>
      </c>
      <c r="DL50" s="3">
        <v>1.6E-2</v>
      </c>
      <c r="DM50" s="3">
        <v>0</v>
      </c>
      <c r="DN50" s="3">
        <v>1.4999999999999999E-2</v>
      </c>
      <c r="DO50" s="3">
        <v>9.2999999999999999E-2</v>
      </c>
      <c r="DP50" s="3">
        <v>0.124</v>
      </c>
      <c r="DQ50" s="3">
        <v>0.157</v>
      </c>
      <c r="DR50" s="3">
        <v>0</v>
      </c>
      <c r="DS50" s="3">
        <v>0</v>
      </c>
      <c r="DT50" s="3">
        <v>22.198</v>
      </c>
      <c r="DU50" s="3">
        <v>15.465999999999999</v>
      </c>
      <c r="DV50" s="3">
        <v>0</v>
      </c>
      <c r="DW50" s="3">
        <v>0</v>
      </c>
      <c r="DX50" s="3">
        <v>1.6E-2</v>
      </c>
      <c r="DY50" s="3">
        <v>0.11</v>
      </c>
      <c r="DZ50" s="3">
        <v>37.037999999999997</v>
      </c>
      <c r="EA50" s="3">
        <v>54.095999999999997</v>
      </c>
      <c r="EB50" s="3">
        <v>71.405000000000001</v>
      </c>
      <c r="EC50" s="3">
        <v>65.61</v>
      </c>
      <c r="ED50" s="3">
        <v>13.558999999999999</v>
      </c>
      <c r="EE50" s="3">
        <v>0.96799999999999997</v>
      </c>
      <c r="EF50" s="3">
        <v>45.052</v>
      </c>
      <c r="EG50" s="3">
        <v>33.851999999999997</v>
      </c>
      <c r="EH50" s="3">
        <v>52.581000000000003</v>
      </c>
      <c r="EI50" s="3">
        <v>54.783999999999999</v>
      </c>
      <c r="EJ50" s="3">
        <v>21.151</v>
      </c>
      <c r="EK50" s="3">
        <v>28.619</v>
      </c>
      <c r="EL50" s="3">
        <v>49.207999999999998</v>
      </c>
      <c r="EM50" s="3">
        <v>60.143000000000001</v>
      </c>
      <c r="EN50" s="3">
        <v>84.792000000000002</v>
      </c>
      <c r="EO50" s="3">
        <v>87.73</v>
      </c>
      <c r="EP50" s="3">
        <v>0.20300000000000001</v>
      </c>
      <c r="EQ50" s="3">
        <v>8.9999999999999993E-3</v>
      </c>
      <c r="ER50" s="3">
        <v>0.61799999999999999</v>
      </c>
      <c r="ES50" s="3">
        <v>5.2999999999999999E-2</v>
      </c>
      <c r="ET50" s="3">
        <v>1.0740000000000001</v>
      </c>
      <c r="EU50" s="3">
        <v>1.286</v>
      </c>
      <c r="EV50" s="3">
        <v>2E-3</v>
      </c>
      <c r="EW50" s="3">
        <v>2E-3</v>
      </c>
      <c r="EX50" s="3">
        <v>2E-3</v>
      </c>
      <c r="EY50" s="3">
        <v>2E-3</v>
      </c>
      <c r="EZ50" s="3">
        <v>4.8000000000000001E-2</v>
      </c>
      <c r="FA50" s="3">
        <v>4.0000000000000001E-3</v>
      </c>
      <c r="FB50" s="3">
        <v>3.4000000000000002E-2</v>
      </c>
      <c r="FC50" s="3">
        <v>0.98499999999999999</v>
      </c>
      <c r="FD50" s="3">
        <v>2.0230000000000001</v>
      </c>
      <c r="FE50" s="3">
        <v>1E-3</v>
      </c>
      <c r="FF50" s="3">
        <v>3.024</v>
      </c>
      <c r="FG50" s="3">
        <v>3.6890000000000001</v>
      </c>
      <c r="FH50" s="3">
        <v>2E-3</v>
      </c>
      <c r="FI50" s="3">
        <v>0.01</v>
      </c>
      <c r="FJ50" s="3">
        <v>1.7929999999999999</v>
      </c>
      <c r="FK50" s="3">
        <v>2.7E-2</v>
      </c>
      <c r="FL50" s="3">
        <v>5.6970000000000001</v>
      </c>
      <c r="FM50" s="3">
        <v>3.8660000000000001</v>
      </c>
      <c r="FN50" s="3">
        <v>1E-3</v>
      </c>
      <c r="FO50" s="3">
        <v>2.2730000000000001</v>
      </c>
      <c r="FP50" s="3">
        <v>0</v>
      </c>
      <c r="FQ50" s="3">
        <v>4.6260000000000003</v>
      </c>
      <c r="FR50" s="3">
        <v>6.657</v>
      </c>
      <c r="FS50" s="3">
        <v>0.63700000000000001</v>
      </c>
      <c r="FT50" s="3">
        <v>1.7210000000000001</v>
      </c>
      <c r="FU50" s="3">
        <v>2.1110000000000002</v>
      </c>
      <c r="FV50" s="3">
        <v>4.8620000000000001</v>
      </c>
      <c r="FW50" s="3">
        <v>4.5369999999999999</v>
      </c>
      <c r="FX50" s="3">
        <v>8.0429999999999993</v>
      </c>
      <c r="FY50" s="3">
        <v>8.1579999999999995</v>
      </c>
      <c r="FZ50" s="3">
        <v>2.0299999999999998</v>
      </c>
      <c r="GA50" s="3">
        <v>1.4999999999999999E-2</v>
      </c>
      <c r="GB50" s="3">
        <v>7.8419999999999996</v>
      </c>
      <c r="GC50" s="3">
        <v>8.5920000000000005</v>
      </c>
      <c r="GD50" s="3">
        <v>0</v>
      </c>
      <c r="GE50" s="3">
        <v>0.40600000000000003</v>
      </c>
      <c r="GF50" s="3">
        <v>0</v>
      </c>
      <c r="GG50" s="3">
        <v>1.6E-2</v>
      </c>
      <c r="GH50" s="3">
        <v>1.6E-2</v>
      </c>
      <c r="GI50" s="3">
        <v>1.4999999999999999E-2</v>
      </c>
      <c r="GJ50" s="3">
        <v>0.57799999999999996</v>
      </c>
      <c r="GK50" s="3">
        <v>7.8E-2</v>
      </c>
      <c r="GL50" s="3">
        <v>7.4359999999999999</v>
      </c>
      <c r="GM50" s="3">
        <v>8.4819999999999993</v>
      </c>
      <c r="GN50" s="3">
        <v>26.337</v>
      </c>
      <c r="GO50" s="3">
        <v>20.995000000000001</v>
      </c>
      <c r="GP50" s="3">
        <v>0</v>
      </c>
      <c r="GQ50" s="3">
        <v>0</v>
      </c>
      <c r="GR50" s="3">
        <v>1.6E-2</v>
      </c>
      <c r="GS50" s="3">
        <v>0.23400000000000001</v>
      </c>
      <c r="GT50" s="3">
        <v>41.802</v>
      </c>
      <c r="GU50" s="3">
        <v>35.320999999999998</v>
      </c>
      <c r="GV50" s="3">
        <v>53.564999999999998</v>
      </c>
      <c r="GW50" s="3">
        <v>59.439</v>
      </c>
      <c r="GX50" s="3">
        <v>13.528</v>
      </c>
      <c r="GY50" s="3">
        <v>0</v>
      </c>
      <c r="GZ50" s="3">
        <v>0</v>
      </c>
      <c r="HA50" s="3">
        <v>35.176000000000002</v>
      </c>
      <c r="HB50" s="3">
        <v>51.534999999999997</v>
      </c>
      <c r="HC50" s="3">
        <v>1.6E-2</v>
      </c>
      <c r="HD50" s="3">
        <v>21.651</v>
      </c>
      <c r="HE50" s="3">
        <v>26.024999999999999</v>
      </c>
      <c r="HF50" s="3">
        <v>49.207999999999998</v>
      </c>
      <c r="HG50" s="3">
        <v>58.985999999999997</v>
      </c>
      <c r="HH50" s="3">
        <v>77.543999999999997</v>
      </c>
      <c r="HI50" s="3">
        <v>81.262</v>
      </c>
      <c r="HJ50" s="3">
        <v>3.1E-2</v>
      </c>
      <c r="HK50" s="3">
        <v>0.14299999999999999</v>
      </c>
      <c r="HL50" s="3">
        <v>0.79700000000000004</v>
      </c>
      <c r="HM50" s="3">
        <v>0.624</v>
      </c>
      <c r="HN50" s="3">
        <v>0.995</v>
      </c>
      <c r="HO50" s="3">
        <v>2E-3</v>
      </c>
      <c r="HP50" s="3">
        <v>1E-3</v>
      </c>
      <c r="HQ50" s="3">
        <v>3.0000000000000001E-3</v>
      </c>
      <c r="HR50" s="3">
        <v>1E-3</v>
      </c>
      <c r="HS50" s="3">
        <v>1.2999999999999999E-2</v>
      </c>
      <c r="HT50" s="3">
        <v>5.0000000000000001E-3</v>
      </c>
      <c r="HU50" s="3">
        <v>4.0000000000000001E-3</v>
      </c>
      <c r="HV50" s="3">
        <v>0</v>
      </c>
      <c r="HW50" s="3">
        <v>0.97799999999999998</v>
      </c>
      <c r="HX50" s="3">
        <v>1.8</v>
      </c>
      <c r="HY50" s="3">
        <v>0</v>
      </c>
      <c r="HZ50" s="3">
        <v>2.9420000000000002</v>
      </c>
      <c r="IA50" s="3">
        <v>0</v>
      </c>
      <c r="IB50" s="3">
        <v>2E-3</v>
      </c>
      <c r="IC50" s="3">
        <v>2E-3</v>
      </c>
      <c r="ID50" s="3">
        <v>0.01</v>
      </c>
      <c r="IE50" s="3">
        <v>3.609</v>
      </c>
      <c r="IF50" s="3">
        <v>4.9950000000000001</v>
      </c>
      <c r="IG50" s="3">
        <v>4.7549999999999999</v>
      </c>
      <c r="IH50" s="3">
        <v>2E-3</v>
      </c>
      <c r="II50" s="3">
        <v>3.8420000000000001</v>
      </c>
      <c r="IJ50" s="3">
        <v>5.085</v>
      </c>
      <c r="IK50" s="3">
        <v>4.1589999999999998</v>
      </c>
      <c r="IL50" s="3">
        <v>1E-3</v>
      </c>
      <c r="IM50" s="3">
        <v>0</v>
      </c>
      <c r="IN50" s="3">
        <v>8.0000000000000002E-3</v>
      </c>
      <c r="IO50" s="3">
        <v>0.01</v>
      </c>
      <c r="IP50" s="3">
        <v>5.7480000000000002</v>
      </c>
      <c r="IQ50" s="3">
        <v>5.4050000000000002</v>
      </c>
      <c r="IR50" s="3">
        <v>7.0250000000000004</v>
      </c>
      <c r="IS50" s="3">
        <v>8.7799999999999994</v>
      </c>
      <c r="IT50" s="3">
        <v>1.6E-2</v>
      </c>
      <c r="IU50" s="3">
        <v>2.375</v>
      </c>
      <c r="IV50" s="3">
        <v>7.7480000000000002</v>
      </c>
      <c r="IW50" s="3">
        <v>4.718</v>
      </c>
      <c r="IX50" s="3">
        <v>7.7169999999999996</v>
      </c>
      <c r="IY50" s="3">
        <v>3.1E-2</v>
      </c>
      <c r="IZ50" s="3">
        <v>0</v>
      </c>
      <c r="JA50" s="3">
        <v>0</v>
      </c>
      <c r="JB50" s="3">
        <v>1.6E-2</v>
      </c>
      <c r="JC50" s="3">
        <v>1.6E-2</v>
      </c>
      <c r="JD50" s="3">
        <v>11.201000000000001</v>
      </c>
      <c r="JE50" s="3">
        <v>0.35899999999999999</v>
      </c>
      <c r="JF50" s="3">
        <v>8.2170000000000005</v>
      </c>
      <c r="JG50" s="3">
        <v>0</v>
      </c>
      <c r="JH50" s="3">
        <v>0</v>
      </c>
      <c r="JI50" s="3">
        <v>0</v>
      </c>
      <c r="JJ50" s="3">
        <v>0</v>
      </c>
      <c r="JK50" s="3">
        <v>25.774999999999999</v>
      </c>
      <c r="JL50" s="3">
        <v>0</v>
      </c>
      <c r="JM50" s="3">
        <v>0</v>
      </c>
      <c r="JN50" s="3">
        <v>0.85899999999999999</v>
      </c>
      <c r="JO50" s="3">
        <v>47.052</v>
      </c>
      <c r="JP50" s="3">
        <v>45.817</v>
      </c>
      <c r="JQ50" s="3">
        <v>41.524000000000001</v>
      </c>
      <c r="JR50" s="3">
        <v>0</v>
      </c>
      <c r="JS50" s="3">
        <v>18.917000000000002</v>
      </c>
      <c r="JT50" s="3">
        <v>31.132999999999999</v>
      </c>
      <c r="JU50" s="3">
        <v>0</v>
      </c>
      <c r="JV50" s="3">
        <v>51.628999999999998</v>
      </c>
      <c r="JW50" s="3">
        <v>1.577</v>
      </c>
      <c r="JX50" s="3">
        <v>30.321000000000002</v>
      </c>
      <c r="JY50" s="3">
        <v>21.323</v>
      </c>
      <c r="JZ50" s="3">
        <v>51.957000000000001</v>
      </c>
      <c r="KA50" s="3">
        <v>47.707000000000001</v>
      </c>
      <c r="KB50" s="3">
        <v>84.293000000000006</v>
      </c>
      <c r="KC50" s="3">
        <v>76.106999999999999</v>
      </c>
      <c r="KD50" s="3">
        <v>0</v>
      </c>
      <c r="KE50" s="3">
        <v>0.50900000000000001</v>
      </c>
      <c r="KF50" s="3">
        <v>3.5000000000000003E-2</v>
      </c>
      <c r="KG50" s="3">
        <v>0.83099999999999996</v>
      </c>
      <c r="KH50" s="3">
        <v>1.522</v>
      </c>
      <c r="KI50" s="3">
        <v>1.6870000000000001</v>
      </c>
      <c r="KJ50" s="3">
        <v>4.0000000000000001E-3</v>
      </c>
      <c r="KK50" s="3">
        <v>2E-3</v>
      </c>
      <c r="KL50" s="3">
        <v>2E-3</v>
      </c>
      <c r="KM50" s="3">
        <v>6.0000000000000001E-3</v>
      </c>
      <c r="KN50" s="3">
        <v>1.2999999999999999E-2</v>
      </c>
      <c r="KO50" s="3">
        <v>7.0000000000000001E-3</v>
      </c>
      <c r="KP50" s="3">
        <v>0</v>
      </c>
      <c r="KQ50" s="3">
        <v>1.4359999999999999</v>
      </c>
      <c r="KR50" s="3">
        <v>1.4670000000000001</v>
      </c>
      <c r="KS50" s="3">
        <v>3.7280000000000002</v>
      </c>
      <c r="KT50" s="3">
        <v>1E-3</v>
      </c>
      <c r="KU50" s="3">
        <v>0</v>
      </c>
      <c r="KV50" s="3">
        <v>1E-3</v>
      </c>
      <c r="KW50" s="3">
        <v>2E-3</v>
      </c>
      <c r="KX50" s="3">
        <v>0.14099999999999999</v>
      </c>
      <c r="KY50" s="3">
        <v>1.4999999999999999E-2</v>
      </c>
      <c r="KZ50" s="3">
        <v>4.907</v>
      </c>
      <c r="LA50" s="3">
        <v>5.1950000000000003</v>
      </c>
      <c r="LB50" s="3">
        <v>1.631</v>
      </c>
      <c r="LC50" s="3">
        <v>0</v>
      </c>
      <c r="LD50" s="3">
        <v>3.6190000000000002</v>
      </c>
      <c r="LE50" s="3">
        <v>4.0259999999999998</v>
      </c>
      <c r="LF50" s="3">
        <v>0</v>
      </c>
      <c r="LG50" s="3">
        <v>1E-3</v>
      </c>
      <c r="LH50" s="3">
        <v>2E-3</v>
      </c>
      <c r="LI50" s="3">
        <v>2.0059999999999998</v>
      </c>
      <c r="LJ50" s="3">
        <v>5.641</v>
      </c>
      <c r="LK50" s="3">
        <v>6.1870000000000003</v>
      </c>
      <c r="LL50" s="3">
        <v>7.7380000000000004</v>
      </c>
      <c r="LM50" s="3">
        <v>9.0549999999999997</v>
      </c>
      <c r="LN50" s="3">
        <v>4.7E-2</v>
      </c>
      <c r="LO50" s="3">
        <v>1.6E-2</v>
      </c>
      <c r="LP50" s="3">
        <v>6.4989999999999997</v>
      </c>
      <c r="LQ50" s="3">
        <v>6.577</v>
      </c>
      <c r="LR50" s="3">
        <v>8.6539999999999999</v>
      </c>
      <c r="LS50" s="3">
        <v>10.669</v>
      </c>
      <c r="LT50" s="3">
        <v>0</v>
      </c>
      <c r="LU50" s="3">
        <v>1.6E-2</v>
      </c>
      <c r="LV50" s="3">
        <v>0</v>
      </c>
      <c r="LW50" s="3">
        <v>0</v>
      </c>
      <c r="LX50" s="3">
        <v>4.468</v>
      </c>
      <c r="LY50" s="3">
        <v>1.4530000000000001</v>
      </c>
      <c r="LZ50" s="3">
        <v>8.4819999999999993</v>
      </c>
      <c r="MA50" s="3">
        <v>0</v>
      </c>
      <c r="MB50" s="3">
        <v>17.184000000000001</v>
      </c>
      <c r="MC50" s="3">
        <v>0</v>
      </c>
      <c r="MD50" s="3">
        <v>30.681000000000001</v>
      </c>
      <c r="ME50" s="3">
        <v>1.6E-2</v>
      </c>
      <c r="MF50" s="3">
        <v>3.2000000000000001E-2</v>
      </c>
      <c r="MG50" s="3">
        <v>0.17199999999999999</v>
      </c>
      <c r="MH50" s="3">
        <v>36.079000000000001</v>
      </c>
      <c r="MI50" s="3">
        <v>1.6E-2</v>
      </c>
      <c r="MJ50" s="3">
        <v>52.517000000000003</v>
      </c>
      <c r="MK50" s="3">
        <v>65.875</v>
      </c>
      <c r="ML50" s="3">
        <v>16.855</v>
      </c>
      <c r="MM50" s="3">
        <v>0</v>
      </c>
      <c r="MN50" s="3">
        <v>32.993000000000002</v>
      </c>
      <c r="MO50" s="3">
        <v>37.819000000000003</v>
      </c>
      <c r="MP50" s="3">
        <v>1.4999999999999999E-2</v>
      </c>
      <c r="MQ50" s="3">
        <v>0</v>
      </c>
      <c r="MR50" s="3">
        <v>19.558</v>
      </c>
      <c r="MS50" s="3">
        <v>4.2960000000000003</v>
      </c>
      <c r="MT50" s="3">
        <v>51.805</v>
      </c>
      <c r="MU50" s="3">
        <v>50.284999999999997</v>
      </c>
      <c r="MV50" s="3">
        <v>93.400999999999996</v>
      </c>
      <c r="MW50" s="3">
        <v>80.355999999999995</v>
      </c>
    </row>
    <row r="51" spans="1:361" x14ac:dyDescent="0.3">
      <c r="A51" s="3">
        <v>9</v>
      </c>
      <c r="B51" s="3">
        <v>0.432</v>
      </c>
      <c r="C51" s="3">
        <v>0</v>
      </c>
      <c r="D51" s="3">
        <v>0.70799999999999996</v>
      </c>
      <c r="E51" s="3">
        <v>0.94899999999999995</v>
      </c>
      <c r="F51" s="3">
        <v>5.0000000000000001E-3</v>
      </c>
      <c r="G51" s="3">
        <v>1.9059999999999999</v>
      </c>
      <c r="H51" s="3">
        <v>2E-3</v>
      </c>
      <c r="I51" s="3">
        <v>2E-3</v>
      </c>
      <c r="J51" s="3">
        <v>1.0999999999999999E-2</v>
      </c>
      <c r="K51" s="3">
        <v>4.0000000000000001E-3</v>
      </c>
      <c r="L51" s="3">
        <v>8.0000000000000002E-3</v>
      </c>
      <c r="M51" s="3">
        <v>1.6E-2</v>
      </c>
      <c r="N51" s="3">
        <v>0.753</v>
      </c>
      <c r="O51" s="3">
        <v>0.78700000000000003</v>
      </c>
      <c r="P51" s="3">
        <v>1.9690000000000001</v>
      </c>
      <c r="Q51" s="3">
        <v>0</v>
      </c>
      <c r="R51" s="3">
        <v>3.0859999999999999</v>
      </c>
      <c r="S51" s="3">
        <v>3.03</v>
      </c>
      <c r="T51" s="3">
        <v>1E-3</v>
      </c>
      <c r="U51" s="3">
        <v>3.0000000000000001E-3</v>
      </c>
      <c r="V51" s="3">
        <v>1.008</v>
      </c>
      <c r="W51" s="3">
        <v>2.698</v>
      </c>
      <c r="X51" s="3">
        <v>3.6059999999999999</v>
      </c>
      <c r="Y51" s="3">
        <v>4.4950000000000001</v>
      </c>
      <c r="Z51" s="3">
        <v>1.4710000000000001</v>
      </c>
      <c r="AA51" s="3">
        <v>2.149</v>
      </c>
      <c r="AB51" s="3">
        <v>4.6120000000000001</v>
      </c>
      <c r="AC51" s="3">
        <v>3.8460000000000001</v>
      </c>
      <c r="AD51" s="3">
        <v>4.4249999999999998</v>
      </c>
      <c r="AE51" s="3">
        <v>0</v>
      </c>
      <c r="AF51" s="3">
        <v>2.137</v>
      </c>
      <c r="AG51" s="3">
        <v>2.1219999999999999</v>
      </c>
      <c r="AH51" s="3">
        <v>5.61</v>
      </c>
      <c r="AI51" s="3">
        <v>5.3070000000000004</v>
      </c>
      <c r="AJ51" s="3">
        <v>5.4969999999999999</v>
      </c>
      <c r="AK51" s="3">
        <v>8.8420000000000005</v>
      </c>
      <c r="AL51" s="3">
        <v>1.4999999999999999E-2</v>
      </c>
      <c r="AM51" s="3">
        <v>1.4999999999999999E-2</v>
      </c>
      <c r="AN51" s="3">
        <v>7.67</v>
      </c>
      <c r="AO51" s="3">
        <v>0.109</v>
      </c>
      <c r="AP51" s="3">
        <v>7.6550000000000002</v>
      </c>
      <c r="AQ51" s="3">
        <v>0</v>
      </c>
      <c r="AR51" s="3">
        <v>1.6E-2</v>
      </c>
      <c r="AS51" s="3">
        <v>3.2000000000000001E-2</v>
      </c>
      <c r="AT51" s="3">
        <v>0</v>
      </c>
      <c r="AU51" s="3">
        <v>1.6E-2</v>
      </c>
      <c r="AV51" s="3">
        <v>3.6869999999999998</v>
      </c>
      <c r="AW51" s="3">
        <v>0.51500000000000001</v>
      </c>
      <c r="AX51" s="3">
        <v>0</v>
      </c>
      <c r="AY51" s="3">
        <v>8.4039999999999999</v>
      </c>
      <c r="AZ51" s="3">
        <v>22.62</v>
      </c>
      <c r="BA51" s="3">
        <v>0.5</v>
      </c>
      <c r="BB51" s="3">
        <v>24.478000000000002</v>
      </c>
      <c r="BC51" s="3">
        <v>30.93</v>
      </c>
      <c r="BD51" s="3">
        <v>1.4999999999999999E-2</v>
      </c>
      <c r="BE51" s="3">
        <v>0</v>
      </c>
      <c r="BF51" s="3">
        <v>2.64</v>
      </c>
      <c r="BG51" s="3">
        <v>4.3579999999999997</v>
      </c>
      <c r="BH51" s="3">
        <v>47.363999999999997</v>
      </c>
      <c r="BI51" s="3">
        <v>71.546999999999997</v>
      </c>
      <c r="BJ51" s="3">
        <v>11.528</v>
      </c>
      <c r="BK51" s="3">
        <v>22.667000000000002</v>
      </c>
      <c r="BL51" s="3">
        <v>0</v>
      </c>
      <c r="BM51" s="3">
        <v>41.74</v>
      </c>
      <c r="BN51" s="3">
        <v>56.502000000000002</v>
      </c>
      <c r="BO51" s="3">
        <v>61.939</v>
      </c>
      <c r="BP51" s="3">
        <v>26.244</v>
      </c>
      <c r="BQ51" s="3">
        <v>0.71899999999999997</v>
      </c>
      <c r="BR51" s="3">
        <v>59.892000000000003</v>
      </c>
      <c r="BS51" s="3">
        <v>56.393000000000001</v>
      </c>
      <c r="BT51" s="3">
        <v>81.495999999999995</v>
      </c>
      <c r="BU51" s="3">
        <v>77.653999999999996</v>
      </c>
      <c r="BV51" s="3">
        <v>0.13</v>
      </c>
      <c r="BW51" s="3">
        <v>0</v>
      </c>
      <c r="BX51" s="3">
        <v>0.66500000000000004</v>
      </c>
      <c r="BY51" s="3">
        <v>1.0129999999999999</v>
      </c>
      <c r="BZ51" s="3">
        <v>1.0429999999999999</v>
      </c>
      <c r="CA51" s="3">
        <v>1.1399999999999999</v>
      </c>
      <c r="CB51" s="3">
        <v>3.0000000000000001E-3</v>
      </c>
      <c r="CC51" s="3">
        <v>5.0000000000000001E-3</v>
      </c>
      <c r="CD51" s="3">
        <v>2E-3</v>
      </c>
      <c r="CE51" s="3">
        <v>2E-3</v>
      </c>
      <c r="CF51" s="3">
        <v>9.7000000000000003E-2</v>
      </c>
      <c r="CG51" s="3">
        <v>6.0000000000000001E-3</v>
      </c>
      <c r="CH51" s="3">
        <v>0.95799999999999996</v>
      </c>
      <c r="CI51" s="3">
        <v>1E-3</v>
      </c>
      <c r="CJ51" s="3">
        <v>1.7310000000000001</v>
      </c>
      <c r="CK51" s="3">
        <v>2.0579999999999998</v>
      </c>
      <c r="CL51" s="3">
        <v>0</v>
      </c>
      <c r="CM51" s="3">
        <v>0</v>
      </c>
      <c r="CN51" s="3">
        <v>1E-3</v>
      </c>
      <c r="CO51" s="3">
        <v>0.02</v>
      </c>
      <c r="CP51" s="3">
        <v>3.8170000000000002</v>
      </c>
      <c r="CQ51" s="3">
        <v>8.9999999999999993E-3</v>
      </c>
      <c r="CR51" s="3">
        <v>4.7229999999999999</v>
      </c>
      <c r="CS51" s="3">
        <v>4.0910000000000002</v>
      </c>
      <c r="CT51" s="3">
        <v>0</v>
      </c>
      <c r="CU51" s="3">
        <v>1E-3</v>
      </c>
      <c r="CV51" s="3">
        <v>0</v>
      </c>
      <c r="CW51" s="3">
        <v>3.6999999999999998E-2</v>
      </c>
      <c r="CX51" s="3">
        <v>1E-3</v>
      </c>
      <c r="CY51" s="3">
        <v>0.22</v>
      </c>
      <c r="CZ51" s="3">
        <v>5.8000000000000003E-2</v>
      </c>
      <c r="DA51" s="3">
        <v>2.8000000000000001E-2</v>
      </c>
      <c r="DB51" s="3">
        <v>6.327</v>
      </c>
      <c r="DC51" s="3">
        <v>7.0030000000000001</v>
      </c>
      <c r="DD51" s="3">
        <v>7.5759999999999996</v>
      </c>
      <c r="DE51" s="3">
        <v>8.827</v>
      </c>
      <c r="DF51" s="3">
        <v>0</v>
      </c>
      <c r="DG51" s="3">
        <v>3.3279999999999998</v>
      </c>
      <c r="DH51" s="3">
        <v>1.6E-2</v>
      </c>
      <c r="DI51" s="3">
        <v>7.92</v>
      </c>
      <c r="DJ51" s="3">
        <v>0</v>
      </c>
      <c r="DK51" s="3">
        <v>10.013</v>
      </c>
      <c r="DL51" s="3">
        <v>0</v>
      </c>
      <c r="DM51" s="3">
        <v>0</v>
      </c>
      <c r="DN51" s="3">
        <v>0</v>
      </c>
      <c r="DO51" s="3">
        <v>1.6E-2</v>
      </c>
      <c r="DP51" s="3">
        <v>0.46899999999999997</v>
      </c>
      <c r="DQ51" s="3">
        <v>0.109</v>
      </c>
      <c r="DR51" s="3">
        <v>0</v>
      </c>
      <c r="DS51" s="3">
        <v>0</v>
      </c>
      <c r="DT51" s="3">
        <v>20.933</v>
      </c>
      <c r="DU51" s="3">
        <v>15.996</v>
      </c>
      <c r="DV51" s="3">
        <v>0</v>
      </c>
      <c r="DW51" s="3">
        <v>0</v>
      </c>
      <c r="DX51" s="3">
        <v>9.2999999999999999E-2</v>
      </c>
      <c r="DY51" s="3">
        <v>1.4999999999999999E-2</v>
      </c>
      <c r="DZ51" s="3">
        <v>33.573</v>
      </c>
      <c r="EA51" s="3">
        <v>57.048999999999999</v>
      </c>
      <c r="EB51" s="3">
        <v>61.94</v>
      </c>
      <c r="EC51" s="3">
        <v>77.653999999999996</v>
      </c>
      <c r="ED51" s="3">
        <v>14.56</v>
      </c>
      <c r="EE51" s="3">
        <v>0.20300000000000001</v>
      </c>
      <c r="EF51" s="3">
        <v>46.895000000000003</v>
      </c>
      <c r="EG51" s="3">
        <v>33.991999999999997</v>
      </c>
      <c r="EH51" s="3">
        <v>52.643999999999998</v>
      </c>
      <c r="EI51" s="3">
        <v>12.888</v>
      </c>
      <c r="EJ51" s="3">
        <v>22.181999999999999</v>
      </c>
      <c r="EK51" s="3">
        <v>27.196000000000002</v>
      </c>
      <c r="EL51" s="3">
        <v>51.533999999999999</v>
      </c>
      <c r="EM51" s="3">
        <v>60.905000000000001</v>
      </c>
      <c r="EN51" s="3">
        <v>88.650999999999996</v>
      </c>
      <c r="EO51" s="3">
        <v>75.653000000000006</v>
      </c>
      <c r="EP51" s="3">
        <v>0.2</v>
      </c>
      <c r="EQ51" s="3">
        <v>8.9999999999999993E-3</v>
      </c>
      <c r="ER51" s="3">
        <v>0.61799999999999999</v>
      </c>
      <c r="ES51" s="3">
        <v>5.6000000000000001E-2</v>
      </c>
      <c r="ET51" s="3">
        <v>1.0569999999999999</v>
      </c>
      <c r="EU51" s="3">
        <v>1.2549999999999999</v>
      </c>
      <c r="EV51" s="3">
        <v>1E-3</v>
      </c>
      <c r="EW51" s="3">
        <v>2E-3</v>
      </c>
      <c r="EX51" s="3">
        <v>2E-3</v>
      </c>
      <c r="EY51" s="3">
        <v>2E-3</v>
      </c>
      <c r="EZ51" s="3">
        <v>3.5000000000000003E-2</v>
      </c>
      <c r="FA51" s="3">
        <v>3.0000000000000001E-3</v>
      </c>
      <c r="FB51" s="3">
        <v>0.26600000000000001</v>
      </c>
      <c r="FC51" s="3">
        <v>1.1819999999999999</v>
      </c>
      <c r="FD51" s="3">
        <v>2.0920000000000001</v>
      </c>
      <c r="FE51" s="3">
        <v>0</v>
      </c>
      <c r="FF51" s="3">
        <v>2.8340000000000001</v>
      </c>
      <c r="FG51" s="3">
        <v>4.5469999999999997</v>
      </c>
      <c r="FH51" s="3">
        <v>2.7E-2</v>
      </c>
      <c r="FI51" s="3">
        <v>1.2999999999999999E-2</v>
      </c>
      <c r="FJ51" s="3">
        <v>0.249</v>
      </c>
      <c r="FK51" s="3">
        <v>2.1000000000000001E-2</v>
      </c>
      <c r="FL51" s="3">
        <v>5.5090000000000003</v>
      </c>
      <c r="FM51" s="3">
        <v>4.43</v>
      </c>
      <c r="FN51" s="3">
        <v>1E-3</v>
      </c>
      <c r="FO51" s="3">
        <v>1.7330000000000001</v>
      </c>
      <c r="FP51" s="3">
        <v>1E-3</v>
      </c>
      <c r="FQ51" s="3">
        <v>4.5620000000000003</v>
      </c>
      <c r="FR51" s="3">
        <v>6.508</v>
      </c>
      <c r="FS51" s="3">
        <v>0.87</v>
      </c>
      <c r="FT51" s="3">
        <v>1.712</v>
      </c>
      <c r="FU51" s="3">
        <v>1.98</v>
      </c>
      <c r="FV51" s="3">
        <v>5.6159999999999997</v>
      </c>
      <c r="FW51" s="3">
        <v>4.9340000000000002</v>
      </c>
      <c r="FX51" s="3">
        <v>7.6669999999999998</v>
      </c>
      <c r="FY51" s="3">
        <v>7.93</v>
      </c>
      <c r="FZ51" s="3">
        <v>2.109</v>
      </c>
      <c r="GA51" s="3">
        <v>1.6E-2</v>
      </c>
      <c r="GB51" s="3">
        <v>8.0299999999999994</v>
      </c>
      <c r="GC51" s="3">
        <v>8.3569999999999993</v>
      </c>
      <c r="GD51" s="3">
        <v>0</v>
      </c>
      <c r="GE51" s="3">
        <v>2.89</v>
      </c>
      <c r="GF51" s="3">
        <v>0</v>
      </c>
      <c r="GG51" s="3">
        <v>1.4999999999999999E-2</v>
      </c>
      <c r="GH51" s="3">
        <v>0</v>
      </c>
      <c r="GI51" s="3">
        <v>1.6E-2</v>
      </c>
      <c r="GJ51" s="3">
        <v>2.0779999999999998</v>
      </c>
      <c r="GK51" s="3">
        <v>1</v>
      </c>
      <c r="GL51" s="3">
        <v>7.0919999999999996</v>
      </c>
      <c r="GM51" s="3">
        <v>7.9050000000000002</v>
      </c>
      <c r="GN51" s="3">
        <v>26.9</v>
      </c>
      <c r="GO51" s="3">
        <v>23.306999999999999</v>
      </c>
      <c r="GP51" s="3">
        <v>0</v>
      </c>
      <c r="GQ51" s="3">
        <v>0</v>
      </c>
      <c r="GR51" s="3">
        <v>0</v>
      </c>
      <c r="GS51" s="3">
        <v>0.109</v>
      </c>
      <c r="GT51" s="3">
        <v>44.302</v>
      </c>
      <c r="GU51" s="3">
        <v>1.7350000000000001</v>
      </c>
      <c r="GV51" s="3">
        <v>58.860999999999997</v>
      </c>
      <c r="GW51" s="3">
        <v>62.142000000000003</v>
      </c>
      <c r="GX51" s="3">
        <v>13.324999999999999</v>
      </c>
      <c r="GY51" s="3">
        <v>0</v>
      </c>
      <c r="GZ51" s="3">
        <v>0</v>
      </c>
      <c r="HA51" s="3">
        <v>34.945</v>
      </c>
      <c r="HB51" s="3">
        <v>52.847000000000001</v>
      </c>
      <c r="HC51" s="3">
        <v>0</v>
      </c>
      <c r="HD51" s="3">
        <v>20.573</v>
      </c>
      <c r="HE51" s="3">
        <v>28.446000000000002</v>
      </c>
      <c r="HF51" s="3">
        <v>51.533999999999999</v>
      </c>
      <c r="HG51" s="3">
        <v>53.706000000000003</v>
      </c>
      <c r="HH51" s="3">
        <v>71.067999999999998</v>
      </c>
      <c r="HI51" s="3">
        <v>78.278999999999996</v>
      </c>
      <c r="HJ51" s="3">
        <v>2.4E-2</v>
      </c>
      <c r="HK51" s="3">
        <v>0.13800000000000001</v>
      </c>
      <c r="HL51" s="3">
        <v>0.84099999999999997</v>
      </c>
      <c r="HM51" s="3">
        <v>1.0069999999999999</v>
      </c>
      <c r="HN51" s="3">
        <v>1.0169999999999999</v>
      </c>
      <c r="HO51" s="3">
        <v>1E-3</v>
      </c>
      <c r="HP51" s="3">
        <v>1E-3</v>
      </c>
      <c r="HQ51" s="3">
        <v>2E-3</v>
      </c>
      <c r="HR51" s="3">
        <v>1E-3</v>
      </c>
      <c r="HS51" s="3">
        <v>1.2E-2</v>
      </c>
      <c r="HT51" s="3">
        <v>5.0000000000000001E-3</v>
      </c>
      <c r="HU51" s="3">
        <v>4.0000000000000001E-3</v>
      </c>
      <c r="HV51" s="3">
        <v>1E-3</v>
      </c>
      <c r="HW51" s="3">
        <v>1.036</v>
      </c>
      <c r="HX51" s="3">
        <v>1.851</v>
      </c>
      <c r="HY51" s="3">
        <v>1E-3</v>
      </c>
      <c r="HZ51" s="3">
        <v>2.7879999999999998</v>
      </c>
      <c r="IA51" s="3">
        <v>0</v>
      </c>
      <c r="IB51" s="3">
        <v>3.0000000000000001E-3</v>
      </c>
      <c r="IC51" s="3">
        <v>2E-3</v>
      </c>
      <c r="ID51" s="3">
        <v>0.11700000000000001</v>
      </c>
      <c r="IE51" s="3">
        <v>3.1160000000000001</v>
      </c>
      <c r="IF51" s="3">
        <v>4.7489999999999997</v>
      </c>
      <c r="IG51" s="3">
        <v>4.9740000000000002</v>
      </c>
      <c r="IH51" s="3">
        <v>3.0000000000000001E-3</v>
      </c>
      <c r="II51" s="3">
        <v>3.1230000000000002</v>
      </c>
      <c r="IJ51" s="3">
        <v>4.5149999999999997</v>
      </c>
      <c r="IK51" s="3">
        <v>4.4710000000000001</v>
      </c>
      <c r="IL51" s="3">
        <v>1E-3</v>
      </c>
      <c r="IM51" s="3">
        <v>1E-3</v>
      </c>
      <c r="IN51" s="3">
        <v>2E-3</v>
      </c>
      <c r="IO51" s="3">
        <v>8.5000000000000006E-2</v>
      </c>
      <c r="IP51" s="3">
        <v>5.8120000000000003</v>
      </c>
      <c r="IQ51" s="3">
        <v>5.3949999999999996</v>
      </c>
      <c r="IR51" s="3">
        <v>7.05</v>
      </c>
      <c r="IS51" s="3">
        <v>9.3510000000000009</v>
      </c>
      <c r="IT51" s="3">
        <v>1.4999999999999999E-2</v>
      </c>
      <c r="IU51" s="3">
        <v>2.359</v>
      </c>
      <c r="IV51" s="3">
        <v>7.8579999999999997</v>
      </c>
      <c r="IW51" s="3">
        <v>1.1559999999999999</v>
      </c>
      <c r="IX51" s="3">
        <v>8.5920000000000005</v>
      </c>
      <c r="IY51" s="3">
        <v>9.4E-2</v>
      </c>
      <c r="IZ51" s="3">
        <v>0</v>
      </c>
      <c r="JA51" s="3">
        <v>0</v>
      </c>
      <c r="JB51" s="3">
        <v>1.4999999999999999E-2</v>
      </c>
      <c r="JC51" s="3">
        <v>3.1E-2</v>
      </c>
      <c r="JD51" s="3">
        <v>10.465999999999999</v>
      </c>
      <c r="JE51" s="3">
        <v>3.1E-2</v>
      </c>
      <c r="JF51" s="3">
        <v>8.0760000000000005</v>
      </c>
      <c r="JG51" s="3">
        <v>0</v>
      </c>
      <c r="JH51" s="3">
        <v>0</v>
      </c>
      <c r="JI51" s="3">
        <v>0</v>
      </c>
      <c r="JJ51" s="3">
        <v>0</v>
      </c>
      <c r="JK51" s="3">
        <v>26.369</v>
      </c>
      <c r="JL51" s="3">
        <v>1.6E-2</v>
      </c>
      <c r="JM51" s="3">
        <v>1.4999999999999999E-2</v>
      </c>
      <c r="JN51" s="3">
        <v>39.756999999999998</v>
      </c>
      <c r="JO51" s="3">
        <v>43.067999999999998</v>
      </c>
      <c r="JP51" s="3">
        <v>54.674999999999997</v>
      </c>
      <c r="JQ51" s="3">
        <v>43.271000000000001</v>
      </c>
      <c r="JR51" s="3">
        <v>0</v>
      </c>
      <c r="JS51" s="3">
        <v>19.277000000000001</v>
      </c>
      <c r="JT51" s="3">
        <v>30.977</v>
      </c>
      <c r="JU51" s="3">
        <v>0</v>
      </c>
      <c r="JV51" s="3">
        <v>51.16</v>
      </c>
      <c r="JW51" s="3">
        <v>7.077</v>
      </c>
      <c r="JX51" s="3">
        <v>27.978000000000002</v>
      </c>
      <c r="JY51" s="3">
        <v>22.135999999999999</v>
      </c>
      <c r="JZ51" s="3">
        <v>48.738</v>
      </c>
      <c r="KA51" s="3">
        <v>53.05</v>
      </c>
      <c r="KB51" s="3">
        <v>82.620999999999995</v>
      </c>
      <c r="KC51" s="3">
        <v>89.042000000000002</v>
      </c>
      <c r="KD51" s="3">
        <v>0</v>
      </c>
      <c r="KE51" s="3">
        <v>0.51</v>
      </c>
      <c r="KF51" s="3">
        <v>4.2000000000000003E-2</v>
      </c>
      <c r="KG51" s="3">
        <v>0.80700000000000005</v>
      </c>
      <c r="KH51" s="3">
        <v>1.006</v>
      </c>
      <c r="KI51" s="3">
        <v>1.7030000000000001</v>
      </c>
      <c r="KJ51" s="3">
        <v>8.0000000000000002E-3</v>
      </c>
      <c r="KK51" s="3">
        <v>2E-3</v>
      </c>
      <c r="KL51" s="3">
        <v>3.0000000000000001E-3</v>
      </c>
      <c r="KM51" s="3">
        <v>3.0000000000000001E-3</v>
      </c>
      <c r="KN51" s="3">
        <v>1.7000000000000001E-2</v>
      </c>
      <c r="KO51" s="3">
        <v>6.0000000000000001E-3</v>
      </c>
      <c r="KP51" s="3">
        <v>0</v>
      </c>
      <c r="KQ51" s="3">
        <v>1.25</v>
      </c>
      <c r="KR51" s="3">
        <v>1.379</v>
      </c>
      <c r="KS51" s="3">
        <v>2.9580000000000002</v>
      </c>
      <c r="KT51" s="3">
        <v>1E-3</v>
      </c>
      <c r="KU51" s="3">
        <v>2E-3</v>
      </c>
      <c r="KV51" s="3">
        <v>2E-3</v>
      </c>
      <c r="KW51" s="3">
        <v>3.0000000000000001E-3</v>
      </c>
      <c r="KX51" s="3">
        <v>6.9000000000000006E-2</v>
      </c>
      <c r="KY51" s="3">
        <v>2.1000000000000001E-2</v>
      </c>
      <c r="KZ51" s="3">
        <v>5.6479999999999997</v>
      </c>
      <c r="LA51" s="3">
        <v>5.149</v>
      </c>
      <c r="LB51" s="3">
        <v>1.778</v>
      </c>
      <c r="LC51" s="3">
        <v>0</v>
      </c>
      <c r="LD51" s="3">
        <v>3.4529999999999998</v>
      </c>
      <c r="LE51" s="3">
        <v>4.0659999999999998</v>
      </c>
      <c r="LF51" s="3">
        <v>0</v>
      </c>
      <c r="LG51" s="3">
        <v>3.0000000000000001E-3</v>
      </c>
      <c r="LH51" s="3">
        <v>3.0000000000000001E-3</v>
      </c>
      <c r="LI51" s="3">
        <v>2.2280000000000002</v>
      </c>
      <c r="LJ51" s="3">
        <v>4.9720000000000004</v>
      </c>
      <c r="LK51" s="3">
        <v>5.9850000000000003</v>
      </c>
      <c r="LL51" s="3">
        <v>7.5</v>
      </c>
      <c r="LM51" s="3">
        <v>9.9540000000000006</v>
      </c>
      <c r="LN51" s="3">
        <v>3.1E-2</v>
      </c>
      <c r="LO51" s="3">
        <v>0</v>
      </c>
      <c r="LP51" s="3">
        <v>8.0129999999999999</v>
      </c>
      <c r="LQ51" s="3">
        <v>1.3740000000000001</v>
      </c>
      <c r="LR51" s="3">
        <v>9.6069999999999993</v>
      </c>
      <c r="LS51" s="3">
        <v>8.4510000000000005</v>
      </c>
      <c r="LT51" s="3">
        <v>4.7E-2</v>
      </c>
      <c r="LU51" s="3">
        <v>0</v>
      </c>
      <c r="LV51" s="3">
        <v>1.6E-2</v>
      </c>
      <c r="LW51" s="3">
        <v>6.3E-2</v>
      </c>
      <c r="LX51" s="3">
        <v>9.1850000000000005</v>
      </c>
      <c r="LY51" s="3">
        <v>0.95299999999999996</v>
      </c>
      <c r="LZ51" s="3">
        <v>8.7479999999999993</v>
      </c>
      <c r="MA51" s="3">
        <v>0</v>
      </c>
      <c r="MB51" s="3">
        <v>17.98</v>
      </c>
      <c r="MC51" s="3">
        <v>0</v>
      </c>
      <c r="MD51" s="3">
        <v>28.134</v>
      </c>
      <c r="ME51" s="3">
        <v>0</v>
      </c>
      <c r="MF51" s="3">
        <v>0</v>
      </c>
      <c r="MG51" s="3">
        <v>1.4999999999999999E-2</v>
      </c>
      <c r="MH51" s="3">
        <v>35.585000000000001</v>
      </c>
      <c r="MI51" s="3">
        <v>6.2E-2</v>
      </c>
      <c r="MJ51" s="3">
        <v>49.91</v>
      </c>
      <c r="MK51" s="3">
        <v>56.408999999999999</v>
      </c>
      <c r="ML51" s="3">
        <v>17.917999999999999</v>
      </c>
      <c r="MM51" s="3">
        <v>0</v>
      </c>
      <c r="MN51" s="3">
        <v>33.054000000000002</v>
      </c>
      <c r="MO51" s="3">
        <v>36.225999999999999</v>
      </c>
      <c r="MP51" s="3">
        <v>0</v>
      </c>
      <c r="MQ51" s="3">
        <v>0</v>
      </c>
      <c r="MR51" s="3">
        <v>19.510999999999999</v>
      </c>
      <c r="MS51" s="3">
        <v>2.64</v>
      </c>
      <c r="MT51" s="3">
        <v>49.784999999999997</v>
      </c>
      <c r="MU51" s="3">
        <v>54.44</v>
      </c>
      <c r="MV51" s="3">
        <v>85.542000000000002</v>
      </c>
      <c r="MW51" s="3">
        <v>76.935000000000002</v>
      </c>
    </row>
    <row r="52" spans="1:361" x14ac:dyDescent="0.3">
      <c r="A52" s="3">
        <v>10</v>
      </c>
      <c r="B52" s="3">
        <v>0.502</v>
      </c>
      <c r="C52" s="3">
        <v>0</v>
      </c>
      <c r="D52" s="3">
        <v>0.79600000000000004</v>
      </c>
      <c r="E52" s="3">
        <v>1.032</v>
      </c>
      <c r="F52" s="3">
        <v>1E-3</v>
      </c>
      <c r="G52" s="3">
        <v>1.9330000000000001</v>
      </c>
      <c r="H52" s="3">
        <v>3.0000000000000001E-3</v>
      </c>
      <c r="I52" s="3">
        <v>2E-3</v>
      </c>
      <c r="J52" s="3">
        <v>3.0000000000000001E-3</v>
      </c>
      <c r="K52" s="3">
        <v>1.4999999999999999E-2</v>
      </c>
      <c r="L52" s="3">
        <v>3.1E-2</v>
      </c>
      <c r="M52" s="3">
        <v>2.4E-2</v>
      </c>
      <c r="N52" s="3">
        <v>0.72499999999999998</v>
      </c>
      <c r="O52" s="3">
        <v>0.84699999999999998</v>
      </c>
      <c r="P52" s="3">
        <v>1.964</v>
      </c>
      <c r="Q52" s="3">
        <v>0</v>
      </c>
      <c r="R52" s="3">
        <v>3.0870000000000002</v>
      </c>
      <c r="S52" s="3">
        <v>3.0649999999999999</v>
      </c>
      <c r="T52" s="3">
        <v>2E-3</v>
      </c>
      <c r="U52" s="3">
        <v>7.0000000000000001E-3</v>
      </c>
      <c r="V52" s="3">
        <v>0.84599999999999997</v>
      </c>
      <c r="W52" s="3">
        <v>2.4710000000000001</v>
      </c>
      <c r="X52" s="3">
        <v>3.8809999999999998</v>
      </c>
      <c r="Y52" s="3">
        <v>4.7919999999999998</v>
      </c>
      <c r="Z52" s="3">
        <v>1.57</v>
      </c>
      <c r="AA52" s="3">
        <v>3.6749999999999998</v>
      </c>
      <c r="AB52" s="3">
        <v>4.5259999999999998</v>
      </c>
      <c r="AC52" s="3">
        <v>4.0529999999999999</v>
      </c>
      <c r="AD52" s="3">
        <v>4.7649999999999997</v>
      </c>
      <c r="AE52" s="3">
        <v>0</v>
      </c>
      <c r="AF52" s="3">
        <v>2.7090000000000001</v>
      </c>
      <c r="AG52" s="3">
        <v>2.1930000000000001</v>
      </c>
      <c r="AH52" s="3">
        <v>5.3869999999999996</v>
      </c>
      <c r="AI52" s="3">
        <v>5.2880000000000003</v>
      </c>
      <c r="AJ52" s="3">
        <v>5.7069999999999999</v>
      </c>
      <c r="AK52" s="3">
        <v>9.0239999999999991</v>
      </c>
      <c r="AL52" s="3">
        <v>1.6E-2</v>
      </c>
      <c r="AM52" s="3">
        <v>0</v>
      </c>
      <c r="AN52" s="3">
        <v>7.4359999999999999</v>
      </c>
      <c r="AO52" s="3">
        <v>0.14099999999999999</v>
      </c>
      <c r="AP52" s="3">
        <v>8.4510000000000005</v>
      </c>
      <c r="AQ52" s="3">
        <v>0.125</v>
      </c>
      <c r="AR52" s="3">
        <v>0</v>
      </c>
      <c r="AS52" s="3">
        <v>0</v>
      </c>
      <c r="AT52" s="3">
        <v>0</v>
      </c>
      <c r="AU52" s="3">
        <v>1.4999999999999999E-2</v>
      </c>
      <c r="AV52" s="3">
        <v>0.59399999999999997</v>
      </c>
      <c r="AW52" s="3">
        <v>7.9000000000000001E-2</v>
      </c>
      <c r="AX52" s="3">
        <v>0</v>
      </c>
      <c r="AY52" s="3">
        <v>8.3729999999999993</v>
      </c>
      <c r="AZ52" s="3">
        <v>23.181999999999999</v>
      </c>
      <c r="BA52" s="3">
        <v>3.702</v>
      </c>
      <c r="BB52" s="3">
        <v>25.306999999999999</v>
      </c>
      <c r="BC52" s="3">
        <v>31.54</v>
      </c>
      <c r="BD52" s="3">
        <v>0</v>
      </c>
      <c r="BE52" s="3">
        <v>1.4999999999999999E-2</v>
      </c>
      <c r="BF52" s="3">
        <v>7.0759999999999996</v>
      </c>
      <c r="BG52" s="3">
        <v>25.446999999999999</v>
      </c>
      <c r="BH52" s="3">
        <v>48.567</v>
      </c>
      <c r="BI52" s="3">
        <v>79.575000000000003</v>
      </c>
      <c r="BJ52" s="3">
        <v>11.574999999999999</v>
      </c>
      <c r="BK52" s="3">
        <v>19.323</v>
      </c>
      <c r="BL52" s="3">
        <v>0</v>
      </c>
      <c r="BM52" s="3">
        <v>39.619999999999997</v>
      </c>
      <c r="BN52" s="3">
        <v>54.331000000000003</v>
      </c>
      <c r="BO52" s="3">
        <v>61.97</v>
      </c>
      <c r="BP52" s="3">
        <v>29.664999999999999</v>
      </c>
      <c r="BQ52" s="3">
        <v>6.42</v>
      </c>
      <c r="BR52" s="3">
        <v>54.814999999999998</v>
      </c>
      <c r="BS52" s="3">
        <v>55.533999999999999</v>
      </c>
      <c r="BT52" s="3">
        <v>74.715999999999994</v>
      </c>
      <c r="BU52" s="3">
        <v>82.480999999999995</v>
      </c>
      <c r="BV52" s="3">
        <v>0.12</v>
      </c>
      <c r="BW52" s="3">
        <v>0</v>
      </c>
      <c r="BX52" s="3">
        <v>0.69599999999999995</v>
      </c>
      <c r="BY52" s="3">
        <v>1.0169999999999999</v>
      </c>
      <c r="BZ52" s="3">
        <v>0.96299999999999997</v>
      </c>
      <c r="CA52" s="3">
        <v>1.034</v>
      </c>
      <c r="CB52" s="3">
        <v>3.0000000000000001E-3</v>
      </c>
      <c r="CC52" s="3">
        <v>4.0000000000000001E-3</v>
      </c>
      <c r="CD52" s="3">
        <v>2E-3</v>
      </c>
      <c r="CE52" s="3">
        <v>2E-3</v>
      </c>
      <c r="CF52" s="3">
        <v>5.7000000000000002E-2</v>
      </c>
      <c r="CG52" s="3">
        <v>8.0000000000000002E-3</v>
      </c>
      <c r="CH52" s="3">
        <v>0.92600000000000005</v>
      </c>
      <c r="CI52" s="3">
        <v>0</v>
      </c>
      <c r="CJ52" s="3">
        <v>1.893</v>
      </c>
      <c r="CK52" s="3">
        <v>1.988</v>
      </c>
      <c r="CL52" s="3">
        <v>0</v>
      </c>
      <c r="CM52" s="3">
        <v>1E-3</v>
      </c>
      <c r="CN52" s="3">
        <v>2E-3</v>
      </c>
      <c r="CO52" s="3">
        <v>2.1999999999999999E-2</v>
      </c>
      <c r="CP52" s="3">
        <v>2.6970000000000001</v>
      </c>
      <c r="CQ52" s="3">
        <v>2.1000000000000001E-2</v>
      </c>
      <c r="CR52" s="3">
        <v>5.069</v>
      </c>
      <c r="CS52" s="3">
        <v>3.819</v>
      </c>
      <c r="CT52" s="3">
        <v>0</v>
      </c>
      <c r="CU52" s="3">
        <v>0</v>
      </c>
      <c r="CV52" s="3">
        <v>0</v>
      </c>
      <c r="CW52" s="3">
        <v>8.9999999999999993E-3</v>
      </c>
      <c r="CX52" s="3">
        <v>0</v>
      </c>
      <c r="CY52" s="3">
        <v>6.9000000000000006E-2</v>
      </c>
      <c r="CZ52" s="3">
        <v>4.0000000000000001E-3</v>
      </c>
      <c r="DA52" s="3">
        <v>7.4999999999999997E-2</v>
      </c>
      <c r="DB52" s="3">
        <v>6.968</v>
      </c>
      <c r="DC52" s="3">
        <v>7.6369999999999996</v>
      </c>
      <c r="DD52" s="3">
        <v>8.0030000000000001</v>
      </c>
      <c r="DE52" s="3">
        <v>9.234</v>
      </c>
      <c r="DF52" s="3">
        <v>4.7E-2</v>
      </c>
      <c r="DG52" s="3">
        <v>3.2330000000000001</v>
      </c>
      <c r="DH52" s="3">
        <v>0</v>
      </c>
      <c r="DI52" s="3">
        <v>8.8260000000000005</v>
      </c>
      <c r="DJ52" s="3">
        <v>0</v>
      </c>
      <c r="DK52" s="3">
        <v>9.0760000000000005</v>
      </c>
      <c r="DL52" s="3">
        <v>0</v>
      </c>
      <c r="DM52" s="3">
        <v>1.4999999999999999E-2</v>
      </c>
      <c r="DN52" s="3">
        <v>3.2000000000000001E-2</v>
      </c>
      <c r="DO52" s="3">
        <v>1.6E-2</v>
      </c>
      <c r="DP52" s="3">
        <v>0.28100000000000003</v>
      </c>
      <c r="DQ52" s="3">
        <v>0.60899999999999999</v>
      </c>
      <c r="DR52" s="3">
        <v>0</v>
      </c>
      <c r="DS52" s="3">
        <v>0</v>
      </c>
      <c r="DT52" s="3">
        <v>21.681999999999999</v>
      </c>
      <c r="DU52" s="3">
        <v>15.622</v>
      </c>
      <c r="DV52" s="3">
        <v>0</v>
      </c>
      <c r="DW52" s="3">
        <v>0</v>
      </c>
      <c r="DX52" s="3">
        <v>3.2000000000000001E-2</v>
      </c>
      <c r="DY52" s="3">
        <v>0.157</v>
      </c>
      <c r="DZ52" s="3">
        <v>36.148000000000003</v>
      </c>
      <c r="EA52" s="3">
        <v>55.956000000000003</v>
      </c>
      <c r="EB52" s="3">
        <v>65.733999999999995</v>
      </c>
      <c r="EC52" s="3">
        <v>66.968999999999994</v>
      </c>
      <c r="ED52" s="3">
        <v>14.683999999999999</v>
      </c>
      <c r="EE52" s="3">
        <v>9.4E-2</v>
      </c>
      <c r="EF52" s="3">
        <v>48.52</v>
      </c>
      <c r="EG52" s="3">
        <v>34.07</v>
      </c>
      <c r="EH52" s="3">
        <v>52.738</v>
      </c>
      <c r="EI52" s="3">
        <v>53.572000000000003</v>
      </c>
      <c r="EJ52" s="3">
        <v>21.073</v>
      </c>
      <c r="EK52" s="3">
        <v>27.01</v>
      </c>
      <c r="EL52" s="3">
        <v>47.332999999999998</v>
      </c>
      <c r="EM52" s="3">
        <v>56.69</v>
      </c>
      <c r="EN52" s="3">
        <v>92.712999999999994</v>
      </c>
      <c r="EO52" s="3">
        <v>82.137</v>
      </c>
      <c r="EP52" s="3">
        <v>0.23899999999999999</v>
      </c>
      <c r="EQ52" s="3">
        <v>6.0000000000000001E-3</v>
      </c>
      <c r="ER52" s="3">
        <v>0.67400000000000004</v>
      </c>
      <c r="ES52" s="3">
        <v>6.0000000000000001E-3</v>
      </c>
      <c r="ET52" s="3">
        <v>1.0269999999999999</v>
      </c>
      <c r="EU52" s="3">
        <v>1.294</v>
      </c>
      <c r="EV52" s="3">
        <v>2E-3</v>
      </c>
      <c r="EW52" s="3">
        <v>2E-3</v>
      </c>
      <c r="EX52" s="3">
        <v>2E-3</v>
      </c>
      <c r="EY52" s="3">
        <v>4.0000000000000001E-3</v>
      </c>
      <c r="EZ52" s="3">
        <v>0.25</v>
      </c>
      <c r="FA52" s="3">
        <v>6.0000000000000001E-3</v>
      </c>
      <c r="FB52" s="3">
        <v>0.04</v>
      </c>
      <c r="FC52" s="3">
        <v>1.0409999999999999</v>
      </c>
      <c r="FD52" s="3">
        <v>1.909</v>
      </c>
      <c r="FE52" s="3">
        <v>0</v>
      </c>
      <c r="FF52" s="3">
        <v>3.0830000000000002</v>
      </c>
      <c r="FG52" s="3">
        <v>3.7829999999999999</v>
      </c>
      <c r="FH52" s="3">
        <v>2E-3</v>
      </c>
      <c r="FI52" s="3">
        <v>1.0999999999999999E-2</v>
      </c>
      <c r="FJ52" s="3">
        <v>0.67200000000000004</v>
      </c>
      <c r="FK52" s="3">
        <v>3.2000000000000001E-2</v>
      </c>
      <c r="FL52" s="3">
        <v>6.2809999999999997</v>
      </c>
      <c r="FM52" s="3">
        <v>4.0209999999999999</v>
      </c>
      <c r="FN52" s="3">
        <v>1E-3</v>
      </c>
      <c r="FO52" s="3">
        <v>1.9530000000000001</v>
      </c>
      <c r="FP52" s="3">
        <v>0</v>
      </c>
      <c r="FQ52" s="3">
        <v>4.5620000000000003</v>
      </c>
      <c r="FR52" s="3">
        <v>6.1840000000000002</v>
      </c>
      <c r="FS52" s="3">
        <v>0.36599999999999999</v>
      </c>
      <c r="FT52" s="3">
        <v>1.6060000000000001</v>
      </c>
      <c r="FU52" s="3">
        <v>2.1080000000000001</v>
      </c>
      <c r="FV52" s="3">
        <v>5.26</v>
      </c>
      <c r="FW52" s="3">
        <v>4.3840000000000003</v>
      </c>
      <c r="FX52" s="3">
        <v>8.2799999999999994</v>
      </c>
      <c r="FY52" s="3">
        <v>7.8639999999999999</v>
      </c>
      <c r="FZ52" s="3">
        <v>2.093</v>
      </c>
      <c r="GA52" s="3">
        <v>1.4999999999999999E-2</v>
      </c>
      <c r="GB52" s="3">
        <v>7.2789999999999999</v>
      </c>
      <c r="GC52" s="3">
        <v>8.7789999999999999</v>
      </c>
      <c r="GD52" s="3">
        <v>0</v>
      </c>
      <c r="GE52" s="3">
        <v>0.67200000000000004</v>
      </c>
      <c r="GF52" s="3">
        <v>0</v>
      </c>
      <c r="GG52" s="3">
        <v>1.6E-2</v>
      </c>
      <c r="GH52" s="3">
        <v>0</v>
      </c>
      <c r="GI52" s="3">
        <v>0.17199999999999999</v>
      </c>
      <c r="GJ52" s="3">
        <v>7.8E-2</v>
      </c>
      <c r="GK52" s="3">
        <v>1.3740000000000001</v>
      </c>
      <c r="GL52" s="3">
        <v>7.4039999999999999</v>
      </c>
      <c r="GM52" s="3">
        <v>8.2789999999999999</v>
      </c>
      <c r="GN52" s="3">
        <v>24.228999999999999</v>
      </c>
      <c r="GO52" s="3">
        <v>22.431999999999999</v>
      </c>
      <c r="GP52" s="3">
        <v>0</v>
      </c>
      <c r="GQ52" s="3">
        <v>1.6E-2</v>
      </c>
      <c r="GR52" s="3">
        <v>0</v>
      </c>
      <c r="GS52" s="3">
        <v>0.126</v>
      </c>
      <c r="GT52" s="3">
        <v>43.521000000000001</v>
      </c>
      <c r="GU52" s="3">
        <v>5.3730000000000002</v>
      </c>
      <c r="GV52" s="3">
        <v>57.116999999999997</v>
      </c>
      <c r="GW52" s="3">
        <v>59.673999999999999</v>
      </c>
      <c r="GX52" s="3">
        <v>12.887</v>
      </c>
      <c r="GY52" s="3">
        <v>0</v>
      </c>
      <c r="GZ52" s="3">
        <v>1.6E-2</v>
      </c>
      <c r="HA52" s="3">
        <v>35.304000000000002</v>
      </c>
      <c r="HB52" s="3">
        <v>52.27</v>
      </c>
      <c r="HC52" s="3">
        <v>0</v>
      </c>
      <c r="HD52" s="3">
        <v>21.385000000000002</v>
      </c>
      <c r="HE52" s="3">
        <v>26.166</v>
      </c>
      <c r="HF52" s="3">
        <v>47.332999999999998</v>
      </c>
      <c r="HG52" s="3">
        <v>49.411000000000001</v>
      </c>
      <c r="HH52" s="3">
        <v>78.075999999999993</v>
      </c>
      <c r="HI52" s="3">
        <v>84.855000000000004</v>
      </c>
      <c r="HJ52" s="3">
        <v>2.7E-2</v>
      </c>
      <c r="HK52" s="3">
        <v>0.13600000000000001</v>
      </c>
      <c r="HL52" s="3">
        <v>0.83799999999999997</v>
      </c>
      <c r="HM52" s="3">
        <v>0.19600000000000001</v>
      </c>
      <c r="HN52" s="3">
        <v>0.93700000000000006</v>
      </c>
      <c r="HO52" s="3">
        <v>3.0000000000000001E-3</v>
      </c>
      <c r="HP52" s="3">
        <v>1E-3</v>
      </c>
      <c r="HQ52" s="3">
        <v>4.0000000000000001E-3</v>
      </c>
      <c r="HR52" s="3">
        <v>2E-3</v>
      </c>
      <c r="HS52" s="3">
        <v>1.2E-2</v>
      </c>
      <c r="HT52" s="3">
        <v>1.0999999999999999E-2</v>
      </c>
      <c r="HU52" s="3">
        <v>6.0000000000000001E-3</v>
      </c>
      <c r="HV52" s="3">
        <v>0</v>
      </c>
      <c r="HW52" s="3">
        <v>1.0369999999999999</v>
      </c>
      <c r="HX52" s="3">
        <v>1.889</v>
      </c>
      <c r="HY52" s="3">
        <v>0</v>
      </c>
      <c r="HZ52" s="3">
        <v>2.968</v>
      </c>
      <c r="IA52" s="3">
        <v>0</v>
      </c>
      <c r="IB52" s="3">
        <v>1.0999999999999999E-2</v>
      </c>
      <c r="IC52" s="3">
        <v>3.0000000000000001E-3</v>
      </c>
      <c r="ID52" s="3">
        <v>0.15</v>
      </c>
      <c r="IE52" s="3">
        <v>3.1509999999999998</v>
      </c>
      <c r="IF52" s="3">
        <v>4.9249999999999998</v>
      </c>
      <c r="IG52" s="3">
        <v>5.0919999999999996</v>
      </c>
      <c r="IH52" s="3">
        <v>5.0000000000000001E-3</v>
      </c>
      <c r="II52" s="3">
        <v>3.4910000000000001</v>
      </c>
      <c r="IJ52" s="3">
        <v>4.4989999999999997</v>
      </c>
      <c r="IK52" s="3">
        <v>4.4649999999999999</v>
      </c>
      <c r="IL52" s="3">
        <v>0</v>
      </c>
      <c r="IM52" s="3">
        <v>0</v>
      </c>
      <c r="IN52" s="3">
        <v>1.2999999999999999E-2</v>
      </c>
      <c r="IO52" s="3">
        <v>4.5999999999999999E-2</v>
      </c>
      <c r="IP52" s="3">
        <v>5.8019999999999996</v>
      </c>
      <c r="IQ52" s="3">
        <v>5.3689999999999998</v>
      </c>
      <c r="IR52" s="3">
        <v>7.0789999999999997</v>
      </c>
      <c r="IS52" s="3">
        <v>8.8819999999999997</v>
      </c>
      <c r="IT52" s="3">
        <v>1.6E-2</v>
      </c>
      <c r="IU52" s="3">
        <v>2.343</v>
      </c>
      <c r="IV52" s="3">
        <v>7.1230000000000002</v>
      </c>
      <c r="IW52" s="3">
        <v>1.234</v>
      </c>
      <c r="IX52" s="3">
        <v>7.8890000000000002</v>
      </c>
      <c r="IY52" s="3">
        <v>0.51600000000000001</v>
      </c>
      <c r="IZ52" s="3">
        <v>1.6E-2</v>
      </c>
      <c r="JA52" s="3">
        <v>0</v>
      </c>
      <c r="JB52" s="3">
        <v>0.17199999999999999</v>
      </c>
      <c r="JC52" s="3">
        <v>9.4E-2</v>
      </c>
      <c r="JD52" s="3">
        <v>6.14</v>
      </c>
      <c r="JE52" s="3">
        <v>6.3E-2</v>
      </c>
      <c r="JF52" s="3">
        <v>8.42</v>
      </c>
      <c r="JG52" s="3">
        <v>0</v>
      </c>
      <c r="JH52" s="3">
        <v>0</v>
      </c>
      <c r="JI52" s="3">
        <v>1.4999999999999999E-2</v>
      </c>
      <c r="JJ52" s="3">
        <v>0</v>
      </c>
      <c r="JK52" s="3">
        <v>27.321999999999999</v>
      </c>
      <c r="JL52" s="3">
        <v>3.1E-2</v>
      </c>
      <c r="JM52" s="3">
        <v>1.6E-2</v>
      </c>
      <c r="JN52" s="3">
        <v>39.161999999999999</v>
      </c>
      <c r="JO52" s="3">
        <v>44.973999999999997</v>
      </c>
      <c r="JP52" s="3">
        <v>49.972999999999999</v>
      </c>
      <c r="JQ52" s="3">
        <v>51.143999999999998</v>
      </c>
      <c r="JR52" s="3">
        <v>0</v>
      </c>
      <c r="JS52" s="3">
        <v>21.853999999999999</v>
      </c>
      <c r="JT52" s="3">
        <v>30.931000000000001</v>
      </c>
      <c r="JU52" s="3">
        <v>0</v>
      </c>
      <c r="JV52" s="3">
        <v>51.8</v>
      </c>
      <c r="JW52" s="3">
        <v>50.91</v>
      </c>
      <c r="JX52" s="3">
        <v>28.134</v>
      </c>
      <c r="JY52" s="3">
        <v>23.135000000000002</v>
      </c>
      <c r="JZ52" s="3">
        <v>44.942999999999998</v>
      </c>
      <c r="KA52" s="3">
        <v>55.253</v>
      </c>
      <c r="KB52" s="3">
        <v>76.981999999999999</v>
      </c>
      <c r="KC52" s="3">
        <v>76.090999999999994</v>
      </c>
      <c r="KD52" s="3">
        <v>2E-3</v>
      </c>
      <c r="KE52" s="3">
        <v>0.48499999999999999</v>
      </c>
      <c r="KF52" s="3">
        <v>3.0000000000000001E-3</v>
      </c>
      <c r="KG52" s="3">
        <v>0.82399999999999995</v>
      </c>
      <c r="KH52" s="3">
        <v>0.96</v>
      </c>
      <c r="KI52" s="3">
        <v>1.2669999999999999</v>
      </c>
      <c r="KJ52" s="3">
        <v>1E-3</v>
      </c>
      <c r="KK52" s="3">
        <v>3.0000000000000001E-3</v>
      </c>
      <c r="KL52" s="3">
        <v>2E-3</v>
      </c>
      <c r="KM52" s="3">
        <v>6.0000000000000001E-3</v>
      </c>
      <c r="KN52" s="3">
        <v>2.3E-2</v>
      </c>
      <c r="KO52" s="3">
        <v>1.2E-2</v>
      </c>
      <c r="KP52" s="3">
        <v>0</v>
      </c>
      <c r="KQ52" s="3">
        <v>1.339</v>
      </c>
      <c r="KR52" s="3">
        <v>1.458</v>
      </c>
      <c r="KS52" s="3">
        <v>2.903</v>
      </c>
      <c r="KT52" s="3">
        <v>0</v>
      </c>
      <c r="KU52" s="3">
        <v>1E-3</v>
      </c>
      <c r="KV52" s="3">
        <v>2E-3</v>
      </c>
      <c r="KW52" s="3">
        <v>2E-3</v>
      </c>
      <c r="KX52" s="3">
        <v>4.9000000000000002E-2</v>
      </c>
      <c r="KY52" s="3">
        <v>0.04</v>
      </c>
      <c r="KZ52" s="3">
        <v>5.5970000000000004</v>
      </c>
      <c r="LA52" s="3">
        <v>5.5529999999999999</v>
      </c>
      <c r="LB52" s="3">
        <v>1.6990000000000001</v>
      </c>
      <c r="LC52" s="3">
        <v>0</v>
      </c>
      <c r="LD52" s="3">
        <v>3.6429999999999998</v>
      </c>
      <c r="LE52" s="3">
        <v>3.863</v>
      </c>
      <c r="LF52" s="3">
        <v>1E-3</v>
      </c>
      <c r="LG52" s="3">
        <v>0</v>
      </c>
      <c r="LH52" s="3">
        <v>3.0000000000000001E-3</v>
      </c>
      <c r="LI52" s="3">
        <v>2.165</v>
      </c>
      <c r="LJ52" s="3">
        <v>4.9880000000000004</v>
      </c>
      <c r="LK52" s="3">
        <v>6.2590000000000003</v>
      </c>
      <c r="LL52" s="3">
        <v>7.52</v>
      </c>
      <c r="LM52" s="3">
        <v>8.8789999999999996</v>
      </c>
      <c r="LN52" s="3">
        <v>1.6E-2</v>
      </c>
      <c r="LO52" s="3">
        <v>1.6E-2</v>
      </c>
      <c r="LP52" s="3">
        <v>6.9359999999999999</v>
      </c>
      <c r="LQ52" s="3">
        <v>6.8109999999999999</v>
      </c>
      <c r="LR52" s="3">
        <v>8.7799999999999994</v>
      </c>
      <c r="LS52" s="3">
        <v>10.154</v>
      </c>
      <c r="LT52" s="3">
        <v>1.6E-2</v>
      </c>
      <c r="LU52" s="3">
        <v>1.4999999999999999E-2</v>
      </c>
      <c r="LV52" s="3">
        <v>1.6E-2</v>
      </c>
      <c r="LW52" s="3">
        <v>1.4999999999999999E-2</v>
      </c>
      <c r="LX52" s="3">
        <v>3.234</v>
      </c>
      <c r="LY52" s="3">
        <v>0.437</v>
      </c>
      <c r="LZ52" s="3">
        <v>8.67</v>
      </c>
      <c r="MA52" s="3">
        <v>0</v>
      </c>
      <c r="MB52" s="3">
        <v>16.542999999999999</v>
      </c>
      <c r="MC52" s="3">
        <v>0</v>
      </c>
      <c r="MD52" s="3">
        <v>28.946000000000002</v>
      </c>
      <c r="ME52" s="3">
        <v>0</v>
      </c>
      <c r="MF52" s="3">
        <v>1.4999999999999999E-2</v>
      </c>
      <c r="MG52" s="3">
        <v>3.1E-2</v>
      </c>
      <c r="MH52" s="3">
        <v>32.588000000000001</v>
      </c>
      <c r="MI52" s="3">
        <v>0.32800000000000001</v>
      </c>
      <c r="MJ52" s="3">
        <v>47.253999999999998</v>
      </c>
      <c r="MK52" s="3">
        <v>58.83</v>
      </c>
      <c r="ML52" s="3">
        <v>17.167000000000002</v>
      </c>
      <c r="MM52" s="3">
        <v>0</v>
      </c>
      <c r="MN52" s="3">
        <v>32.993000000000002</v>
      </c>
      <c r="MO52" s="3">
        <v>39.584000000000003</v>
      </c>
      <c r="MP52" s="3">
        <v>0</v>
      </c>
      <c r="MQ52" s="3">
        <v>0</v>
      </c>
      <c r="MR52" s="3">
        <v>18.652000000000001</v>
      </c>
      <c r="MS52" s="3">
        <v>1.546</v>
      </c>
      <c r="MT52" s="3">
        <v>54.643999999999998</v>
      </c>
      <c r="MU52" s="3">
        <v>47.832000000000001</v>
      </c>
      <c r="MV52" s="3">
        <v>88.165999999999997</v>
      </c>
      <c r="MW52" s="3">
        <v>82.355000000000004</v>
      </c>
    </row>
    <row r="53" spans="1:361" x14ac:dyDescent="0.3">
      <c r="A53" s="3">
        <v>11</v>
      </c>
      <c r="B53" s="3">
        <v>0.42599999999999999</v>
      </c>
      <c r="C53" s="3">
        <v>0</v>
      </c>
      <c r="D53" s="3">
        <v>0.77100000000000002</v>
      </c>
      <c r="E53" s="3">
        <v>1.107</v>
      </c>
      <c r="F53" s="3">
        <v>2E-3</v>
      </c>
      <c r="G53" s="3">
        <v>1.5880000000000001</v>
      </c>
      <c r="H53" s="3">
        <v>1E-3</v>
      </c>
      <c r="I53" s="3">
        <v>2E-3</v>
      </c>
      <c r="J53" s="3">
        <v>1E-3</v>
      </c>
      <c r="K53" s="3">
        <v>2.1999999999999999E-2</v>
      </c>
      <c r="L53" s="3">
        <v>6.0000000000000001E-3</v>
      </c>
      <c r="M53" s="3">
        <v>7.2999999999999995E-2</v>
      </c>
      <c r="N53" s="3">
        <v>0.71</v>
      </c>
      <c r="O53" s="3">
        <v>0.76300000000000001</v>
      </c>
      <c r="P53" s="3">
        <v>2.0310000000000001</v>
      </c>
      <c r="Q53" s="3">
        <v>0</v>
      </c>
      <c r="R53" s="3">
        <v>3.137</v>
      </c>
      <c r="S53" s="3">
        <v>3.0739999999999998</v>
      </c>
      <c r="T53" s="3">
        <v>1E-3</v>
      </c>
      <c r="U53" s="3">
        <v>3.0000000000000001E-3</v>
      </c>
      <c r="V53" s="3">
        <v>1.7929999999999999</v>
      </c>
      <c r="W53" s="3">
        <v>2.625</v>
      </c>
      <c r="X53" s="3">
        <v>4.2619999999999996</v>
      </c>
      <c r="Y53" s="3">
        <v>4.609</v>
      </c>
      <c r="Z53" s="3">
        <v>1.5629999999999999</v>
      </c>
      <c r="AA53" s="3">
        <v>2.5670000000000002</v>
      </c>
      <c r="AB53" s="3">
        <v>4.5179999999999998</v>
      </c>
      <c r="AC53" s="3">
        <v>3.782</v>
      </c>
      <c r="AD53" s="3">
        <v>4.4720000000000004</v>
      </c>
      <c r="AE53" s="3">
        <v>1E-3</v>
      </c>
      <c r="AF53" s="3">
        <v>2.1960000000000002</v>
      </c>
      <c r="AG53" s="3">
        <v>2.133</v>
      </c>
      <c r="AH53" s="3">
        <v>5.4210000000000003</v>
      </c>
      <c r="AI53" s="3">
        <v>5.21</v>
      </c>
      <c r="AJ53" s="3">
        <v>5.6980000000000004</v>
      </c>
      <c r="AK53" s="3">
        <v>8.7870000000000008</v>
      </c>
      <c r="AL53" s="3">
        <v>0</v>
      </c>
      <c r="AM53" s="3">
        <v>0</v>
      </c>
      <c r="AN53" s="3">
        <v>7.1859999999999999</v>
      </c>
      <c r="AO53" s="3">
        <v>1.6E-2</v>
      </c>
      <c r="AP53" s="3">
        <v>8.6379999999999999</v>
      </c>
      <c r="AQ53" s="3">
        <v>0.28100000000000003</v>
      </c>
      <c r="AR53" s="3">
        <v>0</v>
      </c>
      <c r="AS53" s="3">
        <v>1.4999999999999999E-2</v>
      </c>
      <c r="AT53" s="3">
        <v>1.6E-2</v>
      </c>
      <c r="AU53" s="3">
        <v>0.11</v>
      </c>
      <c r="AV53" s="3">
        <v>1.577</v>
      </c>
      <c r="AW53" s="3">
        <v>0.67100000000000004</v>
      </c>
      <c r="AX53" s="3">
        <v>0</v>
      </c>
      <c r="AY53" s="3">
        <v>7.9829999999999997</v>
      </c>
      <c r="AZ53" s="3">
        <v>20.010000000000002</v>
      </c>
      <c r="BA53" s="3">
        <v>0.5</v>
      </c>
      <c r="BB53" s="3">
        <v>27.212</v>
      </c>
      <c r="BC53" s="3">
        <v>30.774000000000001</v>
      </c>
      <c r="BD53" s="3">
        <v>4.7E-2</v>
      </c>
      <c r="BE53" s="3">
        <v>1.6E-2</v>
      </c>
      <c r="BF53" s="3">
        <v>24.978999999999999</v>
      </c>
      <c r="BG53" s="3">
        <v>29.914999999999999</v>
      </c>
      <c r="BH53" s="3">
        <v>47.24</v>
      </c>
      <c r="BI53" s="3">
        <v>70.89</v>
      </c>
      <c r="BJ53" s="3">
        <v>11.669</v>
      </c>
      <c r="BK53" s="3">
        <v>19.683</v>
      </c>
      <c r="BL53" s="3">
        <v>0</v>
      </c>
      <c r="BM53" s="3">
        <v>44.927</v>
      </c>
      <c r="BN53" s="3">
        <v>54.1</v>
      </c>
      <c r="BO53" s="3">
        <v>61.735999999999997</v>
      </c>
      <c r="BP53" s="3">
        <v>30.218</v>
      </c>
      <c r="BQ53" s="3">
        <v>4.702</v>
      </c>
      <c r="BR53" s="3">
        <v>57.298999999999999</v>
      </c>
      <c r="BS53" s="3">
        <v>57.255000000000003</v>
      </c>
      <c r="BT53" s="3">
        <v>81.980999999999995</v>
      </c>
      <c r="BU53" s="3">
        <v>74.185000000000002</v>
      </c>
      <c r="BV53" s="3">
        <v>0.13100000000000001</v>
      </c>
      <c r="BW53" s="3">
        <v>1E-3</v>
      </c>
      <c r="BX53" s="3">
        <v>0.66400000000000003</v>
      </c>
      <c r="BY53" s="3">
        <v>0.875</v>
      </c>
      <c r="BZ53" s="3">
        <v>1.1100000000000001</v>
      </c>
      <c r="CA53" s="3">
        <v>1.123</v>
      </c>
      <c r="CB53" s="3">
        <v>2E-3</v>
      </c>
      <c r="CC53" s="3">
        <v>3.0000000000000001E-3</v>
      </c>
      <c r="CD53" s="3">
        <v>3.0000000000000001E-3</v>
      </c>
      <c r="CE53" s="3">
        <v>2E-3</v>
      </c>
      <c r="CF53" s="3">
        <v>1.4E-2</v>
      </c>
      <c r="CG53" s="3">
        <v>7.0000000000000001E-3</v>
      </c>
      <c r="CH53" s="3">
        <v>0.96299999999999997</v>
      </c>
      <c r="CI53" s="3">
        <v>1E-3</v>
      </c>
      <c r="CJ53" s="3">
        <v>1.7609999999999999</v>
      </c>
      <c r="CK53" s="3">
        <v>2.1520000000000001</v>
      </c>
      <c r="CL53" s="3">
        <v>0</v>
      </c>
      <c r="CM53" s="3">
        <v>0</v>
      </c>
      <c r="CN53" s="3">
        <v>2E-3</v>
      </c>
      <c r="CO53" s="3">
        <v>1.6E-2</v>
      </c>
      <c r="CP53" s="3">
        <v>3.9740000000000002</v>
      </c>
      <c r="CQ53" s="3">
        <v>5.3999999999999999E-2</v>
      </c>
      <c r="CR53" s="3">
        <v>5.2850000000000001</v>
      </c>
      <c r="CS53" s="3">
        <v>4.0999999999999996</v>
      </c>
      <c r="CT53" s="3">
        <v>0</v>
      </c>
      <c r="CU53" s="3">
        <v>0</v>
      </c>
      <c r="CV53" s="3">
        <v>1E-3</v>
      </c>
      <c r="CW53" s="3">
        <v>1E-3</v>
      </c>
      <c r="CX53" s="3">
        <v>1E-3</v>
      </c>
      <c r="CY53" s="3">
        <v>2E-3</v>
      </c>
      <c r="CZ53" s="3">
        <v>2E-3</v>
      </c>
      <c r="DA53" s="3">
        <v>7.0000000000000001E-3</v>
      </c>
      <c r="DB53" s="3">
        <v>6.5629999999999997</v>
      </c>
      <c r="DC53" s="3">
        <v>7.3369999999999997</v>
      </c>
      <c r="DD53" s="3">
        <v>8.3610000000000007</v>
      </c>
      <c r="DE53" s="3">
        <v>8.2710000000000008</v>
      </c>
      <c r="DF53" s="3">
        <v>1.6E-2</v>
      </c>
      <c r="DG53" s="3">
        <v>3.375</v>
      </c>
      <c r="DH53" s="3">
        <v>0</v>
      </c>
      <c r="DI53" s="3">
        <v>4.2640000000000002</v>
      </c>
      <c r="DJ53" s="3">
        <v>0</v>
      </c>
      <c r="DK53" s="3">
        <v>10.295</v>
      </c>
      <c r="DL53" s="3">
        <v>1.4999999999999999E-2</v>
      </c>
      <c r="DM53" s="3">
        <v>0</v>
      </c>
      <c r="DN53" s="3">
        <v>0</v>
      </c>
      <c r="DO53" s="3">
        <v>0.25</v>
      </c>
      <c r="DP53" s="3">
        <v>0.64100000000000001</v>
      </c>
      <c r="DQ53" s="3">
        <v>0.59399999999999997</v>
      </c>
      <c r="DR53" s="3">
        <v>0</v>
      </c>
      <c r="DS53" s="3">
        <v>0</v>
      </c>
      <c r="DT53" s="3">
        <v>20.62</v>
      </c>
      <c r="DU53" s="3">
        <v>16.183</v>
      </c>
      <c r="DV53" s="3">
        <v>0</v>
      </c>
      <c r="DW53" s="3">
        <v>0</v>
      </c>
      <c r="DX53" s="3">
        <v>1.4999999999999999E-2</v>
      </c>
      <c r="DY53" s="3">
        <v>0</v>
      </c>
      <c r="DZ53" s="3">
        <v>20.433</v>
      </c>
      <c r="EA53" s="3">
        <v>58.298999999999999</v>
      </c>
      <c r="EB53" s="3">
        <v>77.748000000000005</v>
      </c>
      <c r="EC53" s="3">
        <v>60.423000000000002</v>
      </c>
      <c r="ED53" s="3">
        <v>14.044</v>
      </c>
      <c r="EE53" s="3">
        <v>0.20300000000000001</v>
      </c>
      <c r="EF53" s="3">
        <v>45.457999999999998</v>
      </c>
      <c r="EG53" s="3">
        <v>33.991999999999997</v>
      </c>
      <c r="EH53" s="3">
        <v>52.3</v>
      </c>
      <c r="EI53" s="3">
        <v>53.8</v>
      </c>
      <c r="EJ53" s="3">
        <v>21.885000000000002</v>
      </c>
      <c r="EK53" s="3">
        <v>27.399000000000001</v>
      </c>
      <c r="EL53" s="3">
        <v>48.360999999999997</v>
      </c>
      <c r="EM53" s="3">
        <v>60.938000000000002</v>
      </c>
      <c r="EN53" s="3">
        <v>86.478999999999999</v>
      </c>
      <c r="EO53" s="3">
        <v>77.075999999999993</v>
      </c>
      <c r="EP53" s="3">
        <v>0.223</v>
      </c>
      <c r="EQ53" s="3">
        <v>6.0000000000000001E-3</v>
      </c>
      <c r="ER53" s="3">
        <v>0.61599999999999999</v>
      </c>
      <c r="ES53" s="3">
        <v>3.2000000000000001E-2</v>
      </c>
      <c r="ET53" s="3">
        <v>1.0469999999999999</v>
      </c>
      <c r="EU53" s="3">
        <v>1.1839999999999999</v>
      </c>
      <c r="EV53" s="3">
        <v>1E-3</v>
      </c>
      <c r="EW53" s="3">
        <v>1E-3</v>
      </c>
      <c r="EX53" s="3">
        <v>1E-3</v>
      </c>
      <c r="EY53" s="3">
        <v>2E-3</v>
      </c>
      <c r="EZ53" s="3">
        <v>3.2000000000000001E-2</v>
      </c>
      <c r="FA53" s="3">
        <v>3.0000000000000001E-3</v>
      </c>
      <c r="FB53" s="3">
        <v>0.125</v>
      </c>
      <c r="FC53" s="3">
        <v>1.161</v>
      </c>
      <c r="FD53" s="3">
        <v>1.895</v>
      </c>
      <c r="FE53" s="3">
        <v>0</v>
      </c>
      <c r="FF53" s="3">
        <v>3.0110000000000001</v>
      </c>
      <c r="FG53" s="3">
        <v>4.9550000000000001</v>
      </c>
      <c r="FH53" s="3">
        <v>2E-3</v>
      </c>
      <c r="FI53" s="3">
        <v>2.1999999999999999E-2</v>
      </c>
      <c r="FJ53" s="3">
        <v>3.6999999999999998E-2</v>
      </c>
      <c r="FK53" s="3">
        <v>2.1000000000000001E-2</v>
      </c>
      <c r="FL53" s="3">
        <v>5.3879999999999999</v>
      </c>
      <c r="FM53" s="3">
        <v>4.0380000000000003</v>
      </c>
      <c r="FN53" s="3">
        <v>0</v>
      </c>
      <c r="FO53" s="3">
        <v>1.901</v>
      </c>
      <c r="FP53" s="3">
        <v>1E-3</v>
      </c>
      <c r="FQ53" s="3">
        <v>4.9009999999999998</v>
      </c>
      <c r="FR53" s="3">
        <v>6.1749999999999998</v>
      </c>
      <c r="FS53" s="3">
        <v>2.5000000000000001E-2</v>
      </c>
      <c r="FT53" s="3">
        <v>1.6140000000000001</v>
      </c>
      <c r="FU53" s="3">
        <v>2.036</v>
      </c>
      <c r="FV53" s="3">
        <v>5.8479999999999999</v>
      </c>
      <c r="FW53" s="3">
        <v>4.0750000000000002</v>
      </c>
      <c r="FX53" s="3">
        <v>8.4979999999999993</v>
      </c>
      <c r="FY53" s="3">
        <v>8.173</v>
      </c>
      <c r="FZ53" s="3">
        <v>2.0470000000000002</v>
      </c>
      <c r="GA53" s="3">
        <v>0</v>
      </c>
      <c r="GB53" s="3">
        <v>8.1549999999999994</v>
      </c>
      <c r="GC53" s="3">
        <v>9.3260000000000005</v>
      </c>
      <c r="GD53" s="3">
        <v>0</v>
      </c>
      <c r="GE53" s="3">
        <v>4.6550000000000002</v>
      </c>
      <c r="GF53" s="3">
        <v>1.6E-2</v>
      </c>
      <c r="GG53" s="3">
        <v>1.6E-2</v>
      </c>
      <c r="GH53" s="3">
        <v>1.4999999999999999E-2</v>
      </c>
      <c r="GI53" s="3">
        <v>1.4999999999999999E-2</v>
      </c>
      <c r="GJ53" s="3">
        <v>0.20300000000000001</v>
      </c>
      <c r="GK53" s="3">
        <v>0.32800000000000001</v>
      </c>
      <c r="GL53" s="3">
        <v>6.9829999999999997</v>
      </c>
      <c r="GM53" s="3">
        <v>8.2639999999999993</v>
      </c>
      <c r="GN53" s="3">
        <v>24.041</v>
      </c>
      <c r="GO53" s="3">
        <v>22.651</v>
      </c>
      <c r="GP53" s="3">
        <v>0</v>
      </c>
      <c r="GQ53" s="3">
        <v>0</v>
      </c>
      <c r="GR53" s="3">
        <v>1.6E-2</v>
      </c>
      <c r="GS53" s="3">
        <v>0.26500000000000001</v>
      </c>
      <c r="GT53" s="3">
        <v>50.707000000000001</v>
      </c>
      <c r="GU53" s="3">
        <v>6.4050000000000002</v>
      </c>
      <c r="GV53" s="3">
        <v>53.878</v>
      </c>
      <c r="GW53" s="3">
        <v>59.08</v>
      </c>
      <c r="GX53" s="3">
        <v>13.074999999999999</v>
      </c>
      <c r="GY53" s="3">
        <v>0</v>
      </c>
      <c r="GZ53" s="3">
        <v>0</v>
      </c>
      <c r="HA53" s="3">
        <v>35.289000000000001</v>
      </c>
      <c r="HB53" s="3">
        <v>52.05</v>
      </c>
      <c r="HC53" s="3">
        <v>1.6E-2</v>
      </c>
      <c r="HD53" s="3">
        <v>19.402000000000001</v>
      </c>
      <c r="HE53" s="3">
        <v>27.748000000000001</v>
      </c>
      <c r="HF53" s="3">
        <v>48.360999999999997</v>
      </c>
      <c r="HG53" s="3">
        <v>53.643000000000001</v>
      </c>
      <c r="HH53" s="3">
        <v>76.340999999999994</v>
      </c>
      <c r="HI53" s="3">
        <v>76.888000000000005</v>
      </c>
      <c r="HJ53" s="3">
        <v>0.02</v>
      </c>
      <c r="HK53" s="3">
        <v>0.13700000000000001</v>
      </c>
      <c r="HL53" s="3">
        <v>0.79900000000000004</v>
      </c>
      <c r="HM53" s="3">
        <v>0.48599999999999999</v>
      </c>
      <c r="HN53" s="3">
        <v>0.93100000000000005</v>
      </c>
      <c r="HO53" s="3">
        <v>1E-3</v>
      </c>
      <c r="HP53" s="3">
        <v>1E-3</v>
      </c>
      <c r="HQ53" s="3">
        <v>2E-3</v>
      </c>
      <c r="HR53" s="3">
        <v>1E-3</v>
      </c>
      <c r="HS53" s="3">
        <v>8.9999999999999993E-3</v>
      </c>
      <c r="HT53" s="3">
        <v>7.0000000000000001E-3</v>
      </c>
      <c r="HU53" s="3">
        <v>2E-3</v>
      </c>
      <c r="HV53" s="3">
        <v>0</v>
      </c>
      <c r="HW53" s="3">
        <v>1.06</v>
      </c>
      <c r="HX53" s="3">
        <v>1.853</v>
      </c>
      <c r="HY53" s="3">
        <v>0</v>
      </c>
      <c r="HZ53" s="3">
        <v>2.6139999999999999</v>
      </c>
      <c r="IA53" s="3">
        <v>0</v>
      </c>
      <c r="IB53" s="3">
        <v>2E-3</v>
      </c>
      <c r="IC53" s="3">
        <v>2E-3</v>
      </c>
      <c r="ID53" s="3">
        <v>5.3999999999999999E-2</v>
      </c>
      <c r="IE53" s="3">
        <v>3.375</v>
      </c>
      <c r="IF53" s="3">
        <v>4.6970000000000001</v>
      </c>
      <c r="IG53" s="3">
        <v>5.1310000000000002</v>
      </c>
      <c r="IH53" s="3">
        <v>3.0000000000000001E-3</v>
      </c>
      <c r="II53" s="3">
        <v>3.3180000000000001</v>
      </c>
      <c r="IJ53" s="3">
        <v>5.1529999999999996</v>
      </c>
      <c r="IK53" s="3">
        <v>4.1280000000000001</v>
      </c>
      <c r="IL53" s="3">
        <v>0</v>
      </c>
      <c r="IM53" s="3">
        <v>1E-3</v>
      </c>
      <c r="IN53" s="3">
        <v>3.0000000000000001E-3</v>
      </c>
      <c r="IO53" s="3">
        <v>6.0999999999999999E-2</v>
      </c>
      <c r="IP53" s="3">
        <v>6.5039999999999996</v>
      </c>
      <c r="IQ53" s="3">
        <v>5.556</v>
      </c>
      <c r="IR53" s="3">
        <v>7.4690000000000003</v>
      </c>
      <c r="IS53" s="3">
        <v>8.9179999999999993</v>
      </c>
      <c r="IT53" s="3">
        <v>3.1E-2</v>
      </c>
      <c r="IU53" s="3">
        <v>2.64</v>
      </c>
      <c r="IV53" s="3">
        <v>7.28</v>
      </c>
      <c r="IW53" s="3">
        <v>1.1879999999999999</v>
      </c>
      <c r="IX53" s="3">
        <v>7.8109999999999999</v>
      </c>
      <c r="IY53" s="3">
        <v>0.109</v>
      </c>
      <c r="IZ53" s="3">
        <v>0</v>
      </c>
      <c r="JA53" s="3">
        <v>1.6E-2</v>
      </c>
      <c r="JB53" s="3">
        <v>9.4E-2</v>
      </c>
      <c r="JC53" s="3">
        <v>4.5999999999999999E-2</v>
      </c>
      <c r="JD53" s="3">
        <v>6.4669999999999996</v>
      </c>
      <c r="JE53" s="3">
        <v>0.20300000000000001</v>
      </c>
      <c r="JF53" s="3">
        <v>8.5139999999999993</v>
      </c>
      <c r="JG53" s="3">
        <v>0</v>
      </c>
      <c r="JH53" s="3">
        <v>0</v>
      </c>
      <c r="JI53" s="3">
        <v>0</v>
      </c>
      <c r="JJ53" s="3">
        <v>0</v>
      </c>
      <c r="JK53" s="3">
        <v>26.54</v>
      </c>
      <c r="JL53" s="3">
        <v>0</v>
      </c>
      <c r="JM53" s="3">
        <v>4.7E-2</v>
      </c>
      <c r="JN53" s="3">
        <v>35.523000000000003</v>
      </c>
      <c r="JO53" s="3">
        <v>44.677</v>
      </c>
      <c r="JP53" s="3">
        <v>51.55</v>
      </c>
      <c r="JQ53" s="3">
        <v>46.13</v>
      </c>
      <c r="JR53" s="3">
        <v>0</v>
      </c>
      <c r="JS53" s="3">
        <v>22.228999999999999</v>
      </c>
      <c r="JT53" s="3">
        <v>31.18</v>
      </c>
      <c r="JU53" s="3">
        <v>1.4999999999999999E-2</v>
      </c>
      <c r="JV53" s="3">
        <v>52.487000000000002</v>
      </c>
      <c r="JW53" s="3">
        <v>51.908999999999999</v>
      </c>
      <c r="JX53" s="3">
        <v>30.524000000000001</v>
      </c>
      <c r="JY53" s="3">
        <v>23.66</v>
      </c>
      <c r="JZ53" s="3">
        <v>48.582000000000001</v>
      </c>
      <c r="KA53" s="3">
        <v>53.423999999999999</v>
      </c>
      <c r="KB53" s="3">
        <v>82.918000000000006</v>
      </c>
      <c r="KC53" s="3">
        <v>77.465999999999994</v>
      </c>
      <c r="KD53" s="3">
        <v>1E-3</v>
      </c>
      <c r="KE53" s="3">
        <v>0.504</v>
      </c>
      <c r="KF53" s="3">
        <v>5.1999999999999998E-2</v>
      </c>
      <c r="KG53" s="3">
        <v>0.75900000000000001</v>
      </c>
      <c r="KH53" s="3">
        <v>1.6679999999999999</v>
      </c>
      <c r="KI53" s="3">
        <v>1.623</v>
      </c>
      <c r="KJ53" s="3">
        <v>1E-3</v>
      </c>
      <c r="KK53" s="3">
        <v>1E-3</v>
      </c>
      <c r="KL53" s="3">
        <v>2E-3</v>
      </c>
      <c r="KM53" s="3">
        <v>2E-3</v>
      </c>
      <c r="KN53" s="3">
        <v>1.4999999999999999E-2</v>
      </c>
      <c r="KO53" s="3">
        <v>8.9999999999999993E-3</v>
      </c>
      <c r="KP53" s="3">
        <v>0</v>
      </c>
      <c r="KQ53" s="3">
        <v>1.544</v>
      </c>
      <c r="KR53" s="3">
        <v>1.4530000000000001</v>
      </c>
      <c r="KS53" s="3">
        <v>3.5990000000000002</v>
      </c>
      <c r="KT53" s="3">
        <v>0</v>
      </c>
      <c r="KU53" s="3">
        <v>0</v>
      </c>
      <c r="KV53" s="3">
        <v>1E-3</v>
      </c>
      <c r="KW53" s="3">
        <v>2E-3</v>
      </c>
      <c r="KX53" s="3">
        <v>0.223</v>
      </c>
      <c r="KY53" s="3">
        <v>2.1999999999999999E-2</v>
      </c>
      <c r="KZ53" s="3">
        <v>5.2350000000000003</v>
      </c>
      <c r="LA53" s="3">
        <v>5.3890000000000002</v>
      </c>
      <c r="LB53" s="3">
        <v>1.7549999999999999</v>
      </c>
      <c r="LC53" s="3">
        <v>0</v>
      </c>
      <c r="LD53" s="3">
        <v>3.431</v>
      </c>
      <c r="LE53" s="3">
        <v>3.8010000000000002</v>
      </c>
      <c r="LF53" s="3">
        <v>0</v>
      </c>
      <c r="LG53" s="3">
        <v>3.0000000000000001E-3</v>
      </c>
      <c r="LH53" s="3">
        <v>2E-3</v>
      </c>
      <c r="LI53" s="3">
        <v>1.7729999999999999</v>
      </c>
      <c r="LJ53" s="3">
        <v>4.6909999999999998</v>
      </c>
      <c r="LK53" s="3">
        <v>5.3570000000000002</v>
      </c>
      <c r="LL53" s="3">
        <v>8.0679999999999996</v>
      </c>
      <c r="LM53" s="3">
        <v>8.8179999999999996</v>
      </c>
      <c r="LN53" s="3">
        <v>0</v>
      </c>
      <c r="LO53" s="3">
        <v>1.4999999999999999E-2</v>
      </c>
      <c r="LP53" s="3">
        <v>7.5919999999999996</v>
      </c>
      <c r="LQ53" s="3">
        <v>1.609</v>
      </c>
      <c r="LR53" s="3">
        <v>8.4979999999999993</v>
      </c>
      <c r="LS53" s="3">
        <v>9.9510000000000005</v>
      </c>
      <c r="LT53" s="3">
        <v>1.4999999999999999E-2</v>
      </c>
      <c r="LU53" s="3">
        <v>0</v>
      </c>
      <c r="LV53" s="3">
        <v>1.4999999999999999E-2</v>
      </c>
      <c r="LW53" s="3">
        <v>1.6E-2</v>
      </c>
      <c r="LX53" s="3">
        <v>1.39</v>
      </c>
      <c r="LY53" s="3">
        <v>1.0149999999999999</v>
      </c>
      <c r="LZ53" s="3">
        <v>8.3729999999999993</v>
      </c>
      <c r="MA53" s="3">
        <v>0</v>
      </c>
      <c r="MB53" s="3">
        <v>18.074000000000002</v>
      </c>
      <c r="MC53" s="3">
        <v>0</v>
      </c>
      <c r="MD53" s="3">
        <v>27.931000000000001</v>
      </c>
      <c r="ME53" s="3">
        <v>0</v>
      </c>
      <c r="MF53" s="3">
        <v>1.6E-2</v>
      </c>
      <c r="MG53" s="3">
        <v>1.6E-2</v>
      </c>
      <c r="MH53" s="3">
        <v>34.26</v>
      </c>
      <c r="MI53" s="3">
        <v>0.25</v>
      </c>
      <c r="MJ53" s="3">
        <v>51.832000000000001</v>
      </c>
      <c r="MK53" s="3">
        <v>65.781000000000006</v>
      </c>
      <c r="ML53" s="3">
        <v>16.917999999999999</v>
      </c>
      <c r="MM53" s="3">
        <v>0</v>
      </c>
      <c r="MN53" s="3">
        <v>33.054000000000002</v>
      </c>
      <c r="MO53" s="3">
        <v>39.381</v>
      </c>
      <c r="MP53" s="3">
        <v>1.6E-2</v>
      </c>
      <c r="MQ53" s="3">
        <v>0</v>
      </c>
      <c r="MR53" s="3">
        <v>19.324000000000002</v>
      </c>
      <c r="MS53" s="3">
        <v>0.64100000000000001</v>
      </c>
      <c r="MT53" s="3">
        <v>51.268999999999998</v>
      </c>
      <c r="MU53" s="3">
        <v>50.597999999999999</v>
      </c>
      <c r="MV53" s="3">
        <v>85.387</v>
      </c>
      <c r="MW53" s="3">
        <v>84.902000000000001</v>
      </c>
    </row>
    <row r="54" spans="1:361" x14ac:dyDescent="0.3">
      <c r="A54" s="3">
        <v>12</v>
      </c>
      <c r="B54" s="3">
        <v>0.43</v>
      </c>
      <c r="C54" s="3">
        <v>0</v>
      </c>
      <c r="D54" s="3">
        <v>0.755</v>
      </c>
      <c r="E54" s="3">
        <v>1.0369999999999999</v>
      </c>
      <c r="F54" s="3">
        <v>8.0000000000000002E-3</v>
      </c>
      <c r="G54" s="3">
        <v>1.893</v>
      </c>
      <c r="H54" s="3">
        <v>2E-3</v>
      </c>
      <c r="I54" s="3">
        <v>4.0000000000000001E-3</v>
      </c>
      <c r="J54" s="3">
        <v>3.0000000000000001E-3</v>
      </c>
      <c r="K54" s="3">
        <v>6.0000000000000001E-3</v>
      </c>
      <c r="L54" s="3">
        <v>3.5000000000000003E-2</v>
      </c>
      <c r="M54" s="3">
        <v>5.5E-2</v>
      </c>
      <c r="N54" s="3">
        <v>0.70799999999999996</v>
      </c>
      <c r="O54" s="3">
        <v>0.86299999999999999</v>
      </c>
      <c r="P54" s="3">
        <v>2.1110000000000002</v>
      </c>
      <c r="Q54" s="3">
        <v>1E-3</v>
      </c>
      <c r="R54" s="3">
        <v>3.3050000000000002</v>
      </c>
      <c r="S54" s="3">
        <v>2.923</v>
      </c>
      <c r="T54" s="3">
        <v>1E-3</v>
      </c>
      <c r="U54" s="3">
        <v>3.0000000000000001E-3</v>
      </c>
      <c r="V54" s="3">
        <v>0.44900000000000001</v>
      </c>
      <c r="W54" s="3">
        <v>2.5619999999999998</v>
      </c>
      <c r="X54" s="3">
        <v>3.859</v>
      </c>
      <c r="Y54" s="3">
        <v>4.6749999999999998</v>
      </c>
      <c r="Z54" s="3">
        <v>1.631</v>
      </c>
      <c r="AA54" s="3">
        <v>3.552</v>
      </c>
      <c r="AB54" s="3">
        <v>4.21</v>
      </c>
      <c r="AC54" s="3">
        <v>3.9769999999999999</v>
      </c>
      <c r="AD54" s="3">
        <v>4.6059999999999999</v>
      </c>
      <c r="AE54" s="3">
        <v>0</v>
      </c>
      <c r="AF54" s="3">
        <v>2.2040000000000002</v>
      </c>
      <c r="AG54" s="3">
        <v>2.3140000000000001</v>
      </c>
      <c r="AH54" s="3">
        <v>5.61</v>
      </c>
      <c r="AI54" s="3">
        <v>5.13</v>
      </c>
      <c r="AJ54" s="3">
        <v>5.8559999999999999</v>
      </c>
      <c r="AK54" s="3">
        <v>8.8940000000000001</v>
      </c>
      <c r="AL54" s="3">
        <v>1.6E-2</v>
      </c>
      <c r="AM54" s="3">
        <v>1.6E-2</v>
      </c>
      <c r="AN54" s="3">
        <v>7.5289999999999999</v>
      </c>
      <c r="AO54" s="3">
        <v>0.218</v>
      </c>
      <c r="AP54" s="3">
        <v>8.4049999999999994</v>
      </c>
      <c r="AQ54" s="3">
        <v>0</v>
      </c>
      <c r="AR54" s="3">
        <v>1.4999999999999999E-2</v>
      </c>
      <c r="AS54" s="3">
        <v>0</v>
      </c>
      <c r="AT54" s="3">
        <v>0</v>
      </c>
      <c r="AU54" s="3">
        <v>1.4999999999999999E-2</v>
      </c>
      <c r="AV54" s="3">
        <v>5.8579999999999997</v>
      </c>
      <c r="AW54" s="3">
        <v>0.156</v>
      </c>
      <c r="AX54" s="3">
        <v>0</v>
      </c>
      <c r="AY54" s="3">
        <v>7.8890000000000002</v>
      </c>
      <c r="AZ54" s="3">
        <v>19.84</v>
      </c>
      <c r="BA54" s="3">
        <v>1.546</v>
      </c>
      <c r="BB54" s="3">
        <v>24.041</v>
      </c>
      <c r="BC54" s="3">
        <v>29.321000000000002</v>
      </c>
      <c r="BD54" s="3">
        <v>1.6E-2</v>
      </c>
      <c r="BE54" s="3">
        <v>1.4999999999999999E-2</v>
      </c>
      <c r="BF54" s="3">
        <v>3.7330000000000001</v>
      </c>
      <c r="BG54" s="3">
        <v>5.1239999999999997</v>
      </c>
      <c r="BH54" s="3">
        <v>46.460999999999999</v>
      </c>
      <c r="BI54" s="3">
        <v>75.763000000000005</v>
      </c>
      <c r="BJ54" s="3">
        <v>12.044</v>
      </c>
      <c r="BK54" s="3">
        <v>22.103999999999999</v>
      </c>
      <c r="BL54" s="3">
        <v>0</v>
      </c>
      <c r="BM54" s="3">
        <v>41.24</v>
      </c>
      <c r="BN54" s="3">
        <v>54.706000000000003</v>
      </c>
      <c r="BO54" s="3">
        <v>61.939</v>
      </c>
      <c r="BP54" s="3">
        <v>27.087</v>
      </c>
      <c r="BQ54" s="3">
        <v>3.234</v>
      </c>
      <c r="BR54" s="3">
        <v>54.003</v>
      </c>
      <c r="BS54" s="3">
        <v>56.064999999999998</v>
      </c>
      <c r="BT54" s="3">
        <v>83.709000000000003</v>
      </c>
      <c r="BU54" s="3">
        <v>71.451999999999998</v>
      </c>
      <c r="BV54" s="3">
        <v>0.11700000000000001</v>
      </c>
      <c r="BW54" s="3">
        <v>0</v>
      </c>
      <c r="BX54" s="3">
        <v>0.64300000000000002</v>
      </c>
      <c r="BY54" s="3">
        <v>1.036</v>
      </c>
      <c r="BZ54" s="3">
        <v>1.0680000000000001</v>
      </c>
      <c r="CA54" s="3">
        <v>0.98899999999999999</v>
      </c>
      <c r="CB54" s="3">
        <v>2E-3</v>
      </c>
      <c r="CC54" s="3">
        <v>1E-3</v>
      </c>
      <c r="CD54" s="3">
        <v>2E-3</v>
      </c>
      <c r="CE54" s="3">
        <v>1E-3</v>
      </c>
      <c r="CF54" s="3">
        <v>1.2999999999999999E-2</v>
      </c>
      <c r="CG54" s="3">
        <v>6.0000000000000001E-3</v>
      </c>
      <c r="CH54" s="3">
        <v>0.97299999999999998</v>
      </c>
      <c r="CI54" s="3">
        <v>0</v>
      </c>
      <c r="CJ54" s="3">
        <v>1.7709999999999999</v>
      </c>
      <c r="CK54" s="3">
        <v>2.1800000000000002</v>
      </c>
      <c r="CL54" s="3">
        <v>1E-3</v>
      </c>
      <c r="CM54" s="3">
        <v>0</v>
      </c>
      <c r="CN54" s="3">
        <v>2E-3</v>
      </c>
      <c r="CO54" s="3">
        <v>2.7E-2</v>
      </c>
      <c r="CP54" s="3">
        <v>0.98099999999999998</v>
      </c>
      <c r="CQ54" s="3">
        <v>4.9000000000000002E-2</v>
      </c>
      <c r="CR54" s="3">
        <v>4.7480000000000002</v>
      </c>
      <c r="CS54" s="3">
        <v>4.0209999999999999</v>
      </c>
      <c r="CT54" s="3">
        <v>0</v>
      </c>
      <c r="CU54" s="3">
        <v>0</v>
      </c>
      <c r="CV54" s="3">
        <v>1E-3</v>
      </c>
      <c r="CW54" s="3">
        <v>2.1000000000000001E-2</v>
      </c>
      <c r="CX54" s="3">
        <v>0</v>
      </c>
      <c r="CY54" s="3">
        <v>0.30299999999999999</v>
      </c>
      <c r="CZ54" s="3">
        <v>3.0000000000000001E-3</v>
      </c>
      <c r="DA54" s="3">
        <v>1.2E-2</v>
      </c>
      <c r="DB54" s="3">
        <v>6.4930000000000003</v>
      </c>
      <c r="DC54" s="3">
        <v>6.899</v>
      </c>
      <c r="DD54" s="3">
        <v>8.0579999999999998</v>
      </c>
      <c r="DE54" s="3">
        <v>8.3529999999999998</v>
      </c>
      <c r="DF54" s="3">
        <v>1.6E-2</v>
      </c>
      <c r="DG54" s="3">
        <v>3.1549999999999998</v>
      </c>
      <c r="DH54" s="3">
        <v>1.4999999999999999E-2</v>
      </c>
      <c r="DI54" s="3">
        <v>7.6079999999999997</v>
      </c>
      <c r="DJ54" s="3">
        <v>0</v>
      </c>
      <c r="DK54" s="3">
        <v>9.4979999999999993</v>
      </c>
      <c r="DL54" s="3">
        <v>0</v>
      </c>
      <c r="DM54" s="3">
        <v>0</v>
      </c>
      <c r="DN54" s="3">
        <v>7.8E-2</v>
      </c>
      <c r="DO54" s="3">
        <v>1.6E-2</v>
      </c>
      <c r="DP54" s="3">
        <v>0.156</v>
      </c>
      <c r="DQ54" s="3">
        <v>4.7E-2</v>
      </c>
      <c r="DR54" s="3">
        <v>0</v>
      </c>
      <c r="DS54" s="3">
        <v>0</v>
      </c>
      <c r="DT54" s="3">
        <v>21.434000000000001</v>
      </c>
      <c r="DU54" s="3">
        <v>15.528</v>
      </c>
      <c r="DV54" s="3">
        <v>1.4999999999999999E-2</v>
      </c>
      <c r="DW54" s="3">
        <v>1.4999999999999999E-2</v>
      </c>
      <c r="DX54" s="3">
        <v>1.6E-2</v>
      </c>
      <c r="DY54" s="3">
        <v>1.4999999999999999E-2</v>
      </c>
      <c r="DZ54" s="3">
        <v>34.554000000000002</v>
      </c>
      <c r="EA54" s="3">
        <v>61.454000000000001</v>
      </c>
      <c r="EB54" s="3">
        <v>73.046000000000006</v>
      </c>
      <c r="EC54" s="3">
        <v>69.218000000000004</v>
      </c>
      <c r="ED54" s="3">
        <v>13.95</v>
      </c>
      <c r="EE54" s="3">
        <v>1.0469999999999999</v>
      </c>
      <c r="EF54" s="3">
        <v>44.755000000000003</v>
      </c>
      <c r="EG54" s="3">
        <v>34.494</v>
      </c>
      <c r="EH54" s="3">
        <v>52.783999999999999</v>
      </c>
      <c r="EI54" s="3">
        <v>4.78</v>
      </c>
      <c r="EJ54" s="3">
        <v>22.135999999999999</v>
      </c>
      <c r="EK54" s="3">
        <v>29.382999999999999</v>
      </c>
      <c r="EL54" s="3">
        <v>49.176000000000002</v>
      </c>
      <c r="EM54" s="3">
        <v>63.923000000000002</v>
      </c>
      <c r="EN54" s="3">
        <v>82.015000000000001</v>
      </c>
      <c r="EO54" s="3">
        <v>80.075000000000003</v>
      </c>
      <c r="EP54" s="3">
        <v>0.23499999999999999</v>
      </c>
      <c r="EQ54" s="3">
        <v>6.0000000000000001E-3</v>
      </c>
      <c r="ER54" s="3">
        <v>0.71</v>
      </c>
      <c r="ES54" s="3">
        <v>0.13700000000000001</v>
      </c>
      <c r="ET54" s="3">
        <v>1.1160000000000001</v>
      </c>
      <c r="EU54" s="3">
        <v>1.2889999999999999</v>
      </c>
      <c r="EV54" s="3">
        <v>1E-3</v>
      </c>
      <c r="EW54" s="3">
        <v>1E-3</v>
      </c>
      <c r="EX54" s="3">
        <v>2E-3</v>
      </c>
      <c r="EY54" s="3">
        <v>2E-3</v>
      </c>
      <c r="EZ54" s="3">
        <v>0.14299999999999999</v>
      </c>
      <c r="FA54" s="3">
        <v>4.0000000000000001E-3</v>
      </c>
      <c r="FB54" s="3">
        <v>1.7000000000000001E-2</v>
      </c>
      <c r="FC54" s="3">
        <v>1.075</v>
      </c>
      <c r="FD54" s="3">
        <v>1.9379999999999999</v>
      </c>
      <c r="FE54" s="3">
        <v>0</v>
      </c>
      <c r="FF54" s="3">
        <v>3.012</v>
      </c>
      <c r="FG54" s="3">
        <v>4.4969999999999999</v>
      </c>
      <c r="FH54" s="3">
        <v>6.0000000000000001E-3</v>
      </c>
      <c r="FI54" s="3">
        <v>2.7E-2</v>
      </c>
      <c r="FJ54" s="3">
        <v>0.32800000000000001</v>
      </c>
      <c r="FK54" s="3">
        <v>0.151</v>
      </c>
      <c r="FL54" s="3">
        <v>6.2489999999999997</v>
      </c>
      <c r="FM54" s="3">
        <v>4.4980000000000002</v>
      </c>
      <c r="FN54" s="3">
        <v>0</v>
      </c>
      <c r="FO54" s="3">
        <v>1.923</v>
      </c>
      <c r="FP54" s="3">
        <v>0</v>
      </c>
      <c r="FQ54" s="3">
        <v>4.4160000000000004</v>
      </c>
      <c r="FR54" s="3">
        <v>6.2270000000000003</v>
      </c>
      <c r="FS54" s="3">
        <v>0.18</v>
      </c>
      <c r="FT54" s="3">
        <v>1.603</v>
      </c>
      <c r="FU54" s="3">
        <v>2.0230000000000001</v>
      </c>
      <c r="FV54" s="3">
        <v>5.2649999999999997</v>
      </c>
      <c r="FW54" s="3">
        <v>4.4560000000000004</v>
      </c>
      <c r="FX54" s="3">
        <v>8.4039999999999999</v>
      </c>
      <c r="FY54" s="3">
        <v>8.7889999999999997</v>
      </c>
      <c r="FZ54" s="3">
        <v>2.202</v>
      </c>
      <c r="GA54" s="3">
        <v>4.7E-2</v>
      </c>
      <c r="GB54" s="3">
        <v>7.3259999999999996</v>
      </c>
      <c r="GC54" s="3">
        <v>9.92</v>
      </c>
      <c r="GD54" s="3">
        <v>0</v>
      </c>
      <c r="GE54" s="3">
        <v>0.26600000000000001</v>
      </c>
      <c r="GF54" s="3">
        <v>0</v>
      </c>
      <c r="GG54" s="3">
        <v>1.4999999999999999E-2</v>
      </c>
      <c r="GH54" s="3">
        <v>0</v>
      </c>
      <c r="GI54" s="3">
        <v>4.7E-2</v>
      </c>
      <c r="GJ54" s="3">
        <v>4.4989999999999997</v>
      </c>
      <c r="GK54" s="3">
        <v>0.79700000000000004</v>
      </c>
      <c r="GL54" s="3">
        <v>7.3419999999999996</v>
      </c>
      <c r="GM54" s="3">
        <v>7.7949999999999999</v>
      </c>
      <c r="GN54" s="3">
        <v>24.838000000000001</v>
      </c>
      <c r="GO54" s="3">
        <v>22.198</v>
      </c>
      <c r="GP54" s="3">
        <v>1.6E-2</v>
      </c>
      <c r="GQ54" s="3">
        <v>0</v>
      </c>
      <c r="GR54" s="3">
        <v>1.4999999999999999E-2</v>
      </c>
      <c r="GS54" s="3">
        <v>0.32800000000000001</v>
      </c>
      <c r="GT54" s="3">
        <v>44.207999999999998</v>
      </c>
      <c r="GU54" s="3">
        <v>0.59399999999999997</v>
      </c>
      <c r="GV54" s="3">
        <v>52.506999999999998</v>
      </c>
      <c r="GW54" s="3">
        <v>58.783000000000001</v>
      </c>
      <c r="GX54" s="3">
        <v>13.122</v>
      </c>
      <c r="GY54" s="3">
        <v>0</v>
      </c>
      <c r="GZ54" s="3">
        <v>0</v>
      </c>
      <c r="HA54" s="3">
        <v>35.350999999999999</v>
      </c>
      <c r="HB54" s="3">
        <v>51.816000000000003</v>
      </c>
      <c r="HC54" s="3">
        <v>0</v>
      </c>
      <c r="HD54" s="3">
        <v>19.635999999999999</v>
      </c>
      <c r="HE54" s="3">
        <v>26.088000000000001</v>
      </c>
      <c r="HF54" s="3">
        <v>49.176000000000002</v>
      </c>
      <c r="HG54" s="3">
        <v>58.853000000000002</v>
      </c>
      <c r="HH54" s="3">
        <v>74.091999999999999</v>
      </c>
      <c r="HI54" s="3">
        <v>80.340999999999994</v>
      </c>
      <c r="HJ54" s="3">
        <v>2.4E-2</v>
      </c>
      <c r="HK54" s="3">
        <v>0.128</v>
      </c>
      <c r="HL54" s="3">
        <v>0.81</v>
      </c>
      <c r="HM54" s="3">
        <v>3.9E-2</v>
      </c>
      <c r="HN54" s="3">
        <v>0.999</v>
      </c>
      <c r="HO54" s="3">
        <v>1E-3</v>
      </c>
      <c r="HP54" s="3">
        <v>0</v>
      </c>
      <c r="HQ54" s="3">
        <v>3.0000000000000001E-3</v>
      </c>
      <c r="HR54" s="3">
        <v>0</v>
      </c>
      <c r="HS54" s="3">
        <v>1.7000000000000001E-2</v>
      </c>
      <c r="HT54" s="3">
        <v>2E-3</v>
      </c>
      <c r="HU54" s="3">
        <v>2E-3</v>
      </c>
      <c r="HV54" s="3">
        <v>0</v>
      </c>
      <c r="HW54" s="3">
        <v>1.054</v>
      </c>
      <c r="HX54" s="3">
        <v>1.81</v>
      </c>
      <c r="HY54" s="3">
        <v>0</v>
      </c>
      <c r="HZ54" s="3">
        <v>3.05</v>
      </c>
      <c r="IA54" s="3">
        <v>0</v>
      </c>
      <c r="IB54" s="3">
        <v>3.0000000000000001E-3</v>
      </c>
      <c r="IC54" s="3">
        <v>2E-3</v>
      </c>
      <c r="ID54" s="3">
        <v>0.317</v>
      </c>
      <c r="IE54" s="3">
        <v>3.835</v>
      </c>
      <c r="IF54" s="3">
        <v>4.8470000000000004</v>
      </c>
      <c r="IG54" s="3">
        <v>4.9000000000000004</v>
      </c>
      <c r="IH54" s="3">
        <v>1E-3</v>
      </c>
      <c r="II54" s="3">
        <v>3.3</v>
      </c>
      <c r="IJ54" s="3">
        <v>4.9530000000000003</v>
      </c>
      <c r="IK54" s="3">
        <v>4.4809999999999999</v>
      </c>
      <c r="IL54" s="3">
        <v>0</v>
      </c>
      <c r="IM54" s="3">
        <v>1E-3</v>
      </c>
      <c r="IN54" s="3">
        <v>3.0000000000000001E-3</v>
      </c>
      <c r="IO54" s="3">
        <v>8.9999999999999993E-3</v>
      </c>
      <c r="IP54" s="3">
        <v>6.1020000000000003</v>
      </c>
      <c r="IQ54" s="3">
        <v>5.5620000000000003</v>
      </c>
      <c r="IR54" s="3">
        <v>7.2640000000000002</v>
      </c>
      <c r="IS54" s="3">
        <v>7.9039999999999999</v>
      </c>
      <c r="IT54" s="3">
        <v>1.6E-2</v>
      </c>
      <c r="IU54" s="3">
        <v>2.327</v>
      </c>
      <c r="IV54" s="3">
        <v>7.8259999999999996</v>
      </c>
      <c r="IW54" s="3">
        <v>1.7649999999999999</v>
      </c>
      <c r="IX54" s="3">
        <v>8.1379999999999999</v>
      </c>
      <c r="IY54" s="3">
        <v>0.219</v>
      </c>
      <c r="IZ54" s="3">
        <v>0</v>
      </c>
      <c r="JA54" s="3">
        <v>0</v>
      </c>
      <c r="JB54" s="3">
        <v>1.4999999999999999E-2</v>
      </c>
      <c r="JC54" s="3">
        <v>0.125</v>
      </c>
      <c r="JD54" s="3">
        <v>11.169</v>
      </c>
      <c r="JE54" s="3">
        <v>3.1E-2</v>
      </c>
      <c r="JF54" s="3">
        <v>8.9969999999999999</v>
      </c>
      <c r="JG54" s="3">
        <v>0</v>
      </c>
      <c r="JH54" s="3">
        <v>0</v>
      </c>
      <c r="JI54" s="3">
        <v>0</v>
      </c>
      <c r="JJ54" s="3">
        <v>0</v>
      </c>
      <c r="JK54" s="3">
        <v>27.446999999999999</v>
      </c>
      <c r="JL54" s="3">
        <v>1.6E-2</v>
      </c>
      <c r="JM54" s="3">
        <v>1.4999999999999999E-2</v>
      </c>
      <c r="JN54" s="3">
        <v>30.571000000000002</v>
      </c>
      <c r="JO54" s="3">
        <v>47.676000000000002</v>
      </c>
      <c r="JP54" s="3">
        <v>46.222999999999999</v>
      </c>
      <c r="JQ54" s="3">
        <v>47.863999999999997</v>
      </c>
      <c r="JR54" s="3">
        <v>0</v>
      </c>
      <c r="JS54" s="3">
        <v>22.042000000000002</v>
      </c>
      <c r="JT54" s="3">
        <v>31.18</v>
      </c>
      <c r="JU54" s="3">
        <v>0</v>
      </c>
      <c r="JV54" s="3">
        <v>51.16</v>
      </c>
      <c r="JW54" s="3">
        <v>9.4359999999999999</v>
      </c>
      <c r="JX54" s="3">
        <v>31.43</v>
      </c>
      <c r="JY54" s="3">
        <v>22.026</v>
      </c>
      <c r="JZ54" s="3">
        <v>50.207000000000001</v>
      </c>
      <c r="KA54" s="3">
        <v>46.505000000000003</v>
      </c>
      <c r="KB54" s="3">
        <v>82.388999999999996</v>
      </c>
      <c r="KC54" s="3">
        <v>74.498000000000005</v>
      </c>
      <c r="KD54" s="3">
        <v>0</v>
      </c>
      <c r="KE54" s="3">
        <v>0.48399999999999999</v>
      </c>
      <c r="KF54" s="3">
        <v>3.0000000000000001E-3</v>
      </c>
      <c r="KG54" s="3">
        <v>0.72599999999999998</v>
      </c>
      <c r="KH54" s="3">
        <v>0.44500000000000001</v>
      </c>
      <c r="KI54" s="3">
        <v>0.79200000000000004</v>
      </c>
      <c r="KJ54" s="3">
        <v>0</v>
      </c>
      <c r="KK54" s="3">
        <v>1E-3</v>
      </c>
      <c r="KL54" s="3">
        <v>1E-3</v>
      </c>
      <c r="KM54" s="3">
        <v>2E-3</v>
      </c>
      <c r="KN54" s="3">
        <v>1.0999999999999999E-2</v>
      </c>
      <c r="KO54" s="3">
        <v>8.9999999999999993E-3</v>
      </c>
      <c r="KP54" s="3">
        <v>0</v>
      </c>
      <c r="KQ54" s="3">
        <v>1.5389999999999999</v>
      </c>
      <c r="KR54" s="3">
        <v>1.5049999999999999</v>
      </c>
      <c r="KS54" s="3">
        <v>2.8380000000000001</v>
      </c>
      <c r="KT54" s="3">
        <v>0</v>
      </c>
      <c r="KU54" s="3">
        <v>1E-3</v>
      </c>
      <c r="KV54" s="3">
        <v>2E-3</v>
      </c>
      <c r="KW54" s="3">
        <v>2E-3</v>
      </c>
      <c r="KX54" s="3">
        <v>0.25600000000000001</v>
      </c>
      <c r="KY54" s="3">
        <v>8.3000000000000004E-2</v>
      </c>
      <c r="KZ54" s="3">
        <v>5.0179999999999998</v>
      </c>
      <c r="LA54" s="3">
        <v>5.04</v>
      </c>
      <c r="LB54" s="3">
        <v>1.81</v>
      </c>
      <c r="LC54" s="3">
        <v>0</v>
      </c>
      <c r="LD54" s="3">
        <v>3.5510000000000002</v>
      </c>
      <c r="LE54" s="3">
        <v>4.3259999999999996</v>
      </c>
      <c r="LF54" s="3">
        <v>1E-3</v>
      </c>
      <c r="LG54" s="3">
        <v>0</v>
      </c>
      <c r="LH54" s="3">
        <v>2E-3</v>
      </c>
      <c r="LI54" s="3">
        <v>2.08</v>
      </c>
      <c r="LJ54" s="3">
        <v>5.165</v>
      </c>
      <c r="LK54" s="3">
        <v>5.9359999999999999</v>
      </c>
      <c r="LL54" s="3">
        <v>7.7290000000000001</v>
      </c>
      <c r="LM54" s="3">
        <v>9.2430000000000003</v>
      </c>
      <c r="LN54" s="3">
        <v>3.1E-2</v>
      </c>
      <c r="LO54" s="3">
        <v>1.6E-2</v>
      </c>
      <c r="LP54" s="3">
        <v>6.9050000000000002</v>
      </c>
      <c r="LQ54" s="3">
        <v>3.734</v>
      </c>
      <c r="LR54" s="3">
        <v>7.9660000000000002</v>
      </c>
      <c r="LS54" s="3">
        <v>9.8160000000000007</v>
      </c>
      <c r="LT54" s="3">
        <v>3.1E-2</v>
      </c>
      <c r="LU54" s="3">
        <v>0</v>
      </c>
      <c r="LV54" s="3">
        <v>0</v>
      </c>
      <c r="LW54" s="3">
        <v>0</v>
      </c>
      <c r="LX54" s="3">
        <v>3.843</v>
      </c>
      <c r="LY54" s="3">
        <v>0.40699999999999997</v>
      </c>
      <c r="LZ54" s="3">
        <v>8.0920000000000005</v>
      </c>
      <c r="MA54" s="3">
        <v>1.6E-2</v>
      </c>
      <c r="MB54" s="3">
        <v>17.917999999999999</v>
      </c>
      <c r="MC54" s="3">
        <v>1.4999999999999999E-2</v>
      </c>
      <c r="MD54" s="3">
        <v>30.007999999999999</v>
      </c>
      <c r="ME54" s="3">
        <v>0</v>
      </c>
      <c r="MF54" s="3">
        <v>0</v>
      </c>
      <c r="MG54" s="3">
        <v>1.6E-2</v>
      </c>
      <c r="MH54" s="3">
        <v>33.866999999999997</v>
      </c>
      <c r="MI54" s="3">
        <v>3.1E-2</v>
      </c>
      <c r="MJ54" s="3">
        <v>58.44</v>
      </c>
      <c r="MK54" s="3">
        <v>58.392000000000003</v>
      </c>
      <c r="ML54" s="3">
        <v>16.591000000000001</v>
      </c>
      <c r="MM54" s="3">
        <v>1.6E-2</v>
      </c>
      <c r="MN54" s="3">
        <v>32.960999999999999</v>
      </c>
      <c r="MO54" s="3">
        <v>39.771999999999998</v>
      </c>
      <c r="MP54" s="3">
        <v>0</v>
      </c>
      <c r="MQ54" s="3">
        <v>0</v>
      </c>
      <c r="MR54" s="3">
        <v>20.088999999999999</v>
      </c>
      <c r="MS54" s="3">
        <v>0.73399999999999999</v>
      </c>
      <c r="MT54" s="3">
        <v>56.456000000000003</v>
      </c>
      <c r="MU54" s="3">
        <v>48.66</v>
      </c>
      <c r="MV54" s="3">
        <v>86.042000000000002</v>
      </c>
      <c r="MW54" s="3">
        <v>82.370999999999995</v>
      </c>
    </row>
    <row r="55" spans="1:361" x14ac:dyDescent="0.3">
      <c r="A55" s="3">
        <v>13</v>
      </c>
      <c r="B55" s="3">
        <v>0.437</v>
      </c>
      <c r="C55" s="3">
        <v>0</v>
      </c>
      <c r="D55" s="3">
        <v>0.79500000000000004</v>
      </c>
      <c r="E55" s="3">
        <v>1.111</v>
      </c>
      <c r="F55" s="3">
        <v>0</v>
      </c>
      <c r="G55" s="3">
        <v>0.56899999999999995</v>
      </c>
      <c r="H55" s="3">
        <v>1E-3</v>
      </c>
      <c r="I55" s="3">
        <v>2E-3</v>
      </c>
      <c r="J55" s="3">
        <v>4.0000000000000001E-3</v>
      </c>
      <c r="K55" s="3">
        <v>1.2E-2</v>
      </c>
      <c r="L55" s="3">
        <v>1.2E-2</v>
      </c>
      <c r="M55" s="3">
        <v>1.6E-2</v>
      </c>
      <c r="N55" s="3">
        <v>0.78600000000000003</v>
      </c>
      <c r="O55" s="3">
        <v>0.751</v>
      </c>
      <c r="P55" s="3">
        <v>2.0139999999999998</v>
      </c>
      <c r="Q55" s="3">
        <v>0</v>
      </c>
      <c r="R55" s="3">
        <v>3.371</v>
      </c>
      <c r="S55" s="3">
        <v>3.036</v>
      </c>
      <c r="T55" s="3">
        <v>2E-3</v>
      </c>
      <c r="U55" s="3">
        <v>3.0000000000000001E-3</v>
      </c>
      <c r="V55" s="3">
        <v>1.1180000000000001</v>
      </c>
      <c r="W55" s="3">
        <v>2.4700000000000002</v>
      </c>
      <c r="X55" s="3">
        <v>3.8679999999999999</v>
      </c>
      <c r="Y55" s="3">
        <v>4.5880000000000001</v>
      </c>
      <c r="Z55" s="3">
        <v>1.645</v>
      </c>
      <c r="AA55" s="3">
        <v>2.89</v>
      </c>
      <c r="AB55" s="3">
        <v>4.6079999999999997</v>
      </c>
      <c r="AC55" s="3">
        <v>3.7719999999999998</v>
      </c>
      <c r="AD55" s="3">
        <v>4.516</v>
      </c>
      <c r="AE55" s="3">
        <v>1E-3</v>
      </c>
      <c r="AF55" s="3">
        <v>2.1949999999999998</v>
      </c>
      <c r="AG55" s="3">
        <v>2.238</v>
      </c>
      <c r="AH55" s="3">
        <v>5.1580000000000004</v>
      </c>
      <c r="AI55" s="3">
        <v>5.1070000000000002</v>
      </c>
      <c r="AJ55" s="3">
        <v>6.4630000000000001</v>
      </c>
      <c r="AK55" s="3">
        <v>8.1470000000000002</v>
      </c>
      <c r="AL55" s="3">
        <v>0</v>
      </c>
      <c r="AM55" s="3">
        <v>1.4999999999999999E-2</v>
      </c>
      <c r="AN55" s="3">
        <v>7.9509999999999996</v>
      </c>
      <c r="AO55" s="3">
        <v>0.20300000000000001</v>
      </c>
      <c r="AP55" s="3">
        <v>8.4819999999999993</v>
      </c>
      <c r="AQ55" s="3">
        <v>0</v>
      </c>
      <c r="AR55" s="3">
        <v>0</v>
      </c>
      <c r="AS55" s="3">
        <v>1.6E-2</v>
      </c>
      <c r="AT55" s="3">
        <v>0</v>
      </c>
      <c r="AU55" s="3">
        <v>3.2000000000000001E-2</v>
      </c>
      <c r="AV55" s="3">
        <v>2.843</v>
      </c>
      <c r="AW55" s="3">
        <v>0.53200000000000003</v>
      </c>
      <c r="AX55" s="3">
        <v>1.6E-2</v>
      </c>
      <c r="AY55" s="3">
        <v>8.0289999999999999</v>
      </c>
      <c r="AZ55" s="3">
        <v>22.245000000000001</v>
      </c>
      <c r="BA55" s="3">
        <v>3.8740000000000001</v>
      </c>
      <c r="BB55" s="3">
        <v>26.51</v>
      </c>
      <c r="BC55" s="3">
        <v>30.571000000000002</v>
      </c>
      <c r="BD55" s="3">
        <v>0</v>
      </c>
      <c r="BE55" s="3">
        <v>0</v>
      </c>
      <c r="BF55" s="3">
        <v>17.652000000000001</v>
      </c>
      <c r="BG55" s="3">
        <v>24.541</v>
      </c>
      <c r="BH55" s="3">
        <v>44.488999999999997</v>
      </c>
      <c r="BI55" s="3">
        <v>76.545000000000002</v>
      </c>
      <c r="BJ55" s="3">
        <v>12.076000000000001</v>
      </c>
      <c r="BK55" s="3">
        <v>21.448</v>
      </c>
      <c r="BL55" s="3">
        <v>0</v>
      </c>
      <c r="BM55" s="3">
        <v>48.963000000000001</v>
      </c>
      <c r="BN55" s="3">
        <v>54.206000000000003</v>
      </c>
      <c r="BO55" s="3">
        <v>62.984999999999999</v>
      </c>
      <c r="BP55" s="3">
        <v>28.087</v>
      </c>
      <c r="BQ55" s="3">
        <v>13.622</v>
      </c>
      <c r="BR55" s="3">
        <v>60.110999999999997</v>
      </c>
      <c r="BS55" s="3">
        <v>58.954999999999998</v>
      </c>
      <c r="BT55" s="3">
        <v>79.653000000000006</v>
      </c>
      <c r="BU55" s="3">
        <v>77.028999999999996</v>
      </c>
      <c r="BV55" s="3">
        <v>0.13100000000000001</v>
      </c>
      <c r="BW55" s="3">
        <v>0</v>
      </c>
      <c r="BX55" s="3">
        <v>0.69699999999999995</v>
      </c>
      <c r="BY55" s="3">
        <v>1.006</v>
      </c>
      <c r="BZ55" s="3">
        <v>0.99399999999999999</v>
      </c>
      <c r="CA55" s="3">
        <v>1.048</v>
      </c>
      <c r="CB55" s="3">
        <v>1E-3</v>
      </c>
      <c r="CC55" s="3">
        <v>3.0000000000000001E-3</v>
      </c>
      <c r="CD55" s="3">
        <v>1E-3</v>
      </c>
      <c r="CE55" s="3">
        <v>1E-3</v>
      </c>
      <c r="CF55" s="3">
        <v>0.05</v>
      </c>
      <c r="CG55" s="3">
        <v>1.2E-2</v>
      </c>
      <c r="CH55" s="3">
        <v>0.91100000000000003</v>
      </c>
      <c r="CI55" s="3">
        <v>1E-3</v>
      </c>
      <c r="CJ55" s="3">
        <v>1.9039999999999999</v>
      </c>
      <c r="CK55" s="3">
        <v>2.0289999999999999</v>
      </c>
      <c r="CL55" s="3">
        <v>0</v>
      </c>
      <c r="CM55" s="3">
        <v>0</v>
      </c>
      <c r="CN55" s="3">
        <v>0.01</v>
      </c>
      <c r="CO55" s="3">
        <v>3.3000000000000002E-2</v>
      </c>
      <c r="CP55" s="3">
        <v>0.52</v>
      </c>
      <c r="CQ55" s="3">
        <v>3.0000000000000001E-3</v>
      </c>
      <c r="CR55" s="3">
        <v>5.4859999999999998</v>
      </c>
      <c r="CS55" s="3">
        <v>3.9359999999999999</v>
      </c>
      <c r="CT55" s="3">
        <v>0</v>
      </c>
      <c r="CU55" s="3">
        <v>0</v>
      </c>
      <c r="CV55" s="3">
        <v>0</v>
      </c>
      <c r="CW55" s="3">
        <v>1.2E-2</v>
      </c>
      <c r="CX55" s="3">
        <v>1E-3</v>
      </c>
      <c r="CY55" s="3">
        <v>0.16900000000000001</v>
      </c>
      <c r="CZ55" s="3">
        <v>3.0000000000000001E-3</v>
      </c>
      <c r="DA55" s="3">
        <v>0.01</v>
      </c>
      <c r="DB55" s="3">
        <v>6.4219999999999997</v>
      </c>
      <c r="DC55" s="3">
        <v>6.9509999999999996</v>
      </c>
      <c r="DD55" s="3">
        <v>7.8070000000000004</v>
      </c>
      <c r="DE55" s="3">
        <v>8.3670000000000009</v>
      </c>
      <c r="DF55" s="3">
        <v>1.4999999999999999E-2</v>
      </c>
      <c r="DG55" s="3">
        <v>3.359</v>
      </c>
      <c r="DH55" s="3">
        <v>0</v>
      </c>
      <c r="DI55" s="3">
        <v>9.0129999999999999</v>
      </c>
      <c r="DJ55" s="3">
        <v>0</v>
      </c>
      <c r="DK55" s="3">
        <v>10.419</v>
      </c>
      <c r="DL55" s="3">
        <v>1.6E-2</v>
      </c>
      <c r="DM55" s="3">
        <v>0</v>
      </c>
      <c r="DN55" s="3">
        <v>0</v>
      </c>
      <c r="DO55" s="3">
        <v>1.4999999999999999E-2</v>
      </c>
      <c r="DP55" s="3">
        <v>1.1559999999999999</v>
      </c>
      <c r="DQ55" s="3">
        <v>0.46800000000000003</v>
      </c>
      <c r="DR55" s="3">
        <v>0</v>
      </c>
      <c r="DS55" s="3">
        <v>0</v>
      </c>
      <c r="DT55" s="3">
        <v>21.853999999999999</v>
      </c>
      <c r="DU55" s="3">
        <v>15.167999999999999</v>
      </c>
      <c r="DV55" s="3">
        <v>0</v>
      </c>
      <c r="DW55" s="3">
        <v>0</v>
      </c>
      <c r="DX55" s="3">
        <v>3.1E-2</v>
      </c>
      <c r="DY55" s="3">
        <v>1.6E-2</v>
      </c>
      <c r="DZ55" s="3">
        <v>33.308</v>
      </c>
      <c r="EA55" s="3">
        <v>53.393999999999998</v>
      </c>
      <c r="EB55" s="3">
        <v>59.478999999999999</v>
      </c>
      <c r="EC55" s="3">
        <v>66.953000000000003</v>
      </c>
      <c r="ED55" s="3">
        <v>14.324999999999999</v>
      </c>
      <c r="EE55" s="3">
        <v>0.156</v>
      </c>
      <c r="EF55" s="3">
        <v>47.069000000000003</v>
      </c>
      <c r="EG55" s="3">
        <v>34.116999999999997</v>
      </c>
      <c r="EH55" s="3">
        <v>52.956000000000003</v>
      </c>
      <c r="EI55" s="3">
        <v>54.581000000000003</v>
      </c>
      <c r="EJ55" s="3">
        <v>22.446999999999999</v>
      </c>
      <c r="EK55" s="3">
        <v>31.29</v>
      </c>
      <c r="EL55" s="3">
        <v>51.018999999999998</v>
      </c>
      <c r="EM55" s="3">
        <v>61.984999999999999</v>
      </c>
      <c r="EN55" s="3">
        <v>84.448999999999998</v>
      </c>
      <c r="EO55" s="3">
        <v>90.677999999999997</v>
      </c>
      <c r="EP55" s="3">
        <v>0.16600000000000001</v>
      </c>
      <c r="EQ55" s="3">
        <v>6.0000000000000001E-3</v>
      </c>
      <c r="ER55" s="3">
        <v>0.71599999999999997</v>
      </c>
      <c r="ES55" s="3">
        <v>8.9999999999999993E-3</v>
      </c>
      <c r="ET55" s="3">
        <v>1.0569999999999999</v>
      </c>
      <c r="EU55" s="3">
        <v>1.234</v>
      </c>
      <c r="EV55" s="3">
        <v>0</v>
      </c>
      <c r="EW55" s="3">
        <v>1E-3</v>
      </c>
      <c r="EX55" s="3">
        <v>1E-3</v>
      </c>
      <c r="EY55" s="3">
        <v>2E-3</v>
      </c>
      <c r="EZ55" s="3">
        <v>6.8000000000000005E-2</v>
      </c>
      <c r="FA55" s="3">
        <v>4.0000000000000001E-3</v>
      </c>
      <c r="FB55" s="3">
        <v>7.0000000000000007E-2</v>
      </c>
      <c r="FC55" s="3">
        <v>1.109</v>
      </c>
      <c r="FD55" s="3">
        <v>1.984</v>
      </c>
      <c r="FE55" s="3">
        <v>1E-3</v>
      </c>
      <c r="FF55" s="3">
        <v>3.0779999999999998</v>
      </c>
      <c r="FG55" s="3">
        <v>4.4790000000000001</v>
      </c>
      <c r="FH55" s="3">
        <v>1E-3</v>
      </c>
      <c r="FI55" s="3">
        <v>1.4E-2</v>
      </c>
      <c r="FJ55" s="3">
        <v>0.40699999999999997</v>
      </c>
      <c r="FK55" s="3">
        <v>3.5000000000000003E-2</v>
      </c>
      <c r="FL55" s="3">
        <v>5.9550000000000001</v>
      </c>
      <c r="FM55" s="3">
        <v>3.8889999999999998</v>
      </c>
      <c r="FN55" s="3">
        <v>0</v>
      </c>
      <c r="FO55" s="3">
        <v>1.397</v>
      </c>
      <c r="FP55" s="3">
        <v>1E-3</v>
      </c>
      <c r="FQ55" s="3">
        <v>5.0140000000000002</v>
      </c>
      <c r="FR55" s="3">
        <v>6.0019999999999998</v>
      </c>
      <c r="FS55" s="3">
        <v>9.2999999999999999E-2</v>
      </c>
      <c r="FT55" s="3">
        <v>1.6060000000000001</v>
      </c>
      <c r="FU55" s="3">
        <v>2.0489999999999999</v>
      </c>
      <c r="FV55" s="3">
        <v>5.5549999999999997</v>
      </c>
      <c r="FW55" s="3">
        <v>4.3479999999999999</v>
      </c>
      <c r="FX55" s="3">
        <v>7.9630000000000001</v>
      </c>
      <c r="FY55" s="3">
        <v>8.7650000000000006</v>
      </c>
      <c r="FZ55" s="3">
        <v>2.0939999999999999</v>
      </c>
      <c r="GA55" s="3">
        <v>0</v>
      </c>
      <c r="GB55" s="3">
        <v>7.4980000000000002</v>
      </c>
      <c r="GC55" s="3">
        <v>9.9819999999999993</v>
      </c>
      <c r="GD55" s="3">
        <v>0</v>
      </c>
      <c r="GE55" s="3">
        <v>0.187</v>
      </c>
      <c r="GF55" s="3">
        <v>0</v>
      </c>
      <c r="GG55" s="3">
        <v>1.6E-2</v>
      </c>
      <c r="GH55" s="3">
        <v>4.7E-2</v>
      </c>
      <c r="GI55" s="3">
        <v>1.6E-2</v>
      </c>
      <c r="GJ55" s="3">
        <v>1.7490000000000001</v>
      </c>
      <c r="GK55" s="3">
        <v>0.28100000000000003</v>
      </c>
      <c r="GL55" s="3">
        <v>6.9820000000000002</v>
      </c>
      <c r="GM55" s="3">
        <v>8.6850000000000005</v>
      </c>
      <c r="GN55" s="3">
        <v>24.416</v>
      </c>
      <c r="GO55" s="3">
        <v>21.433</v>
      </c>
      <c r="GP55" s="3">
        <v>0</v>
      </c>
      <c r="GQ55" s="3">
        <v>0</v>
      </c>
      <c r="GR55" s="3">
        <v>1.6E-2</v>
      </c>
      <c r="GS55" s="3">
        <v>1.3120000000000001</v>
      </c>
      <c r="GT55" s="3">
        <v>40.569000000000003</v>
      </c>
      <c r="GU55" s="3">
        <v>8.3729999999999993</v>
      </c>
      <c r="GV55" s="3">
        <v>51.16</v>
      </c>
      <c r="GW55" s="3">
        <v>58.033999999999999</v>
      </c>
      <c r="GX55" s="3">
        <v>13.061999999999999</v>
      </c>
      <c r="GY55" s="3">
        <v>0</v>
      </c>
      <c r="GZ55" s="3">
        <v>0</v>
      </c>
      <c r="HA55" s="3">
        <v>34.82</v>
      </c>
      <c r="HB55" s="3">
        <v>51.722000000000001</v>
      </c>
      <c r="HC55" s="3">
        <v>0</v>
      </c>
      <c r="HD55" s="3">
        <v>19.667000000000002</v>
      </c>
      <c r="HE55" s="3">
        <v>26.15</v>
      </c>
      <c r="HF55" s="3">
        <v>51.018999999999998</v>
      </c>
      <c r="HG55" s="3">
        <v>56.298999999999999</v>
      </c>
      <c r="HH55" s="3">
        <v>77.543999999999997</v>
      </c>
      <c r="HI55" s="3">
        <v>88.869</v>
      </c>
      <c r="HJ55" s="3">
        <v>3.1E-2</v>
      </c>
      <c r="HK55" s="3">
        <v>0.13100000000000001</v>
      </c>
      <c r="HL55" s="3">
        <v>0.89700000000000002</v>
      </c>
      <c r="HM55" s="3">
        <v>0.98899999999999999</v>
      </c>
      <c r="HN55" s="3">
        <v>0.91200000000000003</v>
      </c>
      <c r="HO55" s="3">
        <v>2E-3</v>
      </c>
      <c r="HP55" s="3">
        <v>0</v>
      </c>
      <c r="HQ55" s="3">
        <v>3.0000000000000001E-3</v>
      </c>
      <c r="HR55" s="3">
        <v>1.7000000000000001E-2</v>
      </c>
      <c r="HS55" s="3">
        <v>7.0000000000000001E-3</v>
      </c>
      <c r="HT55" s="3">
        <v>8.0000000000000002E-3</v>
      </c>
      <c r="HU55" s="3">
        <v>4.0000000000000001E-3</v>
      </c>
      <c r="HV55" s="3">
        <v>0</v>
      </c>
      <c r="HW55" s="3">
        <v>1.155</v>
      </c>
      <c r="HX55" s="3">
        <v>1.8380000000000001</v>
      </c>
      <c r="HY55" s="3">
        <v>0</v>
      </c>
      <c r="HZ55" s="3">
        <v>2.5910000000000002</v>
      </c>
      <c r="IA55" s="3">
        <v>0</v>
      </c>
      <c r="IB55" s="3">
        <v>7.0000000000000001E-3</v>
      </c>
      <c r="IC55" s="3">
        <v>2E-3</v>
      </c>
      <c r="ID55" s="3">
        <v>8.0000000000000002E-3</v>
      </c>
      <c r="IE55" s="3">
        <v>2.9540000000000002</v>
      </c>
      <c r="IF55" s="3">
        <v>5.0999999999999996</v>
      </c>
      <c r="IG55" s="3">
        <v>4.508</v>
      </c>
      <c r="IH55" s="3">
        <v>1E-3</v>
      </c>
      <c r="II55" s="3">
        <v>4.26</v>
      </c>
      <c r="IJ55" s="3">
        <v>4.1959999999999997</v>
      </c>
      <c r="IK55" s="3">
        <v>4.3319999999999999</v>
      </c>
      <c r="IL55" s="3">
        <v>1E-3</v>
      </c>
      <c r="IM55" s="3">
        <v>0</v>
      </c>
      <c r="IN55" s="3">
        <v>3.0000000000000001E-3</v>
      </c>
      <c r="IO55" s="3">
        <v>3.9E-2</v>
      </c>
      <c r="IP55" s="3">
        <v>6.7859999999999996</v>
      </c>
      <c r="IQ55" s="3">
        <v>5.0579999999999998</v>
      </c>
      <c r="IR55" s="3">
        <v>7.6470000000000002</v>
      </c>
      <c r="IS55" s="3">
        <v>8.8960000000000008</v>
      </c>
      <c r="IT55" s="3">
        <v>1.4999999999999999E-2</v>
      </c>
      <c r="IU55" s="3">
        <v>2.25</v>
      </c>
      <c r="IV55" s="3">
        <v>7.42</v>
      </c>
      <c r="IW55" s="3">
        <v>6.4829999999999997</v>
      </c>
      <c r="IX55" s="3">
        <v>7.5140000000000002</v>
      </c>
      <c r="IY55" s="3">
        <v>0.109</v>
      </c>
      <c r="IZ55" s="3">
        <v>0</v>
      </c>
      <c r="JA55" s="3">
        <v>0</v>
      </c>
      <c r="JB55" s="3">
        <v>3.2000000000000001E-2</v>
      </c>
      <c r="JC55" s="3">
        <v>0.20300000000000001</v>
      </c>
      <c r="JD55" s="3">
        <v>11.824999999999999</v>
      </c>
      <c r="JE55" s="3">
        <v>7.8E-2</v>
      </c>
      <c r="JF55" s="3">
        <v>8.0609999999999999</v>
      </c>
      <c r="JG55" s="3">
        <v>0</v>
      </c>
      <c r="JH55" s="3">
        <v>0</v>
      </c>
      <c r="JI55" s="3">
        <v>0</v>
      </c>
      <c r="JJ55" s="3">
        <v>0</v>
      </c>
      <c r="JK55" s="3">
        <v>26.867999999999999</v>
      </c>
      <c r="JL55" s="3">
        <v>0.156</v>
      </c>
      <c r="JM55" s="3">
        <v>1.6E-2</v>
      </c>
      <c r="JN55" s="3">
        <v>39.521999999999998</v>
      </c>
      <c r="JO55" s="3">
        <v>45.973999999999997</v>
      </c>
      <c r="JP55" s="3">
        <v>47.207999999999998</v>
      </c>
      <c r="JQ55" s="3">
        <v>49.942</v>
      </c>
      <c r="JR55" s="3">
        <v>0</v>
      </c>
      <c r="JS55" s="3">
        <v>22.791</v>
      </c>
      <c r="JT55" s="3">
        <v>31.494</v>
      </c>
      <c r="JU55" s="3">
        <v>0</v>
      </c>
      <c r="JV55" s="3">
        <v>52.034999999999997</v>
      </c>
      <c r="JW55" s="3">
        <v>4.7169999999999996</v>
      </c>
      <c r="JX55" s="3">
        <v>29.181000000000001</v>
      </c>
      <c r="JY55" s="3">
        <v>23.651</v>
      </c>
      <c r="JZ55" s="3">
        <v>48.301000000000002</v>
      </c>
      <c r="KA55" s="3">
        <v>55.923999999999999</v>
      </c>
      <c r="KB55" s="3">
        <v>85.635999999999996</v>
      </c>
      <c r="KC55" s="3">
        <v>84.698999999999998</v>
      </c>
      <c r="KD55" s="3">
        <v>2E-3</v>
      </c>
      <c r="KE55" s="3">
        <v>0.49</v>
      </c>
      <c r="KF55" s="3">
        <v>1.6E-2</v>
      </c>
      <c r="KG55" s="3">
        <v>0.82599999999999996</v>
      </c>
      <c r="KH55" s="3">
        <v>1.3959999999999999</v>
      </c>
      <c r="KI55" s="3">
        <v>1.782</v>
      </c>
      <c r="KJ55" s="3">
        <v>1.7999999999999999E-2</v>
      </c>
      <c r="KK55" s="3">
        <v>0</v>
      </c>
      <c r="KL55" s="3">
        <v>1E-3</v>
      </c>
      <c r="KM55" s="3">
        <v>4.0000000000000001E-3</v>
      </c>
      <c r="KN55" s="3">
        <v>2.8000000000000001E-2</v>
      </c>
      <c r="KO55" s="3">
        <v>8.9999999999999993E-3</v>
      </c>
      <c r="KP55" s="3">
        <v>0</v>
      </c>
      <c r="KQ55" s="3">
        <v>1.49</v>
      </c>
      <c r="KR55" s="3">
        <v>1.458</v>
      </c>
      <c r="KS55" s="3">
        <v>2.8620000000000001</v>
      </c>
      <c r="KT55" s="3">
        <v>0</v>
      </c>
      <c r="KU55" s="3">
        <v>1E-3</v>
      </c>
      <c r="KV55" s="3">
        <v>1E-3</v>
      </c>
      <c r="KW55" s="3">
        <v>2E-3</v>
      </c>
      <c r="KX55" s="3">
        <v>0.115</v>
      </c>
      <c r="KY55" s="3">
        <v>4.2000000000000003E-2</v>
      </c>
      <c r="KZ55" s="3">
        <v>5.4779999999999998</v>
      </c>
      <c r="LA55" s="3">
        <v>5.51</v>
      </c>
      <c r="LB55" s="3">
        <v>1.617</v>
      </c>
      <c r="LC55" s="3">
        <v>1E-3</v>
      </c>
      <c r="LD55" s="3">
        <v>3.6040000000000001</v>
      </c>
      <c r="LE55" s="3">
        <v>3.9129999999999998</v>
      </c>
      <c r="LF55" s="3">
        <v>0</v>
      </c>
      <c r="LG55" s="3">
        <v>2E-3</v>
      </c>
      <c r="LH55" s="3">
        <v>2E-3</v>
      </c>
      <c r="LI55" s="3">
        <v>1.9319999999999999</v>
      </c>
      <c r="LJ55" s="3">
        <v>5.0949999999999998</v>
      </c>
      <c r="LK55" s="3">
        <v>5.6740000000000004</v>
      </c>
      <c r="LL55" s="3">
        <v>7.6050000000000004</v>
      </c>
      <c r="LM55" s="3">
        <v>7.9669999999999996</v>
      </c>
      <c r="LN55" s="3">
        <v>1.4999999999999999E-2</v>
      </c>
      <c r="LO55" s="3">
        <v>0</v>
      </c>
      <c r="LP55" s="3">
        <v>7.4509999999999996</v>
      </c>
      <c r="LQ55" s="3">
        <v>3.7490000000000001</v>
      </c>
      <c r="LR55" s="3">
        <v>8.2949999999999999</v>
      </c>
      <c r="LS55" s="3">
        <v>9.8719999999999999</v>
      </c>
      <c r="LT55" s="3">
        <v>1.6E-2</v>
      </c>
      <c r="LU55" s="3">
        <v>1.6E-2</v>
      </c>
      <c r="LV55" s="3">
        <v>1.6E-2</v>
      </c>
      <c r="LW55" s="3">
        <v>0</v>
      </c>
      <c r="LX55" s="3">
        <v>4.6239999999999997</v>
      </c>
      <c r="LY55" s="3">
        <v>1.234</v>
      </c>
      <c r="LZ55" s="3">
        <v>8.6539999999999999</v>
      </c>
      <c r="MA55" s="3">
        <v>0</v>
      </c>
      <c r="MB55" s="3">
        <v>17.87</v>
      </c>
      <c r="MC55" s="3">
        <v>0</v>
      </c>
      <c r="MD55" s="3">
        <v>26.556000000000001</v>
      </c>
      <c r="ME55" s="3">
        <v>1.6E-2</v>
      </c>
      <c r="MF55" s="3">
        <v>1.6E-2</v>
      </c>
      <c r="MG55" s="3">
        <v>1.4999999999999999E-2</v>
      </c>
      <c r="MH55" s="3">
        <v>35.756999999999998</v>
      </c>
      <c r="MI55" s="3">
        <v>0.17199999999999999</v>
      </c>
      <c r="MJ55" s="3">
        <v>54.19</v>
      </c>
      <c r="MK55" s="3">
        <v>55.94</v>
      </c>
      <c r="ML55" s="3">
        <v>17.167000000000002</v>
      </c>
      <c r="MM55" s="3">
        <v>0</v>
      </c>
      <c r="MN55" s="3">
        <v>33.101999999999997</v>
      </c>
      <c r="MO55" s="3">
        <v>42.942999999999998</v>
      </c>
      <c r="MP55" s="3">
        <v>0</v>
      </c>
      <c r="MQ55" s="3">
        <v>1.4999999999999999E-2</v>
      </c>
      <c r="MR55" s="3">
        <v>21.228999999999999</v>
      </c>
      <c r="MS55" s="3">
        <v>0.93700000000000006</v>
      </c>
      <c r="MT55" s="3">
        <v>55.237000000000002</v>
      </c>
      <c r="MU55" s="3">
        <v>49.097999999999999</v>
      </c>
      <c r="MV55" s="3">
        <v>90.619</v>
      </c>
      <c r="MW55" s="3">
        <v>76.295000000000002</v>
      </c>
    </row>
    <row r="56" spans="1:361" x14ac:dyDescent="0.3">
      <c r="A56" s="3">
        <v>14</v>
      </c>
      <c r="B56" s="3">
        <v>0.501</v>
      </c>
      <c r="C56" s="3">
        <v>0</v>
      </c>
      <c r="D56" s="3">
        <v>0.77500000000000002</v>
      </c>
      <c r="E56" s="3">
        <v>0.97799999999999998</v>
      </c>
      <c r="F56" s="3">
        <v>0</v>
      </c>
      <c r="G56" s="3">
        <v>1.3879999999999999</v>
      </c>
      <c r="H56" s="3">
        <v>1E-3</v>
      </c>
      <c r="I56" s="3">
        <v>2E-3</v>
      </c>
      <c r="J56" s="3">
        <v>1.0999999999999999E-2</v>
      </c>
      <c r="K56" s="3">
        <v>1.7000000000000001E-2</v>
      </c>
      <c r="L56" s="3">
        <v>2.4E-2</v>
      </c>
      <c r="M56" s="3">
        <v>3.3000000000000002E-2</v>
      </c>
      <c r="N56" s="3">
        <v>0.72599999999999998</v>
      </c>
      <c r="O56" s="3">
        <v>0.92300000000000004</v>
      </c>
      <c r="P56" s="3">
        <v>1.885</v>
      </c>
      <c r="Q56" s="3">
        <v>0</v>
      </c>
      <c r="R56" s="3">
        <v>3.2829999999999999</v>
      </c>
      <c r="S56" s="3">
        <v>3.1520000000000001</v>
      </c>
      <c r="T56" s="3">
        <v>1E-3</v>
      </c>
      <c r="U56" s="3">
        <v>3.0000000000000001E-3</v>
      </c>
      <c r="V56" s="3">
        <v>0.58599999999999997</v>
      </c>
      <c r="W56" s="3">
        <v>2.488</v>
      </c>
      <c r="X56" s="3">
        <v>3.899</v>
      </c>
      <c r="Y56" s="3">
        <v>4.8689999999999998</v>
      </c>
      <c r="Z56" s="3">
        <v>1.619</v>
      </c>
      <c r="AA56" s="3">
        <v>2.3690000000000002</v>
      </c>
      <c r="AB56" s="3">
        <v>4.5490000000000004</v>
      </c>
      <c r="AC56" s="3">
        <v>3.93</v>
      </c>
      <c r="AD56" s="3">
        <v>4.5720000000000001</v>
      </c>
      <c r="AE56" s="3">
        <v>0</v>
      </c>
      <c r="AF56" s="3">
        <v>2.109</v>
      </c>
      <c r="AG56" s="3">
        <v>2.2610000000000001</v>
      </c>
      <c r="AH56" s="3">
        <v>5.1589999999999998</v>
      </c>
      <c r="AI56" s="3">
        <v>5.798</v>
      </c>
      <c r="AJ56" s="3">
        <v>6.1859999999999999</v>
      </c>
      <c r="AK56" s="3">
        <v>8.5579999999999998</v>
      </c>
      <c r="AL56" s="3">
        <v>1.4999999999999999E-2</v>
      </c>
      <c r="AM56" s="3">
        <v>0</v>
      </c>
      <c r="AN56" s="3">
        <v>7.67</v>
      </c>
      <c r="AO56" s="3">
        <v>1.6E-2</v>
      </c>
      <c r="AP56" s="3">
        <v>8.3260000000000005</v>
      </c>
      <c r="AQ56" s="3">
        <v>0.23400000000000001</v>
      </c>
      <c r="AR56" s="3">
        <v>1.6E-2</v>
      </c>
      <c r="AS56" s="3">
        <v>3.1E-2</v>
      </c>
      <c r="AT56" s="3">
        <v>1.6E-2</v>
      </c>
      <c r="AU56" s="3">
        <v>1.4999999999999999E-2</v>
      </c>
      <c r="AV56" s="3">
        <v>2.9369999999999998</v>
      </c>
      <c r="AW56" s="3">
        <v>0.312</v>
      </c>
      <c r="AX56" s="3">
        <v>0</v>
      </c>
      <c r="AY56" s="3">
        <v>7.9820000000000002</v>
      </c>
      <c r="AZ56" s="3">
        <v>23.276</v>
      </c>
      <c r="BA56" s="3">
        <v>2.516</v>
      </c>
      <c r="BB56" s="3">
        <v>25.151</v>
      </c>
      <c r="BC56" s="3">
        <v>28.056000000000001</v>
      </c>
      <c r="BD56" s="3">
        <v>1.6E-2</v>
      </c>
      <c r="BE56" s="3">
        <v>1.6E-2</v>
      </c>
      <c r="BF56" s="3">
        <v>2.25</v>
      </c>
      <c r="BG56" s="3">
        <v>3.0779999999999998</v>
      </c>
      <c r="BH56" s="3">
        <v>50.302999999999997</v>
      </c>
      <c r="BI56" s="3">
        <v>68.748999999999995</v>
      </c>
      <c r="BJ56" s="3">
        <v>12.169</v>
      </c>
      <c r="BK56" s="3">
        <v>20.588999999999999</v>
      </c>
      <c r="BL56" s="3">
        <v>0</v>
      </c>
      <c r="BM56" s="3">
        <v>41.319000000000003</v>
      </c>
      <c r="BN56" s="3">
        <v>54.597000000000001</v>
      </c>
      <c r="BO56" s="3">
        <v>60.875999999999998</v>
      </c>
      <c r="BP56" s="3">
        <v>28.603000000000002</v>
      </c>
      <c r="BQ56" s="3">
        <v>7.4820000000000002</v>
      </c>
      <c r="BR56" s="3">
        <v>53.753</v>
      </c>
      <c r="BS56" s="3">
        <v>59.548999999999999</v>
      </c>
      <c r="BT56" s="3">
        <v>79.840999999999994</v>
      </c>
      <c r="BU56" s="3">
        <v>78.215999999999994</v>
      </c>
      <c r="BV56" s="3">
        <v>0.114</v>
      </c>
      <c r="BW56" s="3">
        <v>0</v>
      </c>
      <c r="BX56" s="3">
        <v>0.70899999999999996</v>
      </c>
      <c r="BY56" s="3">
        <v>0.999</v>
      </c>
      <c r="BZ56" s="3">
        <v>1.0980000000000001</v>
      </c>
      <c r="CA56" s="3">
        <v>1</v>
      </c>
      <c r="CB56" s="3">
        <v>2E-3</v>
      </c>
      <c r="CC56" s="3">
        <v>2E-3</v>
      </c>
      <c r="CD56" s="3">
        <v>2E-3</v>
      </c>
      <c r="CE56" s="3">
        <v>1E-3</v>
      </c>
      <c r="CF56" s="3">
        <v>4.9000000000000002E-2</v>
      </c>
      <c r="CG56" s="3">
        <v>8.9999999999999993E-3</v>
      </c>
      <c r="CH56" s="3">
        <v>0.90800000000000003</v>
      </c>
      <c r="CI56" s="3">
        <v>1E-3</v>
      </c>
      <c r="CJ56" s="3">
        <v>1.972</v>
      </c>
      <c r="CK56" s="3">
        <v>1.788</v>
      </c>
      <c r="CL56" s="3">
        <v>0</v>
      </c>
      <c r="CM56" s="3">
        <v>0</v>
      </c>
      <c r="CN56" s="3">
        <v>1E-3</v>
      </c>
      <c r="CO56" s="3">
        <v>1.4999999999999999E-2</v>
      </c>
      <c r="CP56" s="3">
        <v>0.25</v>
      </c>
      <c r="CQ56" s="3">
        <v>2.8000000000000001E-2</v>
      </c>
      <c r="CR56" s="3">
        <v>4.9880000000000004</v>
      </c>
      <c r="CS56" s="3">
        <v>3.7919999999999998</v>
      </c>
      <c r="CT56" s="3">
        <v>1E-3</v>
      </c>
      <c r="CU56" s="3">
        <v>0</v>
      </c>
      <c r="CV56" s="3">
        <v>0</v>
      </c>
      <c r="CW56" s="3">
        <v>2E-3</v>
      </c>
      <c r="CX56" s="3">
        <v>1E-3</v>
      </c>
      <c r="CY56" s="3">
        <v>3.4000000000000002E-2</v>
      </c>
      <c r="CZ56" s="3">
        <v>2E-3</v>
      </c>
      <c r="DA56" s="3">
        <v>3.9E-2</v>
      </c>
      <c r="DB56" s="3">
        <v>6.47</v>
      </c>
      <c r="DC56" s="3">
        <v>6.6559999999999997</v>
      </c>
      <c r="DD56" s="3">
        <v>7.6379999999999999</v>
      </c>
      <c r="DE56" s="3">
        <v>8.1</v>
      </c>
      <c r="DF56" s="3">
        <v>0.56299999999999994</v>
      </c>
      <c r="DG56" s="3">
        <v>2.9990000000000001</v>
      </c>
      <c r="DH56" s="3">
        <v>6.3E-2</v>
      </c>
      <c r="DI56" s="3">
        <v>9.0139999999999993</v>
      </c>
      <c r="DJ56" s="3">
        <v>0</v>
      </c>
      <c r="DK56" s="3">
        <v>9.2170000000000005</v>
      </c>
      <c r="DL56" s="3">
        <v>0</v>
      </c>
      <c r="DM56" s="3">
        <v>0</v>
      </c>
      <c r="DN56" s="3">
        <v>1.4999999999999999E-2</v>
      </c>
      <c r="DO56" s="3">
        <v>9.4E-2</v>
      </c>
      <c r="DP56" s="3">
        <v>0.46800000000000003</v>
      </c>
      <c r="DQ56" s="3">
        <v>0.219</v>
      </c>
      <c r="DR56" s="3">
        <v>0</v>
      </c>
      <c r="DS56" s="3">
        <v>0</v>
      </c>
      <c r="DT56" s="3">
        <v>22.651</v>
      </c>
      <c r="DU56" s="3">
        <v>15.637</v>
      </c>
      <c r="DV56" s="3">
        <v>0</v>
      </c>
      <c r="DW56" s="3">
        <v>0</v>
      </c>
      <c r="DX56" s="3">
        <v>3.1E-2</v>
      </c>
      <c r="DY56" s="3">
        <v>3.1E-2</v>
      </c>
      <c r="DZ56" s="3">
        <v>32.648000000000003</v>
      </c>
      <c r="EA56" s="3">
        <v>61.360999999999997</v>
      </c>
      <c r="EB56" s="3">
        <v>60.795000000000002</v>
      </c>
      <c r="EC56" s="3">
        <v>61.048000000000002</v>
      </c>
      <c r="ED56" s="3">
        <v>13.137</v>
      </c>
      <c r="EE56" s="3">
        <v>0.32800000000000001</v>
      </c>
      <c r="EF56" s="3">
        <v>45.457999999999998</v>
      </c>
      <c r="EG56" s="3">
        <v>34.055</v>
      </c>
      <c r="EH56" s="3">
        <v>53.066000000000003</v>
      </c>
      <c r="EI56" s="3">
        <v>6.3730000000000002</v>
      </c>
      <c r="EJ56" s="3">
        <v>20.760999999999999</v>
      </c>
      <c r="EK56" s="3">
        <v>29.962</v>
      </c>
      <c r="EL56" s="3">
        <v>49.966000000000001</v>
      </c>
      <c r="EM56" s="3">
        <v>59.975000000000001</v>
      </c>
      <c r="EN56" s="3">
        <v>87.040999999999997</v>
      </c>
      <c r="EO56" s="3">
        <v>76.42</v>
      </c>
      <c r="EP56" s="3">
        <v>0.20799999999999999</v>
      </c>
      <c r="EQ56" s="3">
        <v>2E-3</v>
      </c>
      <c r="ER56" s="3">
        <v>0.64900000000000002</v>
      </c>
      <c r="ES56" s="3">
        <v>7.3999999999999996E-2</v>
      </c>
      <c r="ET56" s="3">
        <v>1.056</v>
      </c>
      <c r="EU56" s="3">
        <v>1.2729999999999999</v>
      </c>
      <c r="EV56" s="3">
        <v>2E-3</v>
      </c>
      <c r="EW56" s="3">
        <v>1E-3</v>
      </c>
      <c r="EX56" s="3">
        <v>2E-3</v>
      </c>
      <c r="EY56" s="3">
        <v>2E-3</v>
      </c>
      <c r="EZ56" s="3">
        <v>1.4E-2</v>
      </c>
      <c r="FA56" s="3">
        <v>4.0000000000000001E-3</v>
      </c>
      <c r="FB56" s="3">
        <v>6.8000000000000005E-2</v>
      </c>
      <c r="FC56" s="3">
        <v>1.109</v>
      </c>
      <c r="FD56" s="3">
        <v>2.0230000000000001</v>
      </c>
      <c r="FE56" s="3">
        <v>0</v>
      </c>
      <c r="FF56" s="3">
        <v>2.8330000000000002</v>
      </c>
      <c r="FG56" s="3">
        <v>4.1289999999999996</v>
      </c>
      <c r="FH56" s="3">
        <v>1.2E-2</v>
      </c>
      <c r="FI56" s="3">
        <v>8.9999999999999993E-3</v>
      </c>
      <c r="FJ56" s="3">
        <v>0.48399999999999999</v>
      </c>
      <c r="FK56" s="3">
        <v>1.7000000000000001E-2</v>
      </c>
      <c r="FL56" s="3">
        <v>5.8630000000000004</v>
      </c>
      <c r="FM56" s="3">
        <v>3.9630000000000001</v>
      </c>
      <c r="FN56" s="3">
        <v>1E-3</v>
      </c>
      <c r="FO56" s="3">
        <v>1.5980000000000001</v>
      </c>
      <c r="FP56" s="3">
        <v>0</v>
      </c>
      <c r="FQ56" s="3">
        <v>4.6440000000000001</v>
      </c>
      <c r="FR56" s="3">
        <v>7.0890000000000004</v>
      </c>
      <c r="FS56" s="3">
        <v>1.2549999999999999</v>
      </c>
      <c r="FT56" s="3">
        <v>1.5640000000000001</v>
      </c>
      <c r="FU56" s="3">
        <v>2.0750000000000002</v>
      </c>
      <c r="FV56" s="3">
        <v>4.9539999999999997</v>
      </c>
      <c r="FW56" s="3">
        <v>4.5599999999999996</v>
      </c>
      <c r="FX56" s="3">
        <v>8.2210000000000001</v>
      </c>
      <c r="FY56" s="3">
        <v>7.9850000000000003</v>
      </c>
      <c r="FZ56" s="3">
        <v>2.359</v>
      </c>
      <c r="GA56" s="3">
        <v>1.6E-2</v>
      </c>
      <c r="GB56" s="3">
        <v>7.8259999999999996</v>
      </c>
      <c r="GC56" s="3">
        <v>8.2789999999999999</v>
      </c>
      <c r="GD56" s="3">
        <v>0</v>
      </c>
      <c r="GE56" s="3">
        <v>0.26600000000000001</v>
      </c>
      <c r="GF56" s="3">
        <v>1.6E-2</v>
      </c>
      <c r="GG56" s="3">
        <v>1.6E-2</v>
      </c>
      <c r="GH56" s="3">
        <v>0</v>
      </c>
      <c r="GI56" s="3">
        <v>1.6E-2</v>
      </c>
      <c r="GJ56" s="3">
        <v>0.28100000000000003</v>
      </c>
      <c r="GK56" s="3">
        <v>0.57799999999999996</v>
      </c>
      <c r="GL56" s="3">
        <v>6.9989999999999997</v>
      </c>
      <c r="GM56" s="3">
        <v>8.9670000000000005</v>
      </c>
      <c r="GN56" s="3">
        <v>25.431000000000001</v>
      </c>
      <c r="GO56" s="3">
        <v>20.917000000000002</v>
      </c>
      <c r="GP56" s="3">
        <v>0</v>
      </c>
      <c r="GQ56" s="3">
        <v>0</v>
      </c>
      <c r="GR56" s="3">
        <v>3.1E-2</v>
      </c>
      <c r="GS56" s="3">
        <v>0.125</v>
      </c>
      <c r="GT56" s="3">
        <v>44.365000000000002</v>
      </c>
      <c r="GU56" s="3">
        <v>7.0759999999999996</v>
      </c>
      <c r="GV56" s="3">
        <v>52.878</v>
      </c>
      <c r="GW56" s="3">
        <v>57.220999999999997</v>
      </c>
      <c r="GX56" s="3">
        <v>5.718</v>
      </c>
      <c r="GY56" s="3">
        <v>0</v>
      </c>
      <c r="GZ56" s="3">
        <v>0</v>
      </c>
      <c r="HA56" s="3">
        <v>35.366999999999997</v>
      </c>
      <c r="HB56" s="3">
        <v>51.91</v>
      </c>
      <c r="HC56" s="3">
        <v>0</v>
      </c>
      <c r="HD56" s="3">
        <v>18.715</v>
      </c>
      <c r="HE56" s="3">
        <v>26.119</v>
      </c>
      <c r="HF56" s="3">
        <v>49.966000000000001</v>
      </c>
      <c r="HG56" s="3">
        <v>54.018999999999998</v>
      </c>
      <c r="HH56" s="3">
        <v>76.575999999999993</v>
      </c>
      <c r="HI56" s="3">
        <v>79.855999999999995</v>
      </c>
      <c r="HJ56" s="3">
        <v>2.5999999999999999E-2</v>
      </c>
      <c r="HK56" s="3">
        <v>0.129</v>
      </c>
      <c r="HL56" s="3">
        <v>0.78600000000000003</v>
      </c>
      <c r="HM56" s="3">
        <v>1.0069999999999999</v>
      </c>
      <c r="HN56" s="3">
        <v>1.008</v>
      </c>
      <c r="HO56" s="3">
        <v>2E-3</v>
      </c>
      <c r="HP56" s="3">
        <v>1E-3</v>
      </c>
      <c r="HQ56" s="3">
        <v>2E-3</v>
      </c>
      <c r="HR56" s="3">
        <v>1.2999999999999999E-2</v>
      </c>
      <c r="HS56" s="3">
        <v>1.4999999999999999E-2</v>
      </c>
      <c r="HT56" s="3">
        <v>8.9999999999999993E-3</v>
      </c>
      <c r="HU56" s="3">
        <v>4.0000000000000001E-3</v>
      </c>
      <c r="HV56" s="3">
        <v>0</v>
      </c>
      <c r="HW56" s="3">
        <v>1.175</v>
      </c>
      <c r="HX56" s="3">
        <v>1.8</v>
      </c>
      <c r="HY56" s="3">
        <v>1E-3</v>
      </c>
      <c r="HZ56" s="3">
        <v>2.7360000000000002</v>
      </c>
      <c r="IA56" s="3">
        <v>0</v>
      </c>
      <c r="IB56" s="3">
        <v>1.2999999999999999E-2</v>
      </c>
      <c r="IC56" s="3">
        <v>2E-3</v>
      </c>
      <c r="ID56" s="3">
        <v>1.2999999999999999E-2</v>
      </c>
      <c r="IE56" s="3">
        <v>2.9710000000000001</v>
      </c>
      <c r="IF56" s="3">
        <v>4.9459999999999997</v>
      </c>
      <c r="IG56" s="3">
        <v>5.0709999999999997</v>
      </c>
      <c r="IH56" s="3">
        <v>1E-3</v>
      </c>
      <c r="II56" s="3">
        <v>3.6720000000000002</v>
      </c>
      <c r="IJ56" s="3">
        <v>4.4729999999999999</v>
      </c>
      <c r="IK56" s="3">
        <v>4.1660000000000004</v>
      </c>
      <c r="IL56" s="3">
        <v>0</v>
      </c>
      <c r="IM56" s="3">
        <v>1E-3</v>
      </c>
      <c r="IN56" s="3">
        <v>4.0000000000000001E-3</v>
      </c>
      <c r="IO56" s="3">
        <v>8.9999999999999993E-3</v>
      </c>
      <c r="IP56" s="3">
        <v>5.6790000000000003</v>
      </c>
      <c r="IQ56" s="3">
        <v>5.5750000000000002</v>
      </c>
      <c r="IR56" s="3">
        <v>6.5229999999999997</v>
      </c>
      <c r="IS56" s="3">
        <v>8.8109999999999999</v>
      </c>
      <c r="IT56" s="3">
        <v>7.8E-2</v>
      </c>
      <c r="IU56" s="3">
        <v>2.609</v>
      </c>
      <c r="IV56" s="3">
        <v>7.6230000000000002</v>
      </c>
      <c r="IW56" s="3">
        <v>1.25</v>
      </c>
      <c r="IX56" s="3">
        <v>7.5609999999999999</v>
      </c>
      <c r="IY56" s="3">
        <v>0.375</v>
      </c>
      <c r="IZ56" s="3">
        <v>0</v>
      </c>
      <c r="JA56" s="3">
        <v>0</v>
      </c>
      <c r="JB56" s="3">
        <v>9.2999999999999999E-2</v>
      </c>
      <c r="JC56" s="3">
        <v>0.125</v>
      </c>
      <c r="JD56" s="3">
        <v>2.75</v>
      </c>
      <c r="JE56" s="3">
        <v>0.71899999999999997</v>
      </c>
      <c r="JF56" s="3">
        <v>8.0289999999999999</v>
      </c>
      <c r="JG56" s="3">
        <v>0</v>
      </c>
      <c r="JH56" s="3">
        <v>0</v>
      </c>
      <c r="JI56" s="3">
        <v>0</v>
      </c>
      <c r="JJ56" s="3">
        <v>0</v>
      </c>
      <c r="JK56" s="3">
        <v>26.119</v>
      </c>
      <c r="JL56" s="3">
        <v>1.6E-2</v>
      </c>
      <c r="JM56" s="3">
        <v>0</v>
      </c>
      <c r="JN56" s="3">
        <v>13.872</v>
      </c>
      <c r="JO56" s="3">
        <v>40.959000000000003</v>
      </c>
      <c r="JP56" s="3">
        <v>48.192</v>
      </c>
      <c r="JQ56" s="3">
        <v>43.49</v>
      </c>
      <c r="JR56" s="3">
        <v>0</v>
      </c>
      <c r="JS56" s="3">
        <v>19.558</v>
      </c>
      <c r="JT56" s="3">
        <v>31.055</v>
      </c>
      <c r="JU56" s="3">
        <v>0</v>
      </c>
      <c r="JV56" s="3">
        <v>52.503</v>
      </c>
      <c r="JW56" s="3">
        <v>2.359</v>
      </c>
      <c r="JX56" s="3">
        <v>30.210999999999999</v>
      </c>
      <c r="JY56" s="3">
        <v>22.401</v>
      </c>
      <c r="JZ56" s="3">
        <v>48.255000000000003</v>
      </c>
      <c r="KA56" s="3">
        <v>51.988</v>
      </c>
      <c r="KB56" s="3">
        <v>81.887</v>
      </c>
      <c r="KC56" s="3">
        <v>80.683999999999997</v>
      </c>
      <c r="KD56" s="3">
        <v>1E-3</v>
      </c>
      <c r="KE56" s="3">
        <v>0.5</v>
      </c>
      <c r="KF56" s="3">
        <v>1.7000000000000001E-2</v>
      </c>
      <c r="KG56" s="3">
        <v>0.82299999999999995</v>
      </c>
      <c r="KH56" s="3">
        <v>1.274</v>
      </c>
      <c r="KI56" s="3">
        <v>1.659</v>
      </c>
      <c r="KJ56" s="3">
        <v>1E-3</v>
      </c>
      <c r="KK56" s="3">
        <v>2E-3</v>
      </c>
      <c r="KL56" s="3">
        <v>2E-3</v>
      </c>
      <c r="KM56" s="3">
        <v>8.0000000000000002E-3</v>
      </c>
      <c r="KN56" s="3">
        <v>1.2E-2</v>
      </c>
      <c r="KO56" s="3">
        <v>8.0000000000000002E-3</v>
      </c>
      <c r="KP56" s="3">
        <v>1E-3</v>
      </c>
      <c r="KQ56" s="3">
        <v>1.3640000000000001</v>
      </c>
      <c r="KR56" s="3">
        <v>1.5229999999999999</v>
      </c>
      <c r="KS56" s="3">
        <v>3.0739999999999998</v>
      </c>
      <c r="KT56" s="3">
        <v>0</v>
      </c>
      <c r="KU56" s="3">
        <v>1E-3</v>
      </c>
      <c r="KV56" s="3">
        <v>2E-3</v>
      </c>
      <c r="KW56" s="3">
        <v>2E-3</v>
      </c>
      <c r="KX56" s="3">
        <v>7.0000000000000001E-3</v>
      </c>
      <c r="KY56" s="3">
        <v>6.6000000000000003E-2</v>
      </c>
      <c r="KZ56" s="3">
        <v>4.7380000000000004</v>
      </c>
      <c r="LA56" s="3">
        <v>5.1509999999999998</v>
      </c>
      <c r="LB56" s="3">
        <v>1.7090000000000001</v>
      </c>
      <c r="LC56" s="3">
        <v>0</v>
      </c>
      <c r="LD56" s="3">
        <v>3.5979999999999999</v>
      </c>
      <c r="LE56" s="3">
        <v>4.1420000000000003</v>
      </c>
      <c r="LF56" s="3">
        <v>0</v>
      </c>
      <c r="LG56" s="3">
        <v>3.0000000000000001E-3</v>
      </c>
      <c r="LH56" s="3">
        <v>2E-3</v>
      </c>
      <c r="LI56" s="3">
        <v>1.974</v>
      </c>
      <c r="LJ56" s="3">
        <v>5.4459999999999997</v>
      </c>
      <c r="LK56" s="3">
        <v>5.3150000000000004</v>
      </c>
      <c r="LL56" s="3">
        <v>8.3109999999999999</v>
      </c>
      <c r="LM56" s="3">
        <v>8.8759999999999994</v>
      </c>
      <c r="LN56" s="3">
        <v>3.2000000000000001E-2</v>
      </c>
      <c r="LO56" s="3">
        <v>3.1E-2</v>
      </c>
      <c r="LP56" s="3">
        <v>8.06</v>
      </c>
      <c r="LQ56" s="3">
        <v>6.9669999999999996</v>
      </c>
      <c r="LR56" s="3">
        <v>9.5449999999999999</v>
      </c>
      <c r="LS56" s="3">
        <v>9.5920000000000005</v>
      </c>
      <c r="LT56" s="3">
        <v>0</v>
      </c>
      <c r="LU56" s="3">
        <v>0</v>
      </c>
      <c r="LV56" s="3">
        <v>1.6E-2</v>
      </c>
      <c r="LW56" s="3">
        <v>1.4999999999999999E-2</v>
      </c>
      <c r="LX56" s="3">
        <v>1.25</v>
      </c>
      <c r="LY56" s="3">
        <v>2.6709999999999998</v>
      </c>
      <c r="LZ56" s="3">
        <v>8.7479999999999993</v>
      </c>
      <c r="MA56" s="3">
        <v>0</v>
      </c>
      <c r="MB56" s="3">
        <v>17.933</v>
      </c>
      <c r="MC56" s="3">
        <v>0</v>
      </c>
      <c r="MD56" s="3">
        <v>29.291</v>
      </c>
      <c r="ME56" s="3">
        <v>0</v>
      </c>
      <c r="MF56" s="3">
        <v>1.4999999999999999E-2</v>
      </c>
      <c r="MG56" s="3">
        <v>9.4E-2</v>
      </c>
      <c r="MH56" s="3">
        <v>35.414000000000001</v>
      </c>
      <c r="MI56" s="3">
        <v>1.2809999999999999</v>
      </c>
      <c r="MJ56" s="3">
        <v>48.317</v>
      </c>
      <c r="MK56" s="3">
        <v>66.718000000000004</v>
      </c>
      <c r="ML56" s="3">
        <v>18.824000000000002</v>
      </c>
      <c r="MM56" s="3">
        <v>0</v>
      </c>
      <c r="MN56" s="3">
        <v>33.101999999999997</v>
      </c>
      <c r="MO56" s="3">
        <v>40.396999999999998</v>
      </c>
      <c r="MP56" s="3">
        <v>1.4999999999999999E-2</v>
      </c>
      <c r="MQ56" s="3">
        <v>0</v>
      </c>
      <c r="MR56" s="3">
        <v>18.558</v>
      </c>
      <c r="MS56" s="3">
        <v>1.0469999999999999</v>
      </c>
      <c r="MT56" s="3">
        <v>52.018999999999998</v>
      </c>
      <c r="MU56" s="3">
        <v>51.66</v>
      </c>
      <c r="MV56" s="3">
        <v>83.152000000000001</v>
      </c>
      <c r="MW56" s="3">
        <v>84.855000000000004</v>
      </c>
    </row>
    <row r="57" spans="1:361" x14ac:dyDescent="0.3">
      <c r="A57" s="3">
        <v>15</v>
      </c>
      <c r="B57" s="3">
        <v>0.45</v>
      </c>
      <c r="C57" s="3">
        <v>0</v>
      </c>
      <c r="D57" s="3">
        <v>0.748</v>
      </c>
      <c r="E57" s="3">
        <v>1.022</v>
      </c>
      <c r="F57" s="3">
        <v>1E-3</v>
      </c>
      <c r="G57" s="3">
        <v>1.63</v>
      </c>
      <c r="H57" s="3">
        <v>1E-3</v>
      </c>
      <c r="I57" s="3">
        <v>1E-3</v>
      </c>
      <c r="J57" s="3">
        <v>1.0999999999999999E-2</v>
      </c>
      <c r="K57" s="3">
        <v>8.0000000000000002E-3</v>
      </c>
      <c r="L57" s="3">
        <v>1.4999999999999999E-2</v>
      </c>
      <c r="M57" s="3">
        <v>6.5000000000000002E-2</v>
      </c>
      <c r="N57" s="3">
        <v>0.75900000000000001</v>
      </c>
      <c r="O57" s="3">
        <v>0.89500000000000002</v>
      </c>
      <c r="P57" s="3">
        <v>2.125</v>
      </c>
      <c r="Q57" s="3">
        <v>0</v>
      </c>
      <c r="R57" s="3">
        <v>3.0910000000000002</v>
      </c>
      <c r="S57" s="3">
        <v>2.8919999999999999</v>
      </c>
      <c r="T57" s="3">
        <v>1E-3</v>
      </c>
      <c r="U57" s="3">
        <v>3.0000000000000001E-3</v>
      </c>
      <c r="V57" s="3">
        <v>6.3E-2</v>
      </c>
      <c r="W57" s="3">
        <v>2.7109999999999999</v>
      </c>
      <c r="X57" s="3">
        <v>3.6040000000000001</v>
      </c>
      <c r="Y57" s="3">
        <v>4.2320000000000002</v>
      </c>
      <c r="Z57" s="3">
        <v>1.69</v>
      </c>
      <c r="AA57" s="3">
        <v>3.0750000000000002</v>
      </c>
      <c r="AB57" s="3">
        <v>4.4189999999999996</v>
      </c>
      <c r="AC57" s="3">
        <v>3.802</v>
      </c>
      <c r="AD57" s="3">
        <v>4.5350000000000001</v>
      </c>
      <c r="AE57" s="3">
        <v>1E-3</v>
      </c>
      <c r="AF57" s="3">
        <v>2.15</v>
      </c>
      <c r="AG57" s="3">
        <v>2.1419999999999999</v>
      </c>
      <c r="AH57" s="3">
        <v>5.4219999999999997</v>
      </c>
      <c r="AI57" s="3">
        <v>4.7830000000000004</v>
      </c>
      <c r="AJ57" s="3">
        <v>5.6230000000000002</v>
      </c>
      <c r="AK57" s="3">
        <v>8.7439999999999998</v>
      </c>
      <c r="AL57" s="3">
        <v>0</v>
      </c>
      <c r="AM57" s="3">
        <v>1.6E-2</v>
      </c>
      <c r="AN57" s="3">
        <v>8.0609999999999999</v>
      </c>
      <c r="AO57" s="3">
        <v>0</v>
      </c>
      <c r="AP57" s="3">
        <v>8.1539999999999999</v>
      </c>
      <c r="AQ57" s="3">
        <v>0</v>
      </c>
      <c r="AR57" s="3">
        <v>0</v>
      </c>
      <c r="AS57" s="3">
        <v>4.7E-2</v>
      </c>
      <c r="AT57" s="3">
        <v>0</v>
      </c>
      <c r="AU57" s="3">
        <v>3.1E-2</v>
      </c>
      <c r="AV57" s="3">
        <v>2.3119999999999998</v>
      </c>
      <c r="AW57" s="3">
        <v>0.14099999999999999</v>
      </c>
      <c r="AX57" s="3">
        <v>0</v>
      </c>
      <c r="AY57" s="3">
        <v>8.0449999999999999</v>
      </c>
      <c r="AZ57" s="3">
        <v>21.948</v>
      </c>
      <c r="BA57" s="3">
        <v>0</v>
      </c>
      <c r="BB57" s="3">
        <v>24.699000000000002</v>
      </c>
      <c r="BC57" s="3">
        <v>29.634</v>
      </c>
      <c r="BD57" s="3">
        <v>1.4999999999999999E-2</v>
      </c>
      <c r="BE57" s="3">
        <v>9.4E-2</v>
      </c>
      <c r="BF57" s="3">
        <v>10.122</v>
      </c>
      <c r="BG57" s="3">
        <v>31.024000000000001</v>
      </c>
      <c r="BH57" s="3">
        <v>51.284999999999997</v>
      </c>
      <c r="BI57" s="3">
        <v>78.372</v>
      </c>
      <c r="BJ57" s="3">
        <v>11.808999999999999</v>
      </c>
      <c r="BK57" s="3">
        <v>21.010999999999999</v>
      </c>
      <c r="BL57" s="3">
        <v>0</v>
      </c>
      <c r="BM57" s="3">
        <v>45.551000000000002</v>
      </c>
      <c r="BN57" s="3">
        <v>54.064999999999998</v>
      </c>
      <c r="BO57" s="3">
        <v>56.235999999999997</v>
      </c>
      <c r="BP57" s="3">
        <v>26.571999999999999</v>
      </c>
      <c r="BQ57" s="3">
        <v>4.484</v>
      </c>
      <c r="BR57" s="3">
        <v>59.735999999999997</v>
      </c>
      <c r="BS57" s="3">
        <v>58.533000000000001</v>
      </c>
      <c r="BT57" s="3">
        <v>79.247</v>
      </c>
      <c r="BU57" s="3">
        <v>73.346999999999994</v>
      </c>
      <c r="BV57" s="3">
        <v>0.14199999999999999</v>
      </c>
      <c r="BW57" s="3">
        <v>0</v>
      </c>
      <c r="BX57" s="3">
        <v>0.69499999999999995</v>
      </c>
      <c r="BY57" s="3">
        <v>1.0009999999999999</v>
      </c>
      <c r="BZ57" s="3">
        <v>1.07</v>
      </c>
      <c r="CA57" s="3">
        <v>1.099</v>
      </c>
      <c r="CB57" s="3">
        <v>1E-3</v>
      </c>
      <c r="CC57" s="3">
        <v>3.0000000000000001E-3</v>
      </c>
      <c r="CD57" s="3">
        <v>1E-3</v>
      </c>
      <c r="CE57" s="3">
        <v>1E-3</v>
      </c>
      <c r="CF57" s="3">
        <v>0.11</v>
      </c>
      <c r="CG57" s="3">
        <v>8.0000000000000002E-3</v>
      </c>
      <c r="CH57" s="3">
        <v>0.90100000000000002</v>
      </c>
      <c r="CI57" s="3">
        <v>1E-3</v>
      </c>
      <c r="CJ57" s="3">
        <v>1.83</v>
      </c>
      <c r="CK57" s="3">
        <v>2.0059999999999998</v>
      </c>
      <c r="CL57" s="3">
        <v>1E-3</v>
      </c>
      <c r="CM57" s="3">
        <v>1E-3</v>
      </c>
      <c r="CN57" s="3">
        <v>1E-3</v>
      </c>
      <c r="CO57" s="3">
        <v>1.0999999999999999E-2</v>
      </c>
      <c r="CP57" s="3">
        <v>3.8290000000000002</v>
      </c>
      <c r="CQ57" s="3">
        <v>0.02</v>
      </c>
      <c r="CR57" s="3">
        <v>5.242</v>
      </c>
      <c r="CS57" s="3">
        <v>4.085</v>
      </c>
      <c r="CT57" s="3">
        <v>0</v>
      </c>
      <c r="CU57" s="3">
        <v>0</v>
      </c>
      <c r="CV57" s="3">
        <v>0</v>
      </c>
      <c r="CW57" s="3">
        <v>9.6000000000000002E-2</v>
      </c>
      <c r="CX57" s="3">
        <v>0</v>
      </c>
      <c r="CY57" s="3">
        <v>3.0000000000000001E-3</v>
      </c>
      <c r="CZ57" s="3">
        <v>2E-3</v>
      </c>
      <c r="DA57" s="3">
        <v>1.6E-2</v>
      </c>
      <c r="DB57" s="3">
        <v>6.7720000000000002</v>
      </c>
      <c r="DC57" s="3">
        <v>7.4950000000000001</v>
      </c>
      <c r="DD57" s="3">
        <v>8.0519999999999996</v>
      </c>
      <c r="DE57" s="3">
        <v>7.6310000000000002</v>
      </c>
      <c r="DF57" s="3">
        <v>0.17100000000000001</v>
      </c>
      <c r="DG57" s="3">
        <v>3.2650000000000001</v>
      </c>
      <c r="DH57" s="3">
        <v>0</v>
      </c>
      <c r="DI57" s="3">
        <v>9.9510000000000005</v>
      </c>
      <c r="DJ57" s="3">
        <v>0</v>
      </c>
      <c r="DK57" s="3">
        <v>9.8879999999999999</v>
      </c>
      <c r="DL57" s="3">
        <v>0</v>
      </c>
      <c r="DM57" s="3">
        <v>1.6E-2</v>
      </c>
      <c r="DN57" s="3">
        <v>0</v>
      </c>
      <c r="DO57" s="3">
        <v>1.6E-2</v>
      </c>
      <c r="DP57" s="3">
        <v>0.98399999999999999</v>
      </c>
      <c r="DQ57" s="3">
        <v>0.187</v>
      </c>
      <c r="DR57" s="3">
        <v>0</v>
      </c>
      <c r="DS57" s="3">
        <v>0</v>
      </c>
      <c r="DT57" s="3">
        <v>21.745000000000001</v>
      </c>
      <c r="DU57" s="3">
        <v>15.512</v>
      </c>
      <c r="DV57" s="3">
        <v>0</v>
      </c>
      <c r="DW57" s="3">
        <v>0</v>
      </c>
      <c r="DX57" s="3">
        <v>1.6E-2</v>
      </c>
      <c r="DY57" s="3">
        <v>3.1E-2</v>
      </c>
      <c r="DZ57" s="3">
        <v>33.335999999999999</v>
      </c>
      <c r="EA57" s="3">
        <v>55.33</v>
      </c>
      <c r="EB57" s="3">
        <v>66.281000000000006</v>
      </c>
      <c r="EC57" s="3">
        <v>68.188000000000002</v>
      </c>
      <c r="ED57" s="3">
        <v>13.95</v>
      </c>
      <c r="EE57" s="3">
        <v>0.28100000000000003</v>
      </c>
      <c r="EF57" s="3">
        <v>43.192999999999998</v>
      </c>
      <c r="EG57" s="3">
        <v>33.756999999999998</v>
      </c>
      <c r="EH57" s="3">
        <v>52.94</v>
      </c>
      <c r="EI57" s="3">
        <v>54.033999999999999</v>
      </c>
      <c r="EJ57" s="3">
        <v>23.042000000000002</v>
      </c>
      <c r="EK57" s="3">
        <v>28.056000000000001</v>
      </c>
      <c r="EL57" s="3">
        <v>51.402999999999999</v>
      </c>
      <c r="EM57" s="3">
        <v>60.627000000000002</v>
      </c>
      <c r="EN57" s="3">
        <v>81.887</v>
      </c>
      <c r="EO57" s="3">
        <v>80.153000000000006</v>
      </c>
      <c r="EP57" s="3">
        <v>0.191</v>
      </c>
      <c r="EQ57" s="3">
        <v>1.0999999999999999E-2</v>
      </c>
      <c r="ER57" s="3">
        <v>0.66300000000000003</v>
      </c>
      <c r="ES57" s="3">
        <v>2.3E-2</v>
      </c>
      <c r="ET57" s="3">
        <v>1.113</v>
      </c>
      <c r="EU57" s="3">
        <v>1.28</v>
      </c>
      <c r="EV57" s="3">
        <v>0</v>
      </c>
      <c r="EW57" s="3">
        <v>1E-3</v>
      </c>
      <c r="EX57" s="3">
        <v>2E-3</v>
      </c>
      <c r="EY57" s="3">
        <v>2E-3</v>
      </c>
      <c r="EZ57" s="3">
        <v>2.7E-2</v>
      </c>
      <c r="FA57" s="3">
        <v>1.0999999999999999E-2</v>
      </c>
      <c r="FB57" s="3">
        <v>1.7000000000000001E-2</v>
      </c>
      <c r="FC57" s="3">
        <v>1.0920000000000001</v>
      </c>
      <c r="FD57" s="3">
        <v>2.0030000000000001</v>
      </c>
      <c r="FE57" s="3">
        <v>1E-3</v>
      </c>
      <c r="FF57" s="3">
        <v>3.0379999999999998</v>
      </c>
      <c r="FG57" s="3">
        <v>4.2469999999999999</v>
      </c>
      <c r="FH57" s="3">
        <v>8.9999999999999993E-3</v>
      </c>
      <c r="FI57" s="3">
        <v>1.2999999999999999E-2</v>
      </c>
      <c r="FJ57" s="3">
        <v>0.254</v>
      </c>
      <c r="FK57" s="3">
        <v>7.5999999999999998E-2</v>
      </c>
      <c r="FL57" s="3">
        <v>6.5019999999999998</v>
      </c>
      <c r="FM57" s="3">
        <v>4.2069999999999999</v>
      </c>
      <c r="FN57" s="3">
        <v>0</v>
      </c>
      <c r="FO57" s="3">
        <v>1.5569999999999999</v>
      </c>
      <c r="FP57" s="3">
        <v>0</v>
      </c>
      <c r="FQ57" s="3">
        <v>4.7060000000000004</v>
      </c>
      <c r="FR57" s="3">
        <v>6.5830000000000002</v>
      </c>
      <c r="FS57" s="3">
        <v>2.1259999999999999</v>
      </c>
      <c r="FT57" s="3">
        <v>1.7</v>
      </c>
      <c r="FU57" s="3">
        <v>2.1989999999999998</v>
      </c>
      <c r="FV57" s="3">
        <v>5.47</v>
      </c>
      <c r="FW57" s="3">
        <v>4.5250000000000004</v>
      </c>
      <c r="FX57" s="3">
        <v>8.4390000000000001</v>
      </c>
      <c r="FY57" s="3">
        <v>8.8719999999999999</v>
      </c>
      <c r="FZ57" s="3">
        <v>2.0299999999999998</v>
      </c>
      <c r="GA57" s="3">
        <v>0</v>
      </c>
      <c r="GB57" s="3">
        <v>7.5140000000000002</v>
      </c>
      <c r="GC57" s="3">
        <v>8.7330000000000005</v>
      </c>
      <c r="GD57" s="3">
        <v>0</v>
      </c>
      <c r="GE57" s="3">
        <v>0.42199999999999999</v>
      </c>
      <c r="GF57" s="3">
        <v>0</v>
      </c>
      <c r="GG57" s="3">
        <v>1.4999999999999999E-2</v>
      </c>
      <c r="GH57" s="3">
        <v>1.4999999999999999E-2</v>
      </c>
      <c r="GI57" s="3">
        <v>1.4999999999999999E-2</v>
      </c>
      <c r="GJ57" s="3">
        <v>2.0470000000000002</v>
      </c>
      <c r="GK57" s="3">
        <v>0.32800000000000001</v>
      </c>
      <c r="GL57" s="3">
        <v>7.0609999999999999</v>
      </c>
      <c r="GM57" s="3">
        <v>7.4820000000000002</v>
      </c>
      <c r="GN57" s="3">
        <v>25.151</v>
      </c>
      <c r="GO57" s="3">
        <v>20.713999999999999</v>
      </c>
      <c r="GP57" s="3">
        <v>0</v>
      </c>
      <c r="GQ57" s="3">
        <v>1.6E-2</v>
      </c>
      <c r="GR57" s="3">
        <v>1.6E-2</v>
      </c>
      <c r="GS57" s="3">
        <v>0.375</v>
      </c>
      <c r="GT57" s="3">
        <v>44.926000000000002</v>
      </c>
      <c r="GU57" s="3">
        <v>5.202</v>
      </c>
      <c r="GV57" s="3">
        <v>52.378999999999998</v>
      </c>
      <c r="GW57" s="3">
        <v>57.283000000000001</v>
      </c>
      <c r="GX57" s="3">
        <v>13.262</v>
      </c>
      <c r="GY57" s="3">
        <v>0</v>
      </c>
      <c r="GZ57" s="3">
        <v>0</v>
      </c>
      <c r="HA57" s="3">
        <v>35.335000000000001</v>
      </c>
      <c r="HB57" s="3">
        <v>51.692</v>
      </c>
      <c r="HC57" s="3">
        <v>0</v>
      </c>
      <c r="HD57" s="3">
        <v>20.276</v>
      </c>
      <c r="HE57" s="3">
        <v>26.353000000000002</v>
      </c>
      <c r="HF57" s="3">
        <v>51.402999999999999</v>
      </c>
      <c r="HG57" s="3">
        <v>59.892000000000003</v>
      </c>
      <c r="HH57" s="3">
        <v>71.78</v>
      </c>
      <c r="HI57" s="3">
        <v>79.575999999999993</v>
      </c>
      <c r="HJ57" s="3">
        <v>2.5999999999999999E-2</v>
      </c>
      <c r="HK57" s="3">
        <v>0.104</v>
      </c>
      <c r="HL57" s="3">
        <v>0.86799999999999999</v>
      </c>
      <c r="HM57" s="3">
        <v>1.038</v>
      </c>
      <c r="HN57" s="3">
        <v>0.96699999999999997</v>
      </c>
      <c r="HO57" s="3">
        <v>1E-3</v>
      </c>
      <c r="HP57" s="3">
        <v>1E-3</v>
      </c>
      <c r="HQ57" s="3">
        <v>3.0000000000000001E-3</v>
      </c>
      <c r="HR57" s="3">
        <v>6.0000000000000001E-3</v>
      </c>
      <c r="HS57" s="3">
        <v>6.0000000000000001E-3</v>
      </c>
      <c r="HT57" s="3">
        <v>4.0000000000000001E-3</v>
      </c>
      <c r="HU57" s="3">
        <v>4.0000000000000001E-3</v>
      </c>
      <c r="HV57" s="3">
        <v>1E-3</v>
      </c>
      <c r="HW57" s="3">
        <v>1.032</v>
      </c>
      <c r="HX57" s="3">
        <v>1.944</v>
      </c>
      <c r="HY57" s="3">
        <v>0</v>
      </c>
      <c r="HZ57" s="3">
        <v>2.6829999999999998</v>
      </c>
      <c r="IA57" s="3">
        <v>0</v>
      </c>
      <c r="IB57" s="3">
        <v>8.0000000000000002E-3</v>
      </c>
      <c r="IC57" s="3">
        <v>2E-3</v>
      </c>
      <c r="ID57" s="3">
        <v>8.3000000000000004E-2</v>
      </c>
      <c r="IE57" s="3">
        <v>3.129</v>
      </c>
      <c r="IF57" s="3">
        <v>4.6719999999999997</v>
      </c>
      <c r="IG57" s="3">
        <v>5.4340000000000002</v>
      </c>
      <c r="IH57" s="3">
        <v>2E-3</v>
      </c>
      <c r="II57" s="3">
        <v>2.9670000000000001</v>
      </c>
      <c r="IJ57" s="3">
        <v>4.2469999999999999</v>
      </c>
      <c r="IK57" s="3">
        <v>4.2789999999999999</v>
      </c>
      <c r="IL57" s="3">
        <v>1E-3</v>
      </c>
      <c r="IM57" s="3">
        <v>1E-3</v>
      </c>
      <c r="IN57" s="3">
        <v>2E-3</v>
      </c>
      <c r="IO57" s="3">
        <v>0.121</v>
      </c>
      <c r="IP57" s="3">
        <v>5.9480000000000004</v>
      </c>
      <c r="IQ57" s="3">
        <v>5.49</v>
      </c>
      <c r="IR57" s="3">
        <v>7.0060000000000002</v>
      </c>
      <c r="IS57" s="3">
        <v>8.8919999999999995</v>
      </c>
      <c r="IT57" s="3">
        <v>0</v>
      </c>
      <c r="IU57" s="3">
        <v>2.4220000000000002</v>
      </c>
      <c r="IV57" s="3">
        <v>6.9050000000000002</v>
      </c>
      <c r="IW57" s="3">
        <v>0.36</v>
      </c>
      <c r="IX57" s="3">
        <v>7.5449999999999999</v>
      </c>
      <c r="IY57" s="3">
        <v>0.28100000000000003</v>
      </c>
      <c r="IZ57" s="3">
        <v>1.6E-2</v>
      </c>
      <c r="JA57" s="3">
        <v>0</v>
      </c>
      <c r="JB57" s="3">
        <v>1.6E-2</v>
      </c>
      <c r="JC57" s="3">
        <v>1.6E-2</v>
      </c>
      <c r="JD57" s="3">
        <v>4.1239999999999997</v>
      </c>
      <c r="JE57" s="3">
        <v>0.40600000000000003</v>
      </c>
      <c r="JF57" s="3">
        <v>8.5299999999999994</v>
      </c>
      <c r="JG57" s="3">
        <v>0</v>
      </c>
      <c r="JH57" s="3">
        <v>0</v>
      </c>
      <c r="JI57" s="3">
        <v>0</v>
      </c>
      <c r="JJ57" s="3">
        <v>1.6E-2</v>
      </c>
      <c r="JK57" s="3">
        <v>26.181000000000001</v>
      </c>
      <c r="JL57" s="3">
        <v>0</v>
      </c>
      <c r="JM57" s="3">
        <v>1.4999999999999999E-2</v>
      </c>
      <c r="JN57" s="3">
        <v>37.179000000000002</v>
      </c>
      <c r="JO57" s="3">
        <v>46.771000000000001</v>
      </c>
      <c r="JP57" s="3">
        <v>47.067</v>
      </c>
      <c r="JQ57" s="3">
        <v>42.067999999999998</v>
      </c>
      <c r="JR57" s="3">
        <v>0</v>
      </c>
      <c r="JS57" s="3">
        <v>19.948</v>
      </c>
      <c r="JT57" s="3">
        <v>31.024000000000001</v>
      </c>
      <c r="JU57" s="3">
        <v>0</v>
      </c>
      <c r="JV57" s="3">
        <v>53.033999999999999</v>
      </c>
      <c r="JW57" s="3">
        <v>42.881</v>
      </c>
      <c r="JX57" s="3">
        <v>29.634</v>
      </c>
      <c r="JY57" s="3">
        <v>22.713000000000001</v>
      </c>
      <c r="JZ57" s="3">
        <v>50.16</v>
      </c>
      <c r="KA57" s="3">
        <v>51.643999999999998</v>
      </c>
      <c r="KB57" s="3">
        <v>81.903000000000006</v>
      </c>
      <c r="KC57" s="3">
        <v>83.668000000000006</v>
      </c>
      <c r="KD57" s="3">
        <v>1E-3</v>
      </c>
      <c r="KE57" s="3">
        <v>0.46800000000000003</v>
      </c>
      <c r="KF57" s="3">
        <v>2.3E-2</v>
      </c>
      <c r="KG57" s="3">
        <v>0.81200000000000006</v>
      </c>
      <c r="KH57" s="3">
        <v>1.3540000000000001</v>
      </c>
      <c r="KI57" s="3">
        <v>1.605</v>
      </c>
      <c r="KJ57" s="3">
        <v>1E-3</v>
      </c>
      <c r="KK57" s="3">
        <v>1E-3</v>
      </c>
      <c r="KL57" s="3">
        <v>4.0000000000000001E-3</v>
      </c>
      <c r="KM57" s="3">
        <v>1.9E-2</v>
      </c>
      <c r="KN57" s="3">
        <v>1.2E-2</v>
      </c>
      <c r="KO57" s="3">
        <v>8.9999999999999993E-3</v>
      </c>
      <c r="KP57" s="3">
        <v>0</v>
      </c>
      <c r="KQ57" s="3">
        <v>1.3340000000000001</v>
      </c>
      <c r="KR57" s="3">
        <v>1.5069999999999999</v>
      </c>
      <c r="KS57" s="3">
        <v>3.7770000000000001</v>
      </c>
      <c r="KT57" s="3">
        <v>0</v>
      </c>
      <c r="KU57" s="3">
        <v>7.0000000000000001E-3</v>
      </c>
      <c r="KV57" s="3">
        <v>1E-3</v>
      </c>
      <c r="KW57" s="3">
        <v>2E-3</v>
      </c>
      <c r="KX57" s="3">
        <v>6.3E-2</v>
      </c>
      <c r="KY57" s="3">
        <v>0.183</v>
      </c>
      <c r="KZ57" s="3">
        <v>5.1959999999999997</v>
      </c>
      <c r="LA57" s="3">
        <v>5.5030000000000001</v>
      </c>
      <c r="LB57" s="3">
        <v>1.694</v>
      </c>
      <c r="LC57" s="3">
        <v>0</v>
      </c>
      <c r="LD57" s="3">
        <v>3.5430000000000001</v>
      </c>
      <c r="LE57" s="3">
        <v>4.0220000000000002</v>
      </c>
      <c r="LF57" s="3">
        <v>0</v>
      </c>
      <c r="LG57" s="3">
        <v>0</v>
      </c>
      <c r="LH57" s="3">
        <v>2E-3</v>
      </c>
      <c r="LI57" s="3">
        <v>2.0590000000000002</v>
      </c>
      <c r="LJ57" s="3">
        <v>5.1449999999999996</v>
      </c>
      <c r="LK57" s="3">
        <v>5.6680000000000001</v>
      </c>
      <c r="LL57" s="3">
        <v>7.1120000000000001</v>
      </c>
      <c r="LM57" s="3">
        <v>9.0449999999999999</v>
      </c>
      <c r="LN57" s="3">
        <v>1.4999999999999999E-2</v>
      </c>
      <c r="LO57" s="3">
        <v>1.6E-2</v>
      </c>
      <c r="LP57" s="3">
        <v>7.6710000000000003</v>
      </c>
      <c r="LQ57" s="3">
        <v>7.0140000000000002</v>
      </c>
      <c r="LR57" s="3">
        <v>8.4670000000000005</v>
      </c>
      <c r="LS57" s="3">
        <v>9.5129999999999999</v>
      </c>
      <c r="LT57" s="3">
        <v>0</v>
      </c>
      <c r="LU57" s="3">
        <v>1.4999999999999999E-2</v>
      </c>
      <c r="LV57" s="3">
        <v>1.4999999999999999E-2</v>
      </c>
      <c r="LW57" s="3">
        <v>1.6E-2</v>
      </c>
      <c r="LX57" s="3">
        <v>1.89</v>
      </c>
      <c r="LY57" s="3">
        <v>0.68799999999999994</v>
      </c>
      <c r="LZ57" s="3">
        <v>9.1389999999999993</v>
      </c>
      <c r="MA57" s="3">
        <v>0</v>
      </c>
      <c r="MB57" s="3">
        <v>17.620999999999999</v>
      </c>
      <c r="MC57" s="3">
        <v>0</v>
      </c>
      <c r="MD57" s="3">
        <v>27.15</v>
      </c>
      <c r="ME57" s="3">
        <v>0</v>
      </c>
      <c r="MF57" s="3">
        <v>7.8E-2</v>
      </c>
      <c r="MG57" s="3">
        <v>3.1E-2</v>
      </c>
      <c r="MH57" s="3">
        <v>33.024000000000001</v>
      </c>
      <c r="MI57" s="3">
        <v>0.125</v>
      </c>
      <c r="MJ57" s="3">
        <v>51.893999999999998</v>
      </c>
      <c r="MK57" s="3">
        <v>62.267000000000003</v>
      </c>
      <c r="ML57" s="3">
        <v>16.841000000000001</v>
      </c>
      <c r="MM57" s="3">
        <v>0</v>
      </c>
      <c r="MN57" s="3">
        <v>32.945</v>
      </c>
      <c r="MO57" s="3">
        <v>38.616</v>
      </c>
      <c r="MP57" s="3">
        <v>0</v>
      </c>
      <c r="MQ57" s="3">
        <v>0</v>
      </c>
      <c r="MR57" s="3">
        <v>20.448</v>
      </c>
      <c r="MS57" s="3">
        <v>0.23400000000000001</v>
      </c>
      <c r="MT57" s="3">
        <v>52.445999999999998</v>
      </c>
      <c r="MU57" s="3">
        <v>54.018000000000001</v>
      </c>
      <c r="MV57" s="3">
        <v>92.290999999999997</v>
      </c>
      <c r="MW57" s="3">
        <v>84.168000000000006</v>
      </c>
    </row>
    <row r="58" spans="1:361" x14ac:dyDescent="0.3">
      <c r="A58" s="3">
        <v>16</v>
      </c>
      <c r="B58" s="3">
        <v>0.39100000000000001</v>
      </c>
      <c r="C58" s="3">
        <v>0</v>
      </c>
      <c r="D58" s="3">
        <v>0.749</v>
      </c>
      <c r="E58" s="3">
        <v>1.048</v>
      </c>
      <c r="F58" s="3">
        <v>0</v>
      </c>
      <c r="G58" s="3">
        <v>1.7609999999999999</v>
      </c>
      <c r="H58" s="3">
        <v>1E-3</v>
      </c>
      <c r="I58" s="3">
        <v>2E-3</v>
      </c>
      <c r="J58" s="3">
        <v>7.0000000000000001E-3</v>
      </c>
      <c r="K58" s="3">
        <v>1.2E-2</v>
      </c>
      <c r="L58" s="3">
        <v>5.5E-2</v>
      </c>
      <c r="M58" s="3">
        <v>6.2E-2</v>
      </c>
      <c r="N58" s="3">
        <v>0.71699999999999997</v>
      </c>
      <c r="O58" s="3">
        <v>0.80300000000000005</v>
      </c>
      <c r="P58" s="3">
        <v>2.129</v>
      </c>
      <c r="Q58" s="3">
        <v>0</v>
      </c>
      <c r="R58" s="3">
        <v>3.2410000000000001</v>
      </c>
      <c r="S58" s="3">
        <v>3.2240000000000002</v>
      </c>
      <c r="T58" s="3">
        <v>2E-3</v>
      </c>
      <c r="U58" s="3">
        <v>2E-3</v>
      </c>
      <c r="V58" s="3">
        <v>1.5669999999999999</v>
      </c>
      <c r="W58" s="3">
        <v>2.6320000000000001</v>
      </c>
      <c r="X58" s="3">
        <v>4.2779999999999996</v>
      </c>
      <c r="Y58" s="3">
        <v>4.6639999999999997</v>
      </c>
      <c r="Z58" s="3">
        <v>1.7509999999999999</v>
      </c>
      <c r="AA58" s="3">
        <v>2.8410000000000002</v>
      </c>
      <c r="AB58" s="3">
        <v>4.2229999999999999</v>
      </c>
      <c r="AC58" s="3">
        <v>3.758</v>
      </c>
      <c r="AD58" s="3">
        <v>4.6369999999999996</v>
      </c>
      <c r="AE58" s="3">
        <v>0</v>
      </c>
      <c r="AF58" s="3">
        <v>1.998</v>
      </c>
      <c r="AG58" s="3">
        <v>2.415</v>
      </c>
      <c r="AH58" s="3">
        <v>5.69</v>
      </c>
      <c r="AI58" s="3">
        <v>5.2729999999999997</v>
      </c>
      <c r="AJ58" s="3">
        <v>5.8540000000000001</v>
      </c>
      <c r="AK58" s="3">
        <v>8.2789999999999999</v>
      </c>
      <c r="AL58" s="3">
        <v>1.6E-2</v>
      </c>
      <c r="AM58" s="3">
        <v>0</v>
      </c>
      <c r="AN58" s="3">
        <v>7.5609999999999999</v>
      </c>
      <c r="AO58" s="3">
        <v>0.67200000000000004</v>
      </c>
      <c r="AP58" s="3">
        <v>8.077</v>
      </c>
      <c r="AQ58" s="3">
        <v>1.6E-2</v>
      </c>
      <c r="AR58" s="3">
        <v>0</v>
      </c>
      <c r="AS58" s="3">
        <v>1.6E-2</v>
      </c>
      <c r="AT58" s="3">
        <v>0.187</v>
      </c>
      <c r="AU58" s="3">
        <v>6.3E-2</v>
      </c>
      <c r="AV58" s="3">
        <v>3.452</v>
      </c>
      <c r="AW58" s="3">
        <v>0.109</v>
      </c>
      <c r="AX58" s="3">
        <v>0</v>
      </c>
      <c r="AY58" s="3">
        <v>7.7640000000000002</v>
      </c>
      <c r="AZ58" s="3">
        <v>21.978999999999999</v>
      </c>
      <c r="BA58" s="3">
        <v>3.0139999999999998</v>
      </c>
      <c r="BB58" s="3">
        <v>24.869</v>
      </c>
      <c r="BC58" s="3">
        <v>28.29</v>
      </c>
      <c r="BD58" s="3">
        <v>0</v>
      </c>
      <c r="BE58" s="3">
        <v>3.1E-2</v>
      </c>
      <c r="BF58" s="3">
        <v>5.2649999999999997</v>
      </c>
      <c r="BG58" s="3">
        <v>3.0310000000000001</v>
      </c>
      <c r="BH58" s="3">
        <v>44.927</v>
      </c>
      <c r="BI58" s="3">
        <v>71.513999999999996</v>
      </c>
      <c r="BJ58" s="3">
        <v>12.106999999999999</v>
      </c>
      <c r="BK58" s="3">
        <v>20.463999999999999</v>
      </c>
      <c r="BL58" s="3">
        <v>0</v>
      </c>
      <c r="BM58" s="3">
        <v>43.834000000000003</v>
      </c>
      <c r="BN58" s="3">
        <v>56.018000000000001</v>
      </c>
      <c r="BO58" s="3">
        <v>52.456000000000003</v>
      </c>
      <c r="BP58" s="3">
        <v>29.305</v>
      </c>
      <c r="BQ58" s="3">
        <v>2.0150000000000001</v>
      </c>
      <c r="BR58" s="3">
        <v>56.658000000000001</v>
      </c>
      <c r="BS58" s="3">
        <v>53.845999999999997</v>
      </c>
      <c r="BT58" s="3">
        <v>80.855999999999995</v>
      </c>
      <c r="BU58" s="3">
        <v>78.872</v>
      </c>
      <c r="BV58" s="3">
        <v>0.11899999999999999</v>
      </c>
      <c r="BW58" s="3">
        <v>0</v>
      </c>
      <c r="BX58" s="3">
        <v>0.68200000000000005</v>
      </c>
      <c r="BY58" s="3">
        <v>0.93899999999999995</v>
      </c>
      <c r="BZ58" s="3">
        <v>0.35299999999999998</v>
      </c>
      <c r="CA58" s="3">
        <v>1.1020000000000001</v>
      </c>
      <c r="CB58" s="3">
        <v>1E-3</v>
      </c>
      <c r="CC58" s="3">
        <v>3.0000000000000001E-3</v>
      </c>
      <c r="CD58" s="3">
        <v>1E-3</v>
      </c>
      <c r="CE58" s="3">
        <v>1E-3</v>
      </c>
      <c r="CF58" s="3">
        <v>1.7000000000000001E-2</v>
      </c>
      <c r="CG58" s="3">
        <v>6.0000000000000001E-3</v>
      </c>
      <c r="CH58" s="3">
        <v>0.98899999999999999</v>
      </c>
      <c r="CI58" s="3">
        <v>0</v>
      </c>
      <c r="CJ58" s="3">
        <v>1.85</v>
      </c>
      <c r="CK58" s="3">
        <v>1.9330000000000001</v>
      </c>
      <c r="CL58" s="3">
        <v>0</v>
      </c>
      <c r="CM58" s="3">
        <v>0</v>
      </c>
      <c r="CN58" s="3">
        <v>8.9999999999999993E-3</v>
      </c>
      <c r="CO58" s="3">
        <v>1.9E-2</v>
      </c>
      <c r="CP58" s="3">
        <v>3.819</v>
      </c>
      <c r="CQ58" s="3">
        <v>4.7E-2</v>
      </c>
      <c r="CR58" s="3">
        <v>5.4939999999999998</v>
      </c>
      <c r="CS58" s="3">
        <v>3.907</v>
      </c>
      <c r="CT58" s="3">
        <v>1E-3</v>
      </c>
      <c r="CU58" s="3">
        <v>1E-3</v>
      </c>
      <c r="CV58" s="3">
        <v>0</v>
      </c>
      <c r="CW58" s="3">
        <v>1E-3</v>
      </c>
      <c r="CX58" s="3">
        <v>0</v>
      </c>
      <c r="CY58" s="3">
        <v>2.1999999999999999E-2</v>
      </c>
      <c r="CZ58" s="3">
        <v>2.4E-2</v>
      </c>
      <c r="DA58" s="3">
        <v>3.7999999999999999E-2</v>
      </c>
      <c r="DB58" s="3">
        <v>6.68</v>
      </c>
      <c r="DC58" s="3">
        <v>7.1909999999999998</v>
      </c>
      <c r="DD58" s="3">
        <v>8.07</v>
      </c>
      <c r="DE58" s="3">
        <v>8.2590000000000003</v>
      </c>
      <c r="DF58" s="3">
        <v>0.14099999999999999</v>
      </c>
      <c r="DG58" s="3">
        <v>3.4990000000000001</v>
      </c>
      <c r="DH58" s="3">
        <v>0</v>
      </c>
      <c r="DI58" s="3">
        <v>8.67</v>
      </c>
      <c r="DJ58" s="3">
        <v>0</v>
      </c>
      <c r="DK58" s="3">
        <v>9.31</v>
      </c>
      <c r="DL58" s="3">
        <v>0</v>
      </c>
      <c r="DM58" s="3">
        <v>0</v>
      </c>
      <c r="DN58" s="3">
        <v>1.6E-2</v>
      </c>
      <c r="DO58" s="3">
        <v>0.312</v>
      </c>
      <c r="DP58" s="3">
        <v>1.0780000000000001</v>
      </c>
      <c r="DQ58" s="3">
        <v>0.39</v>
      </c>
      <c r="DR58" s="3">
        <v>0</v>
      </c>
      <c r="DS58" s="3">
        <v>0</v>
      </c>
      <c r="DT58" s="3">
        <v>22.323</v>
      </c>
      <c r="DU58" s="3">
        <v>15.667999999999999</v>
      </c>
      <c r="DV58" s="3">
        <v>0</v>
      </c>
      <c r="DW58" s="3">
        <v>0</v>
      </c>
      <c r="DX58" s="3">
        <v>0</v>
      </c>
      <c r="DY58" s="3">
        <v>1.6E-2</v>
      </c>
      <c r="DZ58" s="3">
        <v>12.685</v>
      </c>
      <c r="EA58" s="3">
        <v>53.488</v>
      </c>
      <c r="EB58" s="3">
        <v>69.843000000000004</v>
      </c>
      <c r="EC58" s="3">
        <v>73.436000000000007</v>
      </c>
      <c r="ED58" s="3">
        <v>13.215999999999999</v>
      </c>
      <c r="EE58" s="3">
        <v>0</v>
      </c>
      <c r="EF58" s="3">
        <v>42.786000000000001</v>
      </c>
      <c r="EG58" s="3">
        <v>33.585999999999999</v>
      </c>
      <c r="EH58" s="3">
        <v>53.566000000000003</v>
      </c>
      <c r="EI58" s="3">
        <v>53.503</v>
      </c>
      <c r="EJ58" s="3">
        <v>22.916</v>
      </c>
      <c r="EK58" s="3">
        <v>29.587</v>
      </c>
      <c r="EL58" s="3">
        <v>47.113999999999997</v>
      </c>
      <c r="EM58" s="3">
        <v>60.033000000000001</v>
      </c>
      <c r="EN58" s="3">
        <v>82.554000000000002</v>
      </c>
      <c r="EO58" s="3">
        <v>88.965000000000003</v>
      </c>
      <c r="EP58" s="3">
        <v>0.17599999999999999</v>
      </c>
      <c r="EQ58" s="3">
        <v>8.0000000000000002E-3</v>
      </c>
      <c r="ER58" s="3">
        <v>0.74</v>
      </c>
      <c r="ES58" s="3">
        <v>6.0000000000000001E-3</v>
      </c>
      <c r="ET58" s="3">
        <v>1.0509999999999999</v>
      </c>
      <c r="EU58" s="3">
        <v>1.2290000000000001</v>
      </c>
      <c r="EV58" s="3">
        <v>1E-3</v>
      </c>
      <c r="EW58" s="3">
        <v>1E-3</v>
      </c>
      <c r="EX58" s="3">
        <v>1E-3</v>
      </c>
      <c r="EY58" s="3">
        <v>3.0000000000000001E-3</v>
      </c>
      <c r="EZ58" s="3">
        <v>3.2000000000000001E-2</v>
      </c>
      <c r="FA58" s="3">
        <v>8.0000000000000002E-3</v>
      </c>
      <c r="FB58" s="3">
        <v>0.158</v>
      </c>
      <c r="FC58" s="3">
        <v>1.093</v>
      </c>
      <c r="FD58" s="3">
        <v>2.0049999999999999</v>
      </c>
      <c r="FE58" s="3">
        <v>0</v>
      </c>
      <c r="FF58" s="3">
        <v>3.206</v>
      </c>
      <c r="FG58" s="3">
        <v>4.327</v>
      </c>
      <c r="FH58" s="3">
        <v>4.0000000000000001E-3</v>
      </c>
      <c r="FI58" s="3">
        <v>6.0000000000000001E-3</v>
      </c>
      <c r="FJ58" s="3">
        <v>0.105</v>
      </c>
      <c r="FK58" s="3">
        <v>8.6999999999999994E-2</v>
      </c>
      <c r="FL58" s="3">
        <v>5.4470000000000001</v>
      </c>
      <c r="FM58" s="3">
        <v>3.8210000000000002</v>
      </c>
      <c r="FN58" s="3">
        <v>1E-3</v>
      </c>
      <c r="FO58" s="3">
        <v>1.9019999999999999</v>
      </c>
      <c r="FP58" s="3">
        <v>1E-3</v>
      </c>
      <c r="FQ58" s="3">
        <v>4.1959999999999997</v>
      </c>
      <c r="FR58" s="3">
        <v>6.85</v>
      </c>
      <c r="FS58" s="3">
        <v>0.61399999999999999</v>
      </c>
      <c r="FT58" s="3">
        <v>1.6259999999999999</v>
      </c>
      <c r="FU58" s="3">
        <v>2.109</v>
      </c>
      <c r="FV58" s="3">
        <v>5.5190000000000001</v>
      </c>
      <c r="FW58" s="3">
        <v>4.5720000000000001</v>
      </c>
      <c r="FX58" s="3">
        <v>9.1549999999999994</v>
      </c>
      <c r="FY58" s="3">
        <v>8.4740000000000002</v>
      </c>
      <c r="FZ58" s="3">
        <v>2.109</v>
      </c>
      <c r="GA58" s="3">
        <v>3.1E-2</v>
      </c>
      <c r="GB58" s="3">
        <v>7.5919999999999996</v>
      </c>
      <c r="GC58" s="3">
        <v>8.7940000000000005</v>
      </c>
      <c r="GD58" s="3">
        <v>0</v>
      </c>
      <c r="GE58" s="3">
        <v>1.4059999999999999</v>
      </c>
      <c r="GF58" s="3">
        <v>0</v>
      </c>
      <c r="GG58" s="3">
        <v>1.6E-2</v>
      </c>
      <c r="GH58" s="3">
        <v>0</v>
      </c>
      <c r="GI58" s="3">
        <v>3.1E-2</v>
      </c>
      <c r="GJ58" s="3">
        <v>1.359</v>
      </c>
      <c r="GK58" s="3">
        <v>0.48399999999999999</v>
      </c>
      <c r="GL58" s="3">
        <v>7.17</v>
      </c>
      <c r="GM58" s="3">
        <v>8.327</v>
      </c>
      <c r="GN58" s="3">
        <v>26.806000000000001</v>
      </c>
      <c r="GO58" s="3">
        <v>23.494</v>
      </c>
      <c r="GP58" s="3">
        <v>0</v>
      </c>
      <c r="GQ58" s="3">
        <v>0</v>
      </c>
      <c r="GR58" s="3">
        <v>0</v>
      </c>
      <c r="GS58" s="3">
        <v>1.6E-2</v>
      </c>
      <c r="GT58" s="3">
        <v>44.021000000000001</v>
      </c>
      <c r="GU58" s="3">
        <v>0.65600000000000003</v>
      </c>
      <c r="GV58" s="3">
        <v>60.594999999999999</v>
      </c>
      <c r="GW58" s="3">
        <v>57.923999999999999</v>
      </c>
      <c r="GX58" s="3">
        <v>13.058999999999999</v>
      </c>
      <c r="GY58" s="3">
        <v>0</v>
      </c>
      <c r="GZ58" s="3">
        <v>0</v>
      </c>
      <c r="HA58" s="3">
        <v>35.289000000000001</v>
      </c>
      <c r="HB58" s="3">
        <v>52.018999999999998</v>
      </c>
      <c r="HC58" s="3">
        <v>1.6E-2</v>
      </c>
      <c r="HD58" s="3">
        <v>20.448</v>
      </c>
      <c r="HE58" s="3">
        <v>25.666</v>
      </c>
      <c r="HF58" s="3">
        <v>47.113999999999997</v>
      </c>
      <c r="HG58" s="3">
        <v>49.878999999999998</v>
      </c>
      <c r="HH58" s="3">
        <v>68.406000000000006</v>
      </c>
      <c r="HI58" s="3">
        <v>83.152000000000001</v>
      </c>
      <c r="HJ58" s="3">
        <v>2.1999999999999999E-2</v>
      </c>
      <c r="HK58" s="3">
        <v>0.13</v>
      </c>
      <c r="HL58" s="3">
        <v>0.85399999999999998</v>
      </c>
      <c r="HM58" s="3">
        <v>1.1020000000000001</v>
      </c>
      <c r="HN58" s="3">
        <v>0.95899999999999996</v>
      </c>
      <c r="HO58" s="3">
        <v>2E-3</v>
      </c>
      <c r="HP58" s="3">
        <v>1E-3</v>
      </c>
      <c r="HQ58" s="3">
        <v>3.0000000000000001E-3</v>
      </c>
      <c r="HR58" s="3">
        <v>1E-3</v>
      </c>
      <c r="HS58" s="3">
        <v>0.01</v>
      </c>
      <c r="HT58" s="3">
        <v>4.0000000000000001E-3</v>
      </c>
      <c r="HU58" s="3">
        <v>4.0000000000000001E-3</v>
      </c>
      <c r="HV58" s="3">
        <v>0</v>
      </c>
      <c r="HW58" s="3">
        <v>1.1100000000000001</v>
      </c>
      <c r="HX58" s="3">
        <v>1.762</v>
      </c>
      <c r="HY58" s="3">
        <v>0</v>
      </c>
      <c r="HZ58" s="3">
        <v>3.0710000000000002</v>
      </c>
      <c r="IA58" s="3">
        <v>1E-3</v>
      </c>
      <c r="IB58" s="3">
        <v>4.0000000000000001E-3</v>
      </c>
      <c r="IC58" s="3">
        <v>2E-3</v>
      </c>
      <c r="ID58" s="3">
        <v>0.06</v>
      </c>
      <c r="IE58" s="3">
        <v>3.371</v>
      </c>
      <c r="IF58" s="3">
        <v>4.88</v>
      </c>
      <c r="IG58" s="3">
        <v>5.1760000000000002</v>
      </c>
      <c r="IH58" s="3">
        <v>2E-3</v>
      </c>
      <c r="II58" s="3">
        <v>3.835</v>
      </c>
      <c r="IJ58" s="3">
        <v>4.6929999999999996</v>
      </c>
      <c r="IK58" s="3">
        <v>4.7439999999999998</v>
      </c>
      <c r="IL58" s="3">
        <v>1E-3</v>
      </c>
      <c r="IM58" s="3">
        <v>1E-3</v>
      </c>
      <c r="IN58" s="3">
        <v>3.5999999999999997E-2</v>
      </c>
      <c r="IO58" s="3">
        <v>6.9000000000000006E-2</v>
      </c>
      <c r="IP58" s="3">
        <v>6.2229999999999999</v>
      </c>
      <c r="IQ58" s="3">
        <v>5.1920000000000002</v>
      </c>
      <c r="IR58" s="3">
        <v>7.3540000000000001</v>
      </c>
      <c r="IS58" s="3">
        <v>7.9029999999999996</v>
      </c>
      <c r="IT58" s="3">
        <v>1.6E-2</v>
      </c>
      <c r="IU58" s="3">
        <v>2.218</v>
      </c>
      <c r="IV58" s="3">
        <v>7.8259999999999996</v>
      </c>
      <c r="IW58" s="3">
        <v>4.7329999999999997</v>
      </c>
      <c r="IX58" s="3">
        <v>7.4829999999999997</v>
      </c>
      <c r="IY58" s="3">
        <v>0.11</v>
      </c>
      <c r="IZ58" s="3">
        <v>0</v>
      </c>
      <c r="JA58" s="3">
        <v>1.6E-2</v>
      </c>
      <c r="JB58" s="3">
        <v>1.6E-2</v>
      </c>
      <c r="JC58" s="3">
        <v>1.4999999999999999E-2</v>
      </c>
      <c r="JD58" s="3">
        <v>5.4050000000000002</v>
      </c>
      <c r="JE58" s="3">
        <v>0.42199999999999999</v>
      </c>
      <c r="JF58" s="3">
        <v>8.1069999999999993</v>
      </c>
      <c r="JG58" s="3">
        <v>0</v>
      </c>
      <c r="JH58" s="3">
        <v>0</v>
      </c>
      <c r="JI58" s="3">
        <v>0</v>
      </c>
      <c r="JJ58" s="3">
        <v>0</v>
      </c>
      <c r="JK58" s="3">
        <v>26.635000000000002</v>
      </c>
      <c r="JL58" s="3">
        <v>0</v>
      </c>
      <c r="JM58" s="3">
        <v>1.6E-2</v>
      </c>
      <c r="JN58" s="3">
        <v>37.241</v>
      </c>
      <c r="JO58" s="3">
        <v>46.051000000000002</v>
      </c>
      <c r="JP58" s="3">
        <v>52.847000000000001</v>
      </c>
      <c r="JQ58" s="3">
        <v>47.91</v>
      </c>
      <c r="JR58" s="3">
        <v>0</v>
      </c>
      <c r="JS58" s="3">
        <v>22.01</v>
      </c>
      <c r="JT58" s="3">
        <v>31.212</v>
      </c>
      <c r="JU58" s="3">
        <v>0</v>
      </c>
      <c r="JV58" s="3">
        <v>51.957000000000001</v>
      </c>
      <c r="JW58" s="3">
        <v>35.006999999999998</v>
      </c>
      <c r="JX58" s="3">
        <v>29.492999999999999</v>
      </c>
      <c r="JY58" s="3">
        <v>23.431999999999999</v>
      </c>
      <c r="JZ58" s="3">
        <v>46.784999999999997</v>
      </c>
      <c r="KA58" s="3">
        <v>57.002000000000002</v>
      </c>
      <c r="KB58" s="3">
        <v>83.73</v>
      </c>
      <c r="KC58" s="3">
        <v>82.870999999999995</v>
      </c>
      <c r="KD58" s="3">
        <v>0</v>
      </c>
      <c r="KE58" s="3">
        <v>0.501</v>
      </c>
      <c r="KF58" s="3">
        <v>1.4E-2</v>
      </c>
      <c r="KG58" s="3">
        <v>0.78800000000000003</v>
      </c>
      <c r="KH58" s="3">
        <v>1.369</v>
      </c>
      <c r="KI58" s="3">
        <v>1.8680000000000001</v>
      </c>
      <c r="KJ58" s="3">
        <v>4.0000000000000001E-3</v>
      </c>
      <c r="KK58" s="3">
        <v>1E-3</v>
      </c>
      <c r="KL58" s="3">
        <v>2E-3</v>
      </c>
      <c r="KM58" s="3">
        <v>7.0000000000000001E-3</v>
      </c>
      <c r="KN58" s="3">
        <v>8.9999999999999993E-3</v>
      </c>
      <c r="KO58" s="3">
        <v>8.0000000000000002E-3</v>
      </c>
      <c r="KP58" s="3">
        <v>0</v>
      </c>
      <c r="KQ58" s="3">
        <v>1.383</v>
      </c>
      <c r="KR58" s="3">
        <v>1.581</v>
      </c>
      <c r="KS58" s="3">
        <v>3.2160000000000002</v>
      </c>
      <c r="KT58" s="3">
        <v>0</v>
      </c>
      <c r="KU58" s="3">
        <v>0</v>
      </c>
      <c r="KV58" s="3">
        <v>2E-3</v>
      </c>
      <c r="KW58" s="3">
        <v>1E-3</v>
      </c>
      <c r="KX58" s="3">
        <v>3.1E-2</v>
      </c>
      <c r="KY58" s="3">
        <v>1.9E-2</v>
      </c>
      <c r="KZ58" s="3">
        <v>5.2930000000000001</v>
      </c>
      <c r="LA58" s="3">
        <v>5.2949999999999999</v>
      </c>
      <c r="LB58" s="3">
        <v>1.7050000000000001</v>
      </c>
      <c r="LC58" s="3">
        <v>0</v>
      </c>
      <c r="LD58" s="3">
        <v>3.6920000000000002</v>
      </c>
      <c r="LE58" s="3">
        <v>4.2539999999999996</v>
      </c>
      <c r="LF58" s="3">
        <v>1E-3</v>
      </c>
      <c r="LG58" s="3">
        <v>1E-3</v>
      </c>
      <c r="LH58" s="3">
        <v>3.0000000000000001E-3</v>
      </c>
      <c r="LI58" s="3">
        <v>2.0699999999999998</v>
      </c>
      <c r="LJ58" s="3">
        <v>5.2220000000000004</v>
      </c>
      <c r="LK58" s="3">
        <v>5.7830000000000004</v>
      </c>
      <c r="LL58" s="3">
        <v>7.3769999999999998</v>
      </c>
      <c r="LM58" s="3">
        <v>9.2509999999999994</v>
      </c>
      <c r="LN58" s="3">
        <v>1.6E-2</v>
      </c>
      <c r="LO58" s="3">
        <v>0</v>
      </c>
      <c r="LP58" s="3">
        <v>7.7320000000000002</v>
      </c>
      <c r="LQ58" s="3">
        <v>6.8730000000000002</v>
      </c>
      <c r="LR58" s="3">
        <v>8.1229999999999993</v>
      </c>
      <c r="LS58" s="3">
        <v>10.715999999999999</v>
      </c>
      <c r="LT58" s="3">
        <v>0</v>
      </c>
      <c r="LU58" s="3">
        <v>0</v>
      </c>
      <c r="LV58" s="3">
        <v>0</v>
      </c>
      <c r="LW58" s="3">
        <v>1.4999999999999999E-2</v>
      </c>
      <c r="LX58" s="3">
        <v>3.9990000000000001</v>
      </c>
      <c r="LY58" s="3">
        <v>7.92</v>
      </c>
      <c r="LZ58" s="3">
        <v>8.4819999999999993</v>
      </c>
      <c r="MA58" s="3">
        <v>0</v>
      </c>
      <c r="MB58" s="3">
        <v>17.683</v>
      </c>
      <c r="MC58" s="3">
        <v>0</v>
      </c>
      <c r="MD58" s="3">
        <v>27.446999999999999</v>
      </c>
      <c r="ME58" s="3">
        <v>0</v>
      </c>
      <c r="MF58" s="3">
        <v>3.2000000000000001E-2</v>
      </c>
      <c r="MG58" s="3">
        <v>1.6E-2</v>
      </c>
      <c r="MH58" s="3">
        <v>33.945</v>
      </c>
      <c r="MI58" s="3">
        <v>0.53100000000000003</v>
      </c>
      <c r="MJ58" s="3">
        <v>52.488</v>
      </c>
      <c r="MK58" s="3">
        <v>58.158000000000001</v>
      </c>
      <c r="ML58" s="3">
        <v>18.355</v>
      </c>
      <c r="MM58" s="3">
        <v>0</v>
      </c>
      <c r="MN58" s="3">
        <v>32.945999999999998</v>
      </c>
      <c r="MO58" s="3">
        <v>41.506</v>
      </c>
      <c r="MP58" s="3">
        <v>0</v>
      </c>
      <c r="MQ58" s="3">
        <v>1.6E-2</v>
      </c>
      <c r="MR58" s="3">
        <v>19.074000000000002</v>
      </c>
      <c r="MS58" s="3">
        <v>1.3280000000000001</v>
      </c>
      <c r="MT58" s="3">
        <v>51.268999999999998</v>
      </c>
      <c r="MU58" s="3">
        <v>59.204999999999998</v>
      </c>
      <c r="MV58" s="3">
        <v>82.137</v>
      </c>
      <c r="MW58" s="3">
        <v>88.081999999999994</v>
      </c>
    </row>
    <row r="59" spans="1:361" x14ac:dyDescent="0.3">
      <c r="A59" s="3">
        <v>17</v>
      </c>
      <c r="B59" s="3">
        <v>0.44700000000000001</v>
      </c>
      <c r="C59" s="3">
        <v>1E-3</v>
      </c>
      <c r="D59" s="3">
        <v>0.76800000000000002</v>
      </c>
      <c r="E59" s="3">
        <v>1.008</v>
      </c>
      <c r="F59" s="3">
        <v>6.0000000000000001E-3</v>
      </c>
      <c r="G59" s="3">
        <v>1.829</v>
      </c>
      <c r="H59" s="3">
        <v>2E-3</v>
      </c>
      <c r="I59" s="3">
        <v>1E-3</v>
      </c>
      <c r="J59" s="3">
        <v>2.3E-2</v>
      </c>
      <c r="K59" s="3">
        <v>8.9999999999999993E-3</v>
      </c>
      <c r="L59" s="3">
        <v>8.0000000000000002E-3</v>
      </c>
      <c r="M59" s="3">
        <v>2.1000000000000001E-2</v>
      </c>
      <c r="N59" s="3">
        <v>0.749</v>
      </c>
      <c r="O59" s="3">
        <v>0.81599999999999995</v>
      </c>
      <c r="P59" s="3">
        <v>2.0019999999999998</v>
      </c>
      <c r="Q59" s="3">
        <v>1E-3</v>
      </c>
      <c r="R59" s="3">
        <v>3.141</v>
      </c>
      <c r="S59" s="3">
        <v>3.173</v>
      </c>
      <c r="T59" s="3">
        <v>1E-3</v>
      </c>
      <c r="U59" s="3">
        <v>3.0000000000000001E-3</v>
      </c>
      <c r="V59" s="3">
        <v>0.432</v>
      </c>
      <c r="W59" s="3">
        <v>2.7810000000000001</v>
      </c>
      <c r="X59" s="3">
        <v>3.7069999999999999</v>
      </c>
      <c r="Y59" s="3">
        <v>4.3540000000000001</v>
      </c>
      <c r="Z59" s="3">
        <v>1.569</v>
      </c>
      <c r="AA59" s="3">
        <v>3.27</v>
      </c>
      <c r="AB59" s="3">
        <v>4.2629999999999999</v>
      </c>
      <c r="AC59" s="3">
        <v>3.6280000000000001</v>
      </c>
      <c r="AD59" s="3">
        <v>4.6079999999999997</v>
      </c>
      <c r="AE59" s="3">
        <v>0</v>
      </c>
      <c r="AF59" s="3">
        <v>2.177</v>
      </c>
      <c r="AG59" s="3">
        <v>2.3159999999999998</v>
      </c>
      <c r="AH59" s="3">
        <v>5.2240000000000002</v>
      </c>
      <c r="AI59" s="3">
        <v>5.4489999999999998</v>
      </c>
      <c r="AJ59" s="3">
        <v>6.048</v>
      </c>
      <c r="AK59" s="3">
        <v>8.5869999999999997</v>
      </c>
      <c r="AL59" s="3">
        <v>0</v>
      </c>
      <c r="AM59" s="3">
        <v>0</v>
      </c>
      <c r="AN59" s="3">
        <v>7.4509999999999996</v>
      </c>
      <c r="AO59" s="3">
        <v>0.14000000000000001</v>
      </c>
      <c r="AP59" s="3">
        <v>8.1069999999999993</v>
      </c>
      <c r="AQ59" s="3">
        <v>0</v>
      </c>
      <c r="AR59" s="3">
        <v>0</v>
      </c>
      <c r="AS59" s="3">
        <v>1.4999999999999999E-2</v>
      </c>
      <c r="AT59" s="3">
        <v>1.6E-2</v>
      </c>
      <c r="AU59" s="3">
        <v>9.4E-2</v>
      </c>
      <c r="AV59" s="3">
        <v>0.75</v>
      </c>
      <c r="AW59" s="3">
        <v>0.46899999999999997</v>
      </c>
      <c r="AX59" s="3">
        <v>0</v>
      </c>
      <c r="AY59" s="3">
        <v>7.952</v>
      </c>
      <c r="AZ59" s="3">
        <v>20.728999999999999</v>
      </c>
      <c r="BA59" s="3">
        <v>0.34399999999999997</v>
      </c>
      <c r="BB59" s="3">
        <v>26.744</v>
      </c>
      <c r="BC59" s="3">
        <v>29.992999999999999</v>
      </c>
      <c r="BD59" s="3">
        <v>1.6E-2</v>
      </c>
      <c r="BE59" s="3">
        <v>0</v>
      </c>
      <c r="BF59" s="3">
        <v>3.9670000000000001</v>
      </c>
      <c r="BG59" s="3">
        <v>29.853000000000002</v>
      </c>
      <c r="BH59" s="3">
        <v>47.113999999999997</v>
      </c>
      <c r="BI59" s="3">
        <v>72.700999999999993</v>
      </c>
      <c r="BJ59" s="3">
        <v>12.324999999999999</v>
      </c>
      <c r="BK59" s="3">
        <v>20.463999999999999</v>
      </c>
      <c r="BL59" s="3">
        <v>0</v>
      </c>
      <c r="BM59" s="3">
        <v>45.161000000000001</v>
      </c>
      <c r="BN59" s="3">
        <v>54.423999999999999</v>
      </c>
      <c r="BO59" s="3">
        <v>52.503999999999998</v>
      </c>
      <c r="BP59" s="3">
        <v>29.242999999999999</v>
      </c>
      <c r="BQ59" s="3">
        <v>7.0449999999999999</v>
      </c>
      <c r="BR59" s="3">
        <v>55.643000000000001</v>
      </c>
      <c r="BS59" s="3">
        <v>51.587000000000003</v>
      </c>
      <c r="BT59" s="3">
        <v>79.935000000000002</v>
      </c>
      <c r="BU59" s="3">
        <v>74.28</v>
      </c>
      <c r="BV59" s="3">
        <v>0.11899999999999999</v>
      </c>
      <c r="BW59" s="3">
        <v>0</v>
      </c>
      <c r="BX59" s="3">
        <v>0.76100000000000001</v>
      </c>
      <c r="BY59" s="3">
        <v>0.92900000000000005</v>
      </c>
      <c r="BZ59" s="3">
        <v>1.1160000000000001</v>
      </c>
      <c r="CA59" s="3">
        <v>1.034</v>
      </c>
      <c r="CB59" s="3">
        <v>2E-3</v>
      </c>
      <c r="CC59" s="3">
        <v>3.0000000000000001E-3</v>
      </c>
      <c r="CD59" s="3">
        <v>1E-3</v>
      </c>
      <c r="CE59" s="3">
        <v>1E-3</v>
      </c>
      <c r="CF59" s="3">
        <v>7.8E-2</v>
      </c>
      <c r="CG59" s="3">
        <v>6.0000000000000001E-3</v>
      </c>
      <c r="CH59" s="3">
        <v>0.93700000000000006</v>
      </c>
      <c r="CI59" s="3">
        <v>1E-3</v>
      </c>
      <c r="CJ59" s="3">
        <v>1.802</v>
      </c>
      <c r="CK59" s="3">
        <v>2.0720000000000001</v>
      </c>
      <c r="CL59" s="3">
        <v>0</v>
      </c>
      <c r="CM59" s="3">
        <v>0</v>
      </c>
      <c r="CN59" s="3">
        <v>2E-3</v>
      </c>
      <c r="CO59" s="3">
        <v>2.4E-2</v>
      </c>
      <c r="CP59" s="3">
        <v>3.706</v>
      </c>
      <c r="CQ59" s="3">
        <v>1.9E-2</v>
      </c>
      <c r="CR59" s="3">
        <v>5.0060000000000002</v>
      </c>
      <c r="CS59" s="3">
        <v>3.8170000000000002</v>
      </c>
      <c r="CT59" s="3">
        <v>0</v>
      </c>
      <c r="CU59" s="3">
        <v>0</v>
      </c>
      <c r="CV59" s="3">
        <v>1E-3</v>
      </c>
      <c r="CW59" s="3">
        <v>1.6E-2</v>
      </c>
      <c r="CX59" s="3">
        <v>0</v>
      </c>
      <c r="CY59" s="3">
        <v>2E-3</v>
      </c>
      <c r="CZ59" s="3">
        <v>3.3000000000000002E-2</v>
      </c>
      <c r="DA59" s="3">
        <v>8.9999999999999993E-3</v>
      </c>
      <c r="DB59" s="3">
        <v>5.8319999999999999</v>
      </c>
      <c r="DC59" s="3">
        <v>6.83</v>
      </c>
      <c r="DD59" s="3">
        <v>7.2690000000000001</v>
      </c>
      <c r="DE59" s="3">
        <v>7.4729999999999999</v>
      </c>
      <c r="DF59" s="3">
        <v>0.23400000000000001</v>
      </c>
      <c r="DG59" s="3">
        <v>3.28</v>
      </c>
      <c r="DH59" s="3">
        <v>3.1E-2</v>
      </c>
      <c r="DI59" s="3">
        <v>8.4190000000000005</v>
      </c>
      <c r="DJ59" s="3">
        <v>0</v>
      </c>
      <c r="DK59" s="3">
        <v>9.6389999999999993</v>
      </c>
      <c r="DL59" s="3">
        <v>0</v>
      </c>
      <c r="DM59" s="3">
        <v>1.4999999999999999E-2</v>
      </c>
      <c r="DN59" s="3">
        <v>1.4999999999999999E-2</v>
      </c>
      <c r="DO59" s="3">
        <v>4.7E-2</v>
      </c>
      <c r="DP59" s="3">
        <v>0.57799999999999996</v>
      </c>
      <c r="DQ59" s="3">
        <v>9.4E-2</v>
      </c>
      <c r="DR59" s="3">
        <v>0</v>
      </c>
      <c r="DS59" s="3">
        <v>0</v>
      </c>
      <c r="DT59" s="3">
        <v>21.51</v>
      </c>
      <c r="DU59" s="3">
        <v>15.965</v>
      </c>
      <c r="DV59" s="3">
        <v>0</v>
      </c>
      <c r="DW59" s="3">
        <v>0</v>
      </c>
      <c r="DX59" s="3">
        <v>1.6E-2</v>
      </c>
      <c r="DY59" s="3">
        <v>0.23400000000000001</v>
      </c>
      <c r="DZ59" s="3">
        <v>32.07</v>
      </c>
      <c r="EA59" s="3">
        <v>58.033000000000001</v>
      </c>
      <c r="EB59" s="3">
        <v>62.234999999999999</v>
      </c>
      <c r="EC59" s="3">
        <v>66.953000000000003</v>
      </c>
      <c r="ED59" s="3">
        <v>13.292999999999999</v>
      </c>
      <c r="EE59" s="3">
        <v>1.4999999999999999E-2</v>
      </c>
      <c r="EF59" s="3">
        <v>45.927</v>
      </c>
      <c r="EG59" s="3">
        <v>33.741999999999997</v>
      </c>
      <c r="EH59" s="3">
        <v>52.706000000000003</v>
      </c>
      <c r="EI59" s="3">
        <v>53.393999999999998</v>
      </c>
      <c r="EJ59" s="3">
        <v>23.416</v>
      </c>
      <c r="EK59" s="3">
        <v>31.071000000000002</v>
      </c>
      <c r="EL59" s="3">
        <v>48.036000000000001</v>
      </c>
      <c r="EM59" s="3">
        <v>59.680999999999997</v>
      </c>
      <c r="EN59" s="3">
        <v>80.997</v>
      </c>
      <c r="EO59" s="3">
        <v>84.043000000000006</v>
      </c>
      <c r="EP59" s="3">
        <v>0.224</v>
      </c>
      <c r="EQ59" s="3">
        <v>8.0000000000000002E-3</v>
      </c>
      <c r="ER59" s="3">
        <v>0.73699999999999999</v>
      </c>
      <c r="ES59" s="3">
        <v>5.0000000000000001E-3</v>
      </c>
      <c r="ET59" s="3">
        <v>0.98799999999999999</v>
      </c>
      <c r="EU59" s="3">
        <v>1.1240000000000001</v>
      </c>
      <c r="EV59" s="3">
        <v>0</v>
      </c>
      <c r="EW59" s="3">
        <v>2E-3</v>
      </c>
      <c r="EX59" s="3">
        <v>1E-3</v>
      </c>
      <c r="EY59" s="3">
        <v>2E-3</v>
      </c>
      <c r="EZ59" s="3">
        <v>0.01</v>
      </c>
      <c r="FA59" s="3">
        <v>4.0000000000000001E-3</v>
      </c>
      <c r="FB59" s="3">
        <v>0.106</v>
      </c>
      <c r="FC59" s="3">
        <v>1.079</v>
      </c>
      <c r="FD59" s="3">
        <v>2.0110000000000001</v>
      </c>
      <c r="FE59" s="3">
        <v>0</v>
      </c>
      <c r="FF59" s="3">
        <v>2.8889999999999998</v>
      </c>
      <c r="FG59" s="3">
        <v>3.8279999999999998</v>
      </c>
      <c r="FH59" s="3">
        <v>2.5000000000000001E-2</v>
      </c>
      <c r="FI59" s="3">
        <v>8.9999999999999993E-3</v>
      </c>
      <c r="FJ59" s="3">
        <v>0.97299999999999998</v>
      </c>
      <c r="FK59" s="3">
        <v>6.5000000000000002E-2</v>
      </c>
      <c r="FL59" s="3">
        <v>6.01</v>
      </c>
      <c r="FM59" s="3">
        <v>3.9430000000000001</v>
      </c>
      <c r="FN59" s="3">
        <v>0</v>
      </c>
      <c r="FO59" s="3">
        <v>1.8240000000000001</v>
      </c>
      <c r="FP59" s="3">
        <v>1E-3</v>
      </c>
      <c r="FQ59" s="3">
        <v>4.54</v>
      </c>
      <c r="FR59" s="3">
        <v>6.1829999999999998</v>
      </c>
      <c r="FS59" s="3">
        <v>0.30499999999999999</v>
      </c>
      <c r="FT59" s="3">
        <v>1.675</v>
      </c>
      <c r="FU59" s="3">
        <v>1.9870000000000001</v>
      </c>
      <c r="FV59" s="3">
        <v>5.1150000000000002</v>
      </c>
      <c r="FW59" s="3">
        <v>5.0170000000000003</v>
      </c>
      <c r="FX59" s="3">
        <v>8.6649999999999991</v>
      </c>
      <c r="FY59" s="3">
        <v>8.4410000000000007</v>
      </c>
      <c r="FZ59" s="3">
        <v>2.0459999999999998</v>
      </c>
      <c r="GA59" s="3">
        <v>0</v>
      </c>
      <c r="GB59" s="3">
        <v>7.6390000000000002</v>
      </c>
      <c r="GC59" s="3">
        <v>8.8580000000000005</v>
      </c>
      <c r="GD59" s="3">
        <v>0</v>
      </c>
      <c r="GE59" s="3">
        <v>0.34399999999999997</v>
      </c>
      <c r="GF59" s="3">
        <v>1.4999999999999999E-2</v>
      </c>
      <c r="GG59" s="3">
        <v>1.4999999999999999E-2</v>
      </c>
      <c r="GH59" s="3">
        <v>0</v>
      </c>
      <c r="GI59" s="3">
        <v>1.6E-2</v>
      </c>
      <c r="GJ59" s="3">
        <v>0.25</v>
      </c>
      <c r="GK59" s="3">
        <v>0.39100000000000001</v>
      </c>
      <c r="GL59" s="3">
        <v>6.9509999999999996</v>
      </c>
      <c r="GM59" s="3">
        <v>8.4659999999999993</v>
      </c>
      <c r="GN59" s="3">
        <v>24.431999999999999</v>
      </c>
      <c r="GO59" s="3">
        <v>22.931999999999999</v>
      </c>
      <c r="GP59" s="3">
        <v>0</v>
      </c>
      <c r="GQ59" s="3">
        <v>0</v>
      </c>
      <c r="GR59" s="3">
        <v>0</v>
      </c>
      <c r="GS59" s="3">
        <v>0.35899999999999999</v>
      </c>
      <c r="GT59" s="3">
        <v>47.177</v>
      </c>
      <c r="GU59" s="3">
        <v>13.715999999999999</v>
      </c>
      <c r="GV59" s="3">
        <v>64.984999999999999</v>
      </c>
      <c r="GW59" s="3">
        <v>61.033000000000001</v>
      </c>
      <c r="GX59" s="3">
        <v>13.638</v>
      </c>
      <c r="GY59" s="3">
        <v>0</v>
      </c>
      <c r="GZ59" s="3">
        <v>0</v>
      </c>
      <c r="HA59" s="3">
        <v>34.975999999999999</v>
      </c>
      <c r="HB59" s="3">
        <v>51.676000000000002</v>
      </c>
      <c r="HC59" s="3">
        <v>0</v>
      </c>
      <c r="HD59" s="3">
        <v>21.681999999999999</v>
      </c>
      <c r="HE59" s="3">
        <v>25.759</v>
      </c>
      <c r="HF59" s="3">
        <v>48.036000000000001</v>
      </c>
      <c r="HG59" s="3">
        <v>49.003999999999998</v>
      </c>
      <c r="HH59" s="3">
        <v>76.980999999999995</v>
      </c>
      <c r="HI59" s="3">
        <v>81.387</v>
      </c>
      <c r="HJ59" s="3">
        <v>0.02</v>
      </c>
      <c r="HK59" s="3">
        <v>0.11899999999999999</v>
      </c>
      <c r="HL59" s="3">
        <v>0.80700000000000005</v>
      </c>
      <c r="HM59" s="3">
        <v>0.54400000000000004</v>
      </c>
      <c r="HN59" s="3">
        <v>0.96499999999999997</v>
      </c>
      <c r="HO59" s="3">
        <v>0.02</v>
      </c>
      <c r="HP59" s="3">
        <v>1E-3</v>
      </c>
      <c r="HQ59" s="3">
        <v>3.0000000000000001E-3</v>
      </c>
      <c r="HR59" s="3">
        <v>1E-3</v>
      </c>
      <c r="HS59" s="3">
        <v>8.9999999999999993E-3</v>
      </c>
      <c r="HT59" s="3">
        <v>5.0000000000000001E-3</v>
      </c>
      <c r="HU59" s="3">
        <v>4.0000000000000001E-3</v>
      </c>
      <c r="HV59" s="3">
        <v>0</v>
      </c>
      <c r="HW59" s="3">
        <v>1.0209999999999999</v>
      </c>
      <c r="HX59" s="3">
        <v>1.7509999999999999</v>
      </c>
      <c r="HY59" s="3">
        <v>0</v>
      </c>
      <c r="HZ59" s="3">
        <v>2.8519999999999999</v>
      </c>
      <c r="IA59" s="3">
        <v>0</v>
      </c>
      <c r="IB59" s="3">
        <v>2E-3</v>
      </c>
      <c r="IC59" s="3">
        <v>1E-3</v>
      </c>
      <c r="ID59" s="3">
        <v>7.6999999999999999E-2</v>
      </c>
      <c r="IE59" s="3">
        <v>2.8</v>
      </c>
      <c r="IF59" s="3">
        <v>5.17</v>
      </c>
      <c r="IG59" s="3">
        <v>5.4740000000000002</v>
      </c>
      <c r="IH59" s="3">
        <v>2E-3</v>
      </c>
      <c r="II59" s="3">
        <v>3.6659999999999999</v>
      </c>
      <c r="IJ59" s="3">
        <v>4.343</v>
      </c>
      <c r="IK59" s="3">
        <v>4.5090000000000003</v>
      </c>
      <c r="IL59" s="3">
        <v>1E-3</v>
      </c>
      <c r="IM59" s="3">
        <v>1E-3</v>
      </c>
      <c r="IN59" s="3">
        <v>8.0000000000000002E-3</v>
      </c>
      <c r="IO59" s="3">
        <v>2.1999999999999999E-2</v>
      </c>
      <c r="IP59" s="3">
        <v>5.9050000000000002</v>
      </c>
      <c r="IQ59" s="3">
        <v>5.2670000000000003</v>
      </c>
      <c r="IR59" s="3">
        <v>6.8860000000000001</v>
      </c>
      <c r="IS59" s="3">
        <v>8.4149999999999991</v>
      </c>
      <c r="IT59" s="3">
        <v>0</v>
      </c>
      <c r="IU59" s="3">
        <v>2.1720000000000002</v>
      </c>
      <c r="IV59" s="3">
        <v>7.17</v>
      </c>
      <c r="IW59" s="3">
        <v>1.2030000000000001</v>
      </c>
      <c r="IX59" s="3">
        <v>7.3419999999999996</v>
      </c>
      <c r="IY59" s="3">
        <v>0</v>
      </c>
      <c r="IZ59" s="3">
        <v>0</v>
      </c>
      <c r="JA59" s="3">
        <v>0</v>
      </c>
      <c r="JB59" s="3">
        <v>1.4999999999999999E-2</v>
      </c>
      <c r="JC59" s="3">
        <v>3.2000000000000001E-2</v>
      </c>
      <c r="JD59" s="3">
        <v>2.109</v>
      </c>
      <c r="JE59" s="3">
        <v>0.14000000000000001</v>
      </c>
      <c r="JF59" s="3">
        <v>8.2789999999999999</v>
      </c>
      <c r="JG59" s="3">
        <v>0</v>
      </c>
      <c r="JH59" s="3">
        <v>1.6E-2</v>
      </c>
      <c r="JI59" s="3">
        <v>0</v>
      </c>
      <c r="JJ59" s="3">
        <v>0</v>
      </c>
      <c r="JK59" s="3">
        <v>26.492999999999999</v>
      </c>
      <c r="JL59" s="3">
        <v>0.14000000000000001</v>
      </c>
      <c r="JM59" s="3">
        <v>0</v>
      </c>
      <c r="JN59" s="3">
        <v>37.585000000000001</v>
      </c>
      <c r="JO59" s="3">
        <v>42.74</v>
      </c>
      <c r="JP59" s="3">
        <v>45.567</v>
      </c>
      <c r="JQ59" s="3">
        <v>46.442999999999998</v>
      </c>
      <c r="JR59" s="3">
        <v>0</v>
      </c>
      <c r="JS59" s="3">
        <v>20.808</v>
      </c>
      <c r="JT59" s="3">
        <v>30.742999999999999</v>
      </c>
      <c r="JU59" s="3">
        <v>0</v>
      </c>
      <c r="JV59" s="3">
        <v>51.457000000000001</v>
      </c>
      <c r="JW59" s="3">
        <v>8.6539999999999999</v>
      </c>
      <c r="JX59" s="3">
        <v>28.212</v>
      </c>
      <c r="JY59" s="3">
        <v>23.385000000000002</v>
      </c>
      <c r="JZ59" s="3">
        <v>46.988999999999997</v>
      </c>
      <c r="KA59" s="3">
        <v>50.628999999999998</v>
      </c>
      <c r="KB59" s="3">
        <v>81.105999999999995</v>
      </c>
      <c r="KC59" s="3">
        <v>79.793999999999997</v>
      </c>
      <c r="KD59" s="3">
        <v>0</v>
      </c>
      <c r="KE59" s="3">
        <v>0.52600000000000002</v>
      </c>
      <c r="KF59" s="3">
        <v>1E-3</v>
      </c>
      <c r="KG59" s="3">
        <v>0.80900000000000005</v>
      </c>
      <c r="KH59" s="3">
        <v>0.90800000000000003</v>
      </c>
      <c r="KI59" s="3">
        <v>1.4850000000000001</v>
      </c>
      <c r="KJ59" s="3">
        <v>5.0000000000000001E-3</v>
      </c>
      <c r="KK59" s="3">
        <v>1E-3</v>
      </c>
      <c r="KL59" s="3">
        <v>2E-3</v>
      </c>
      <c r="KM59" s="3">
        <v>5.0000000000000001E-3</v>
      </c>
      <c r="KN59" s="3">
        <v>5.0000000000000001E-3</v>
      </c>
      <c r="KO59" s="3">
        <v>1.4999999999999999E-2</v>
      </c>
      <c r="KP59" s="3">
        <v>0</v>
      </c>
      <c r="KQ59" s="3">
        <v>1.3</v>
      </c>
      <c r="KR59" s="3">
        <v>1.4790000000000001</v>
      </c>
      <c r="KS59" s="3">
        <v>2.9359999999999999</v>
      </c>
      <c r="KT59" s="3">
        <v>1E-3</v>
      </c>
      <c r="KU59" s="3">
        <v>1E-3</v>
      </c>
      <c r="KV59" s="3">
        <v>2E-3</v>
      </c>
      <c r="KW59" s="3">
        <v>2E-3</v>
      </c>
      <c r="KX59" s="3">
        <v>2.7E-2</v>
      </c>
      <c r="KY59" s="3">
        <v>9.4E-2</v>
      </c>
      <c r="KZ59" s="3">
        <v>5.3209999999999997</v>
      </c>
      <c r="LA59" s="3">
        <v>5.0110000000000001</v>
      </c>
      <c r="LB59" s="3">
        <v>1.802</v>
      </c>
      <c r="LC59" s="3">
        <v>1E-3</v>
      </c>
      <c r="LD59" s="3">
        <v>3.6179999999999999</v>
      </c>
      <c r="LE59" s="3">
        <v>4.2279999999999998</v>
      </c>
      <c r="LF59" s="3">
        <v>0</v>
      </c>
      <c r="LG59" s="3">
        <v>2E-3</v>
      </c>
      <c r="LH59" s="3">
        <v>2E-3</v>
      </c>
      <c r="LI59" s="3">
        <v>2.0760000000000001</v>
      </c>
      <c r="LJ59" s="3">
        <v>5.04</v>
      </c>
      <c r="LK59" s="3">
        <v>5.9279999999999999</v>
      </c>
      <c r="LL59" s="3">
        <v>7.6929999999999996</v>
      </c>
      <c r="LM59" s="3">
        <v>9.1590000000000007</v>
      </c>
      <c r="LN59" s="3">
        <v>9.2999999999999999E-2</v>
      </c>
      <c r="LO59" s="3">
        <v>1.4999999999999999E-2</v>
      </c>
      <c r="LP59" s="3">
        <v>7.3419999999999996</v>
      </c>
      <c r="LQ59" s="3">
        <v>5.9210000000000003</v>
      </c>
      <c r="LR59" s="3">
        <v>9.7940000000000005</v>
      </c>
      <c r="LS59" s="3">
        <v>11.076000000000001</v>
      </c>
      <c r="LT59" s="3">
        <v>0</v>
      </c>
      <c r="LU59" s="3">
        <v>1.6E-2</v>
      </c>
      <c r="LV59" s="3">
        <v>1.6E-2</v>
      </c>
      <c r="LW59" s="3">
        <v>1.6E-2</v>
      </c>
      <c r="LX59" s="3">
        <v>8.17</v>
      </c>
      <c r="LY59" s="3">
        <v>2.3740000000000001</v>
      </c>
      <c r="LZ59" s="3">
        <v>8.0920000000000005</v>
      </c>
      <c r="MA59" s="3">
        <v>0</v>
      </c>
      <c r="MB59" s="3">
        <v>17.402999999999999</v>
      </c>
      <c r="MC59" s="3">
        <v>1.6E-2</v>
      </c>
      <c r="MD59" s="3">
        <v>29.337</v>
      </c>
      <c r="ME59" s="3">
        <v>1.4999999999999999E-2</v>
      </c>
      <c r="MF59" s="3">
        <v>1.4999999999999999E-2</v>
      </c>
      <c r="MG59" s="3">
        <v>0.17199999999999999</v>
      </c>
      <c r="MH59" s="3">
        <v>32.039000000000001</v>
      </c>
      <c r="MI59" s="3">
        <v>0.71799999999999997</v>
      </c>
      <c r="MJ59" s="3">
        <v>57.018000000000001</v>
      </c>
      <c r="MK59" s="3">
        <v>56.298999999999999</v>
      </c>
      <c r="ML59" s="3">
        <v>18.042000000000002</v>
      </c>
      <c r="MM59" s="3">
        <v>1.4999999999999999E-2</v>
      </c>
      <c r="MN59" s="3">
        <v>32.991999999999997</v>
      </c>
      <c r="MO59" s="3">
        <v>37.037999999999997</v>
      </c>
      <c r="MP59" s="3">
        <v>0</v>
      </c>
      <c r="MQ59" s="3">
        <v>0</v>
      </c>
      <c r="MR59" s="3">
        <v>18.355</v>
      </c>
      <c r="MS59" s="3">
        <v>0.53100000000000003</v>
      </c>
      <c r="MT59" s="3">
        <v>51.805</v>
      </c>
      <c r="MU59" s="3">
        <v>51.737000000000002</v>
      </c>
      <c r="MV59" s="3">
        <v>89.103999999999999</v>
      </c>
      <c r="MW59" s="3">
        <v>79.95</v>
      </c>
    </row>
    <row r="60" spans="1:361" x14ac:dyDescent="0.3">
      <c r="A60" s="3">
        <v>18</v>
      </c>
      <c r="B60" s="3">
        <v>0.44600000000000001</v>
      </c>
      <c r="C60" s="3">
        <v>0</v>
      </c>
      <c r="D60" s="3">
        <v>0.77900000000000003</v>
      </c>
      <c r="E60" s="3">
        <v>0.97099999999999997</v>
      </c>
      <c r="F60" s="3">
        <v>0</v>
      </c>
      <c r="G60" s="3">
        <v>1.6120000000000001</v>
      </c>
      <c r="H60" s="3">
        <v>1E-3</v>
      </c>
      <c r="I60" s="3">
        <v>2E-3</v>
      </c>
      <c r="J60" s="3">
        <v>3.0000000000000001E-3</v>
      </c>
      <c r="K60" s="3">
        <v>1.2999999999999999E-2</v>
      </c>
      <c r="L60" s="3">
        <v>1.4999999999999999E-2</v>
      </c>
      <c r="M60" s="3">
        <v>1.4E-2</v>
      </c>
      <c r="N60" s="3">
        <v>0.81499999999999995</v>
      </c>
      <c r="O60" s="3">
        <v>0.82699999999999996</v>
      </c>
      <c r="P60" s="3">
        <v>2.1389999999999998</v>
      </c>
      <c r="Q60" s="3">
        <v>0</v>
      </c>
      <c r="R60" s="3">
        <v>3.4710000000000001</v>
      </c>
      <c r="S60" s="3">
        <v>3.472</v>
      </c>
      <c r="T60" s="3">
        <v>2E-3</v>
      </c>
      <c r="U60" s="3">
        <v>3.0000000000000001E-3</v>
      </c>
      <c r="V60" s="3">
        <v>7.5999999999999998E-2</v>
      </c>
      <c r="W60" s="3">
        <v>2.8010000000000002</v>
      </c>
      <c r="X60" s="3">
        <v>3.7040000000000002</v>
      </c>
      <c r="Y60" s="3">
        <v>4.109</v>
      </c>
      <c r="Z60" s="3">
        <v>1.5840000000000001</v>
      </c>
      <c r="AA60" s="3">
        <v>2.8530000000000002</v>
      </c>
      <c r="AB60" s="3">
        <v>4.2110000000000003</v>
      </c>
      <c r="AC60" s="3">
        <v>3.6190000000000002</v>
      </c>
      <c r="AD60" s="3">
        <v>4.4489999999999998</v>
      </c>
      <c r="AE60" s="3">
        <v>1E-3</v>
      </c>
      <c r="AF60" s="3">
        <v>2.266</v>
      </c>
      <c r="AG60" s="3">
        <v>2.3140000000000001</v>
      </c>
      <c r="AH60" s="3">
        <v>5.6340000000000003</v>
      </c>
      <c r="AI60" s="3">
        <v>5.4020000000000001</v>
      </c>
      <c r="AJ60" s="3">
        <v>5.5960000000000001</v>
      </c>
      <c r="AK60" s="3">
        <v>7.5460000000000003</v>
      </c>
      <c r="AL60" s="3">
        <v>1.4999999999999999E-2</v>
      </c>
      <c r="AM60" s="3">
        <v>0</v>
      </c>
      <c r="AN60" s="3">
        <v>7.4829999999999997</v>
      </c>
      <c r="AO60" s="3">
        <v>4.7E-2</v>
      </c>
      <c r="AP60" s="3">
        <v>8.9350000000000005</v>
      </c>
      <c r="AQ60" s="3">
        <v>0</v>
      </c>
      <c r="AR60" s="3">
        <v>0</v>
      </c>
      <c r="AS60" s="3">
        <v>3.2000000000000001E-2</v>
      </c>
      <c r="AT60" s="3">
        <v>1.6E-2</v>
      </c>
      <c r="AU60" s="3">
        <v>3.1E-2</v>
      </c>
      <c r="AV60" s="3">
        <v>1.141</v>
      </c>
      <c r="AW60" s="3">
        <v>6.2E-2</v>
      </c>
      <c r="AX60" s="3">
        <v>0</v>
      </c>
      <c r="AY60" s="3">
        <v>8.0289999999999999</v>
      </c>
      <c r="AZ60" s="3">
        <v>20.199000000000002</v>
      </c>
      <c r="BA60" s="3">
        <v>1.0629999999999999</v>
      </c>
      <c r="BB60" s="3">
        <v>25.338000000000001</v>
      </c>
      <c r="BC60" s="3">
        <v>29.853000000000002</v>
      </c>
      <c r="BD60" s="3">
        <v>1.4999999999999999E-2</v>
      </c>
      <c r="BE60" s="3">
        <v>0</v>
      </c>
      <c r="BF60" s="3">
        <v>0.81200000000000006</v>
      </c>
      <c r="BG60" s="3">
        <v>16.84</v>
      </c>
      <c r="BH60" s="3">
        <v>48.176000000000002</v>
      </c>
      <c r="BI60" s="3">
        <v>78.340999999999994</v>
      </c>
      <c r="BJ60" s="3">
        <v>11.263</v>
      </c>
      <c r="BK60" s="3">
        <v>21.526</v>
      </c>
      <c r="BL60" s="3">
        <v>0</v>
      </c>
      <c r="BM60" s="3">
        <v>45.613999999999997</v>
      </c>
      <c r="BN60" s="3">
        <v>54.503</v>
      </c>
      <c r="BO60" s="3">
        <v>52.503</v>
      </c>
      <c r="BP60" s="3">
        <v>27.087</v>
      </c>
      <c r="BQ60" s="3">
        <v>0.625</v>
      </c>
      <c r="BR60" s="3">
        <v>61.500999999999998</v>
      </c>
      <c r="BS60" s="3">
        <v>56.314</v>
      </c>
      <c r="BT60" s="3">
        <v>83.260999999999996</v>
      </c>
      <c r="BU60" s="3">
        <v>79.995999999999995</v>
      </c>
      <c r="BV60" s="3">
        <v>0.126</v>
      </c>
      <c r="BW60" s="3">
        <v>1E-3</v>
      </c>
      <c r="BX60" s="3">
        <v>0.66900000000000004</v>
      </c>
      <c r="BY60" s="3">
        <v>0.94199999999999995</v>
      </c>
      <c r="BZ60" s="3">
        <v>1.024</v>
      </c>
      <c r="CA60" s="3">
        <v>1.0820000000000001</v>
      </c>
      <c r="CB60" s="3">
        <v>2E-3</v>
      </c>
      <c r="CC60" s="3">
        <v>2E-3</v>
      </c>
      <c r="CD60" s="3">
        <v>1E-3</v>
      </c>
      <c r="CE60" s="3">
        <v>1E-3</v>
      </c>
      <c r="CF60" s="3">
        <v>5.3999999999999999E-2</v>
      </c>
      <c r="CG60" s="3">
        <v>7.0000000000000001E-3</v>
      </c>
      <c r="CH60" s="3">
        <v>0.97599999999999998</v>
      </c>
      <c r="CI60" s="3">
        <v>1E-3</v>
      </c>
      <c r="CJ60" s="3">
        <v>1.9039999999999999</v>
      </c>
      <c r="CK60" s="3">
        <v>1.841</v>
      </c>
      <c r="CL60" s="3">
        <v>0</v>
      </c>
      <c r="CM60" s="3">
        <v>0</v>
      </c>
      <c r="CN60" s="3">
        <v>1E-3</v>
      </c>
      <c r="CO60" s="3">
        <v>1.4E-2</v>
      </c>
      <c r="CP60" s="3">
        <v>3.6190000000000002</v>
      </c>
      <c r="CQ60" s="3">
        <v>3.0000000000000001E-3</v>
      </c>
      <c r="CR60" s="3">
        <v>4.968</v>
      </c>
      <c r="CS60" s="3">
        <v>4.0540000000000003</v>
      </c>
      <c r="CT60" s="3">
        <v>0</v>
      </c>
      <c r="CU60" s="3">
        <v>0</v>
      </c>
      <c r="CV60" s="3">
        <v>0</v>
      </c>
      <c r="CW60" s="3">
        <v>1E-3</v>
      </c>
      <c r="CX60" s="3">
        <v>0</v>
      </c>
      <c r="CY60" s="3">
        <v>0.13100000000000001</v>
      </c>
      <c r="CZ60" s="3">
        <v>2E-3</v>
      </c>
      <c r="DA60" s="3">
        <v>8.9999999999999993E-3</v>
      </c>
      <c r="DB60" s="3">
        <v>6.335</v>
      </c>
      <c r="DC60" s="3">
        <v>7.4539999999999997</v>
      </c>
      <c r="DD60" s="3">
        <v>8.1020000000000003</v>
      </c>
      <c r="DE60" s="3">
        <v>8.1890000000000001</v>
      </c>
      <c r="DF60" s="3">
        <v>1.6E-2</v>
      </c>
      <c r="DG60" s="3">
        <v>3.093</v>
      </c>
      <c r="DH60" s="3">
        <v>0</v>
      </c>
      <c r="DI60" s="3">
        <v>6.64</v>
      </c>
      <c r="DJ60" s="3">
        <v>0</v>
      </c>
      <c r="DK60" s="3">
        <v>10.481999999999999</v>
      </c>
      <c r="DL60" s="3">
        <v>1.6E-2</v>
      </c>
      <c r="DM60" s="3">
        <v>0</v>
      </c>
      <c r="DN60" s="3">
        <v>6.3E-2</v>
      </c>
      <c r="DO60" s="3">
        <v>0</v>
      </c>
      <c r="DP60" s="3">
        <v>0.56200000000000006</v>
      </c>
      <c r="DQ60" s="3">
        <v>0.28100000000000003</v>
      </c>
      <c r="DR60" s="3">
        <v>0</v>
      </c>
      <c r="DS60" s="3">
        <v>0</v>
      </c>
      <c r="DT60" s="3">
        <v>21.510999999999999</v>
      </c>
      <c r="DU60" s="3">
        <v>15.496</v>
      </c>
      <c r="DV60" s="3">
        <v>0</v>
      </c>
      <c r="DW60" s="3">
        <v>0</v>
      </c>
      <c r="DX60" s="3">
        <v>1.4999999999999999E-2</v>
      </c>
      <c r="DY60" s="3">
        <v>0</v>
      </c>
      <c r="DZ60" s="3">
        <v>33.508000000000003</v>
      </c>
      <c r="EA60" s="3">
        <v>58.829000000000001</v>
      </c>
      <c r="EB60" s="3">
        <v>68.531000000000006</v>
      </c>
      <c r="EC60" s="3">
        <v>60.750999999999998</v>
      </c>
      <c r="ED60" s="3">
        <v>13.403</v>
      </c>
      <c r="EE60" s="3">
        <v>0.46899999999999997</v>
      </c>
      <c r="EF60" s="3">
        <v>42.848999999999997</v>
      </c>
      <c r="EG60" s="3">
        <v>33.57</v>
      </c>
      <c r="EH60" s="3">
        <v>52.3</v>
      </c>
      <c r="EI60" s="3">
        <v>53.424999999999997</v>
      </c>
      <c r="EJ60" s="3">
        <v>23.228999999999999</v>
      </c>
      <c r="EK60" s="3">
        <v>26.414999999999999</v>
      </c>
      <c r="EL60" s="3">
        <v>50.332000000000001</v>
      </c>
      <c r="EM60" s="3">
        <v>59.646000000000001</v>
      </c>
      <c r="EN60" s="3">
        <v>84.073999999999998</v>
      </c>
      <c r="EO60" s="3">
        <v>88.358000000000004</v>
      </c>
      <c r="EP60" s="3">
        <v>0.17899999999999999</v>
      </c>
      <c r="EQ60" s="3">
        <v>1.9E-2</v>
      </c>
      <c r="ER60" s="3">
        <v>0.68200000000000005</v>
      </c>
      <c r="ES60" s="3">
        <v>6.9000000000000006E-2</v>
      </c>
      <c r="ET60" s="3">
        <v>1.0960000000000001</v>
      </c>
      <c r="EU60" s="3">
        <v>1.258</v>
      </c>
      <c r="EV60" s="3">
        <v>1E-3</v>
      </c>
      <c r="EW60" s="3">
        <v>2E-3</v>
      </c>
      <c r="EX60" s="3">
        <v>2E-3</v>
      </c>
      <c r="EY60" s="3">
        <v>3.0000000000000001E-3</v>
      </c>
      <c r="EZ60" s="3">
        <v>0.151</v>
      </c>
      <c r="FA60" s="3">
        <v>4.0000000000000001E-3</v>
      </c>
      <c r="FB60" s="3">
        <v>8.0000000000000002E-3</v>
      </c>
      <c r="FC60" s="3">
        <v>1.028</v>
      </c>
      <c r="FD60" s="3">
        <v>1.9470000000000001</v>
      </c>
      <c r="FE60" s="3">
        <v>0</v>
      </c>
      <c r="FF60" s="3">
        <v>3.181</v>
      </c>
      <c r="FG60" s="3">
        <v>4.3380000000000001</v>
      </c>
      <c r="FH60" s="3">
        <v>2E-3</v>
      </c>
      <c r="FI60" s="3">
        <v>1.7000000000000001E-2</v>
      </c>
      <c r="FJ60" s="3">
        <v>0.217</v>
      </c>
      <c r="FK60" s="3">
        <v>0.10100000000000001</v>
      </c>
      <c r="FL60" s="3">
        <v>5.9580000000000002</v>
      </c>
      <c r="FM60" s="3">
        <v>4.3140000000000001</v>
      </c>
      <c r="FN60" s="3">
        <v>0</v>
      </c>
      <c r="FO60" s="3">
        <v>1.7470000000000001</v>
      </c>
      <c r="FP60" s="3">
        <v>1E-3</v>
      </c>
      <c r="FQ60" s="3">
        <v>4.5510000000000002</v>
      </c>
      <c r="FR60" s="3">
        <v>6.9870000000000001</v>
      </c>
      <c r="FS60" s="3">
        <v>0.26700000000000002</v>
      </c>
      <c r="FT60" s="3">
        <v>1.569</v>
      </c>
      <c r="FU60" s="3">
        <v>2.1339999999999999</v>
      </c>
      <c r="FV60" s="3">
        <v>5.3689999999999998</v>
      </c>
      <c r="FW60" s="3">
        <v>4.5709999999999997</v>
      </c>
      <c r="FX60" s="3">
        <v>7.8860000000000001</v>
      </c>
      <c r="FY60" s="3">
        <v>7.827</v>
      </c>
      <c r="FZ60" s="3">
        <v>2</v>
      </c>
      <c r="GA60" s="3">
        <v>3.1E-2</v>
      </c>
      <c r="GB60" s="3">
        <v>7.7640000000000002</v>
      </c>
      <c r="GC60" s="3">
        <v>9.2629999999999999</v>
      </c>
      <c r="GD60" s="3">
        <v>0</v>
      </c>
      <c r="GE60" s="3">
        <v>1.484</v>
      </c>
      <c r="GF60" s="3">
        <v>0</v>
      </c>
      <c r="GG60" s="3">
        <v>1.6E-2</v>
      </c>
      <c r="GH60" s="3">
        <v>1.6E-2</v>
      </c>
      <c r="GI60" s="3">
        <v>0</v>
      </c>
      <c r="GJ60" s="3">
        <v>5.4989999999999997</v>
      </c>
      <c r="GK60" s="3">
        <v>0.98399999999999999</v>
      </c>
      <c r="GL60" s="3">
        <v>7.8579999999999997</v>
      </c>
      <c r="GM60" s="3">
        <v>8.5920000000000005</v>
      </c>
      <c r="GN60" s="3">
        <v>24.494</v>
      </c>
      <c r="GO60" s="3">
        <v>21.823</v>
      </c>
      <c r="GP60" s="3">
        <v>0</v>
      </c>
      <c r="GQ60" s="3">
        <v>0</v>
      </c>
      <c r="GR60" s="3">
        <v>1.4999999999999999E-2</v>
      </c>
      <c r="GS60" s="3">
        <v>0.17199999999999999</v>
      </c>
      <c r="GT60" s="3">
        <v>41.116</v>
      </c>
      <c r="GU60" s="3">
        <v>9.3879999999999999</v>
      </c>
      <c r="GV60" s="3">
        <v>52.191000000000003</v>
      </c>
      <c r="GW60" s="3">
        <v>58.564</v>
      </c>
      <c r="GX60" s="3">
        <v>12.95</v>
      </c>
      <c r="GY60" s="3">
        <v>0</v>
      </c>
      <c r="GZ60" s="3">
        <v>0</v>
      </c>
      <c r="HA60" s="3">
        <v>35.054000000000002</v>
      </c>
      <c r="HB60" s="3">
        <v>53.701000000000001</v>
      </c>
      <c r="HC60" s="3">
        <v>0</v>
      </c>
      <c r="HD60" s="3">
        <v>21.667000000000002</v>
      </c>
      <c r="HE60" s="3">
        <v>25.651</v>
      </c>
      <c r="HF60" s="3">
        <v>50.332000000000001</v>
      </c>
      <c r="HG60" s="3">
        <v>59.47</v>
      </c>
      <c r="HH60" s="3">
        <v>74.966999999999999</v>
      </c>
      <c r="HI60" s="3">
        <v>81.262</v>
      </c>
      <c r="HJ60" s="3">
        <v>2.5999999999999999E-2</v>
      </c>
      <c r="HK60" s="3">
        <v>0.12</v>
      </c>
      <c r="HL60" s="3">
        <v>0.93700000000000006</v>
      </c>
      <c r="HM60" s="3">
        <v>0.16800000000000001</v>
      </c>
      <c r="HN60" s="3">
        <v>0.89200000000000002</v>
      </c>
      <c r="HO60" s="3">
        <v>1E-3</v>
      </c>
      <c r="HP60" s="3">
        <v>1E-3</v>
      </c>
      <c r="HQ60" s="3">
        <v>3.0000000000000001E-3</v>
      </c>
      <c r="HR60" s="3">
        <v>1E-3</v>
      </c>
      <c r="HS60" s="3">
        <v>7.0000000000000001E-3</v>
      </c>
      <c r="HT60" s="3">
        <v>8.0000000000000002E-3</v>
      </c>
      <c r="HU60" s="3">
        <v>4.0000000000000001E-3</v>
      </c>
      <c r="HV60" s="3">
        <v>0</v>
      </c>
      <c r="HW60" s="3">
        <v>0.93500000000000005</v>
      </c>
      <c r="HX60" s="3">
        <v>1.7549999999999999</v>
      </c>
      <c r="HY60" s="3">
        <v>1E-3</v>
      </c>
      <c r="HZ60" s="3">
        <v>2.653</v>
      </c>
      <c r="IA60" s="3">
        <v>0</v>
      </c>
      <c r="IB60" s="3">
        <v>3.0000000000000001E-3</v>
      </c>
      <c r="IC60" s="3">
        <v>2E-3</v>
      </c>
      <c r="ID60" s="3">
        <v>0.215</v>
      </c>
      <c r="IE60" s="3">
        <v>3.1629999999999998</v>
      </c>
      <c r="IF60" s="3">
        <v>4.7539999999999996</v>
      </c>
      <c r="IG60" s="3">
        <v>4.9320000000000004</v>
      </c>
      <c r="IH60" s="3">
        <v>1E-3</v>
      </c>
      <c r="II60" s="3">
        <v>3.9689999999999999</v>
      </c>
      <c r="IJ60" s="3">
        <v>4.4290000000000003</v>
      </c>
      <c r="IK60" s="3">
        <v>4.3600000000000003</v>
      </c>
      <c r="IL60" s="3">
        <v>1E-3</v>
      </c>
      <c r="IM60" s="3">
        <v>1E-3</v>
      </c>
      <c r="IN60" s="3">
        <v>1.9E-2</v>
      </c>
      <c r="IO60" s="3">
        <v>0.08</v>
      </c>
      <c r="IP60" s="3">
        <v>6.0650000000000004</v>
      </c>
      <c r="IQ60" s="3">
        <v>5.4930000000000003</v>
      </c>
      <c r="IR60" s="3">
        <v>6.7549999999999999</v>
      </c>
      <c r="IS60" s="3">
        <v>9.2910000000000004</v>
      </c>
      <c r="IT60" s="3">
        <v>0.125</v>
      </c>
      <c r="IU60" s="3">
        <v>2.4990000000000001</v>
      </c>
      <c r="IV60" s="3">
        <v>7.1390000000000002</v>
      </c>
      <c r="IW60" s="3">
        <v>0.71899999999999997</v>
      </c>
      <c r="IX60" s="3">
        <v>7.9349999999999996</v>
      </c>
      <c r="IY60" s="3">
        <v>0</v>
      </c>
      <c r="IZ60" s="3">
        <v>1.4999999999999999E-2</v>
      </c>
      <c r="JA60" s="3">
        <v>0</v>
      </c>
      <c r="JB60" s="3">
        <v>0</v>
      </c>
      <c r="JC60" s="3">
        <v>6.2E-2</v>
      </c>
      <c r="JD60" s="3">
        <v>11.074999999999999</v>
      </c>
      <c r="JE60" s="3">
        <v>0.14099999999999999</v>
      </c>
      <c r="JF60" s="3">
        <v>8.2010000000000005</v>
      </c>
      <c r="JG60" s="3">
        <v>0</v>
      </c>
      <c r="JH60" s="3">
        <v>0</v>
      </c>
      <c r="JI60" s="3">
        <v>0</v>
      </c>
      <c r="JJ60" s="3">
        <v>0</v>
      </c>
      <c r="JK60" s="3">
        <v>25.728999999999999</v>
      </c>
      <c r="JL60" s="3">
        <v>1.6E-2</v>
      </c>
      <c r="JM60" s="3">
        <v>1.6E-2</v>
      </c>
      <c r="JN60" s="3">
        <v>8.31</v>
      </c>
      <c r="JO60" s="3">
        <v>48.332000000000001</v>
      </c>
      <c r="JP60" s="3">
        <v>46.13</v>
      </c>
      <c r="JQ60" s="3">
        <v>42.896000000000001</v>
      </c>
      <c r="JR60" s="3">
        <v>0</v>
      </c>
      <c r="JS60" s="3">
        <v>19.308</v>
      </c>
      <c r="JT60" s="3">
        <v>31.102</v>
      </c>
      <c r="JU60" s="3">
        <v>1.6E-2</v>
      </c>
      <c r="JV60" s="3">
        <v>52.158999999999999</v>
      </c>
      <c r="JW60" s="3">
        <v>2.359</v>
      </c>
      <c r="JX60" s="3">
        <v>27.994</v>
      </c>
      <c r="JY60" s="3">
        <v>24.526</v>
      </c>
      <c r="JZ60" s="3">
        <v>45.786000000000001</v>
      </c>
      <c r="KA60" s="3">
        <v>55.003</v>
      </c>
      <c r="KB60" s="3">
        <v>92.337999999999994</v>
      </c>
      <c r="KC60" s="3">
        <v>76.153000000000006</v>
      </c>
      <c r="KD60" s="3">
        <v>0</v>
      </c>
      <c r="KE60" s="3">
        <v>0.53800000000000003</v>
      </c>
      <c r="KF60" s="3">
        <v>5.0999999999999997E-2</v>
      </c>
      <c r="KG60" s="3">
        <v>0.77200000000000002</v>
      </c>
      <c r="KH60" s="3">
        <v>1.5840000000000001</v>
      </c>
      <c r="KI60" s="3">
        <v>1.8580000000000001</v>
      </c>
      <c r="KJ60" s="3">
        <v>0</v>
      </c>
      <c r="KK60" s="3">
        <v>2E-3</v>
      </c>
      <c r="KL60" s="3">
        <v>3.0000000000000001E-3</v>
      </c>
      <c r="KM60" s="3">
        <v>2E-3</v>
      </c>
      <c r="KN60" s="3">
        <v>1.4999999999999999E-2</v>
      </c>
      <c r="KO60" s="3">
        <v>7.0000000000000001E-3</v>
      </c>
      <c r="KP60" s="3">
        <v>0</v>
      </c>
      <c r="KQ60" s="3">
        <v>1.218</v>
      </c>
      <c r="KR60" s="3">
        <v>1.484</v>
      </c>
      <c r="KS60" s="3">
        <v>2.8250000000000002</v>
      </c>
      <c r="KT60" s="3">
        <v>0</v>
      </c>
      <c r="KU60" s="3">
        <v>1E-3</v>
      </c>
      <c r="KV60" s="3">
        <v>2E-3</v>
      </c>
      <c r="KW60" s="3">
        <v>2E-3</v>
      </c>
      <c r="KX60" s="3">
        <v>2.8000000000000001E-2</v>
      </c>
      <c r="KY60" s="3">
        <v>2.7E-2</v>
      </c>
      <c r="KZ60" s="3">
        <v>5.2350000000000003</v>
      </c>
      <c r="LA60" s="3">
        <v>5.3280000000000003</v>
      </c>
      <c r="LB60" s="3">
        <v>1.84</v>
      </c>
      <c r="LC60" s="3">
        <v>0</v>
      </c>
      <c r="LD60" s="3">
        <v>3.4860000000000002</v>
      </c>
      <c r="LE60" s="3">
        <v>4.2389999999999999</v>
      </c>
      <c r="LF60" s="3">
        <v>0</v>
      </c>
      <c r="LG60" s="3">
        <v>5.0000000000000001E-3</v>
      </c>
      <c r="LH60" s="3">
        <v>2E-3</v>
      </c>
      <c r="LI60" s="3">
        <v>2.0059999999999998</v>
      </c>
      <c r="LJ60" s="3">
        <v>4.891</v>
      </c>
      <c r="LK60" s="3">
        <v>5.8849999999999998</v>
      </c>
      <c r="LL60" s="3">
        <v>7.3079999999999998</v>
      </c>
      <c r="LM60" s="3">
        <v>9.1679999999999993</v>
      </c>
      <c r="LN60" s="3">
        <v>4.7E-2</v>
      </c>
      <c r="LO60" s="3">
        <v>4.7E-2</v>
      </c>
      <c r="LP60" s="3">
        <v>7.8109999999999999</v>
      </c>
      <c r="LQ60" s="3">
        <v>7.4669999999999996</v>
      </c>
      <c r="LR60" s="3">
        <v>8.8420000000000005</v>
      </c>
      <c r="LS60" s="3">
        <v>8.8420000000000005</v>
      </c>
      <c r="LT60" s="3">
        <v>0</v>
      </c>
      <c r="LU60" s="3">
        <v>0</v>
      </c>
      <c r="LV60" s="3">
        <v>0</v>
      </c>
      <c r="LW60" s="3">
        <v>0</v>
      </c>
      <c r="LX60" s="3">
        <v>5.702</v>
      </c>
      <c r="LY60" s="3">
        <v>2.2029999999999998</v>
      </c>
      <c r="LZ60" s="3">
        <v>8.3889999999999993</v>
      </c>
      <c r="MA60" s="3">
        <v>0</v>
      </c>
      <c r="MB60" s="3">
        <v>17.105</v>
      </c>
      <c r="MC60" s="3">
        <v>0</v>
      </c>
      <c r="MD60" s="3">
        <v>28.992999999999999</v>
      </c>
      <c r="ME60" s="3">
        <v>0</v>
      </c>
      <c r="MF60" s="3">
        <v>0</v>
      </c>
      <c r="MG60" s="3">
        <v>0.187</v>
      </c>
      <c r="MH60" s="3">
        <v>39.302999999999997</v>
      </c>
      <c r="MI60" s="3">
        <v>4.7E-2</v>
      </c>
      <c r="MJ60" s="3">
        <v>57.252000000000002</v>
      </c>
      <c r="MK60" s="3">
        <v>59.923999999999999</v>
      </c>
      <c r="ML60" s="3">
        <v>16.699000000000002</v>
      </c>
      <c r="MM60" s="3">
        <v>0</v>
      </c>
      <c r="MN60" s="3">
        <v>33.773000000000003</v>
      </c>
      <c r="MO60" s="3">
        <v>36.725999999999999</v>
      </c>
      <c r="MP60" s="3">
        <v>0</v>
      </c>
      <c r="MQ60" s="3">
        <v>0</v>
      </c>
      <c r="MR60" s="3">
        <v>17.338999999999999</v>
      </c>
      <c r="MS60" s="3">
        <v>2.0310000000000001</v>
      </c>
      <c r="MT60" s="3">
        <v>55.581000000000003</v>
      </c>
      <c r="MU60" s="3">
        <v>51.018999999999998</v>
      </c>
      <c r="MV60" s="3">
        <v>87.697999999999993</v>
      </c>
      <c r="MW60" s="3">
        <v>77.543999999999997</v>
      </c>
    </row>
    <row r="61" spans="1:361" x14ac:dyDescent="0.3">
      <c r="A61" s="3">
        <v>19</v>
      </c>
      <c r="B61" s="3">
        <v>0.47799999999999998</v>
      </c>
      <c r="C61" s="3">
        <v>0</v>
      </c>
      <c r="D61" s="3">
        <v>0.68500000000000005</v>
      </c>
      <c r="E61" s="3">
        <v>0.94299999999999995</v>
      </c>
      <c r="F61" s="3">
        <v>2E-3</v>
      </c>
      <c r="G61" s="3">
        <v>1.504</v>
      </c>
      <c r="H61" s="3">
        <v>1E-3</v>
      </c>
      <c r="I61" s="3">
        <v>2E-3</v>
      </c>
      <c r="J61" s="3">
        <v>1.0999999999999999E-2</v>
      </c>
      <c r="K61" s="3">
        <v>3.0000000000000001E-3</v>
      </c>
      <c r="L61" s="3">
        <v>1.4E-2</v>
      </c>
      <c r="M61" s="3">
        <v>3.1E-2</v>
      </c>
      <c r="N61" s="3">
        <v>0.71199999999999997</v>
      </c>
      <c r="O61" s="3">
        <v>0.79400000000000004</v>
      </c>
      <c r="P61" s="3">
        <v>1.9139999999999999</v>
      </c>
      <c r="Q61" s="3">
        <v>0</v>
      </c>
      <c r="R61" s="3">
        <v>3.1480000000000001</v>
      </c>
      <c r="S61" s="3">
        <v>2.8319999999999999</v>
      </c>
      <c r="T61" s="3">
        <v>1E-3</v>
      </c>
      <c r="U61" s="3">
        <v>3.0000000000000001E-3</v>
      </c>
      <c r="V61" s="3">
        <v>3.032</v>
      </c>
      <c r="W61" s="3">
        <v>2.6360000000000001</v>
      </c>
      <c r="X61" s="3">
        <v>4.0960000000000001</v>
      </c>
      <c r="Y61" s="3">
        <v>4.6749999999999998</v>
      </c>
      <c r="Z61" s="3">
        <v>1.538</v>
      </c>
      <c r="AA61" s="3">
        <v>1.5069999999999999</v>
      </c>
      <c r="AB61" s="3">
        <v>3.94</v>
      </c>
      <c r="AC61" s="3">
        <v>3.74</v>
      </c>
      <c r="AD61" s="3">
        <v>4.57</v>
      </c>
      <c r="AE61" s="3">
        <v>1E-3</v>
      </c>
      <c r="AF61" s="3">
        <v>2.0550000000000002</v>
      </c>
      <c r="AG61" s="3">
        <v>2.1880000000000002</v>
      </c>
      <c r="AH61" s="3">
        <v>5.4130000000000003</v>
      </c>
      <c r="AI61" s="3">
        <v>5.2830000000000004</v>
      </c>
      <c r="AJ61" s="3">
        <v>5.9660000000000002</v>
      </c>
      <c r="AK61" s="3">
        <v>8.5</v>
      </c>
      <c r="AL61" s="3">
        <v>4.7E-2</v>
      </c>
      <c r="AM61" s="3">
        <v>0</v>
      </c>
      <c r="AN61" s="3">
        <v>8.1539999999999999</v>
      </c>
      <c r="AO61" s="3">
        <v>6.3E-2</v>
      </c>
      <c r="AP61" s="3">
        <v>8.5299999999999994</v>
      </c>
      <c r="AQ61" s="3">
        <v>0</v>
      </c>
      <c r="AR61" s="3">
        <v>1.4999999999999999E-2</v>
      </c>
      <c r="AS61" s="3">
        <v>1.4999999999999999E-2</v>
      </c>
      <c r="AT61" s="3">
        <v>1.4999999999999999E-2</v>
      </c>
      <c r="AU61" s="3">
        <v>7.8E-2</v>
      </c>
      <c r="AV61" s="3">
        <v>8.4510000000000005</v>
      </c>
      <c r="AW61" s="3">
        <v>0.156</v>
      </c>
      <c r="AX61" s="3">
        <v>0</v>
      </c>
      <c r="AY61" s="3">
        <v>7.952</v>
      </c>
      <c r="AZ61" s="3">
        <v>22.698</v>
      </c>
      <c r="BA61" s="3">
        <v>1.4370000000000001</v>
      </c>
      <c r="BB61" s="3">
        <v>24.198</v>
      </c>
      <c r="BC61" s="3">
        <v>29.664000000000001</v>
      </c>
      <c r="BD61" s="3">
        <v>1.6E-2</v>
      </c>
      <c r="BE61" s="3">
        <v>1.4999999999999999E-2</v>
      </c>
      <c r="BF61" s="3">
        <v>16.231000000000002</v>
      </c>
      <c r="BG61" s="3">
        <v>20.151</v>
      </c>
      <c r="BH61" s="3">
        <v>43.771000000000001</v>
      </c>
      <c r="BI61" s="3">
        <v>76.567999999999998</v>
      </c>
      <c r="BJ61" s="3">
        <v>12.106</v>
      </c>
      <c r="BK61" s="3">
        <v>20.963999999999999</v>
      </c>
      <c r="BL61" s="3">
        <v>0</v>
      </c>
      <c r="BM61" s="3">
        <v>47.097999999999999</v>
      </c>
      <c r="BN61" s="3">
        <v>54.533999999999999</v>
      </c>
      <c r="BO61" s="3">
        <v>52.69</v>
      </c>
      <c r="BP61" s="3">
        <v>26.728000000000002</v>
      </c>
      <c r="BQ61" s="3">
        <v>0.60899999999999999</v>
      </c>
      <c r="BR61" s="3">
        <v>61.923000000000002</v>
      </c>
      <c r="BS61" s="3">
        <v>52.301000000000002</v>
      </c>
      <c r="BT61" s="3">
        <v>77.168999999999997</v>
      </c>
      <c r="BU61" s="3">
        <v>75.528999999999996</v>
      </c>
      <c r="BV61" s="3">
        <v>0.10299999999999999</v>
      </c>
      <c r="BW61" s="3">
        <v>0</v>
      </c>
      <c r="BX61" s="3">
        <v>0.65500000000000003</v>
      </c>
      <c r="BY61" s="3">
        <v>0.92600000000000005</v>
      </c>
      <c r="BZ61" s="3">
        <v>1.08</v>
      </c>
      <c r="CA61" s="3">
        <v>1.1459999999999999</v>
      </c>
      <c r="CB61" s="3">
        <v>2E-3</v>
      </c>
      <c r="CC61" s="3">
        <v>4.0000000000000001E-3</v>
      </c>
      <c r="CD61" s="3">
        <v>1E-3</v>
      </c>
      <c r="CE61" s="3">
        <v>1E-3</v>
      </c>
      <c r="CF61" s="3">
        <v>8.0000000000000002E-3</v>
      </c>
      <c r="CG61" s="3">
        <v>6.0000000000000001E-3</v>
      </c>
      <c r="CH61" s="3">
        <v>0.92400000000000004</v>
      </c>
      <c r="CI61" s="3">
        <v>1E-3</v>
      </c>
      <c r="CJ61" s="3">
        <v>1.907</v>
      </c>
      <c r="CK61" s="3">
        <v>2.1309999999999998</v>
      </c>
      <c r="CL61" s="3">
        <v>1E-3</v>
      </c>
      <c r="CM61" s="3">
        <v>1E-3</v>
      </c>
      <c r="CN61" s="3">
        <v>1.4E-2</v>
      </c>
      <c r="CO61" s="3">
        <v>1.4999999999999999E-2</v>
      </c>
      <c r="CP61" s="3">
        <v>3.734</v>
      </c>
      <c r="CQ61" s="3">
        <v>8.0000000000000002E-3</v>
      </c>
      <c r="CR61" s="3">
        <v>4.87</v>
      </c>
      <c r="CS61" s="3">
        <v>4.2869999999999999</v>
      </c>
      <c r="CT61" s="3">
        <v>0</v>
      </c>
      <c r="CU61" s="3">
        <v>0</v>
      </c>
      <c r="CV61" s="3">
        <v>0</v>
      </c>
      <c r="CW61" s="3">
        <v>4.1000000000000002E-2</v>
      </c>
      <c r="CX61" s="3">
        <v>1E-3</v>
      </c>
      <c r="CY61" s="3">
        <v>4.2000000000000003E-2</v>
      </c>
      <c r="CZ61" s="3">
        <v>2E-3</v>
      </c>
      <c r="DA61" s="3">
        <v>5.7000000000000002E-2</v>
      </c>
      <c r="DB61" s="3">
        <v>6.5540000000000003</v>
      </c>
      <c r="DC61" s="3">
        <v>7.3739999999999997</v>
      </c>
      <c r="DD61" s="3">
        <v>8.1140000000000008</v>
      </c>
      <c r="DE61" s="3">
        <v>8.0350000000000001</v>
      </c>
      <c r="DF61" s="3">
        <v>1.6E-2</v>
      </c>
      <c r="DG61" s="3">
        <v>3.2959999999999998</v>
      </c>
      <c r="DH61" s="3">
        <v>1.6E-2</v>
      </c>
      <c r="DI61" s="3">
        <v>8.4819999999999993</v>
      </c>
      <c r="DJ61" s="3">
        <v>0</v>
      </c>
      <c r="DK61" s="3">
        <v>10.013999999999999</v>
      </c>
      <c r="DL61" s="3">
        <v>0</v>
      </c>
      <c r="DM61" s="3">
        <v>0</v>
      </c>
      <c r="DN61" s="3">
        <v>6.2E-2</v>
      </c>
      <c r="DO61" s="3">
        <v>3.1E-2</v>
      </c>
      <c r="DP61" s="3">
        <v>0.48399999999999999</v>
      </c>
      <c r="DQ61" s="3">
        <v>4.7E-2</v>
      </c>
      <c r="DR61" s="3">
        <v>0</v>
      </c>
      <c r="DS61" s="3">
        <v>0</v>
      </c>
      <c r="DT61" s="3">
        <v>21.698</v>
      </c>
      <c r="DU61" s="3">
        <v>15.169</v>
      </c>
      <c r="DV61" s="3">
        <v>0</v>
      </c>
      <c r="DW61" s="3">
        <v>0</v>
      </c>
      <c r="DX61" s="3">
        <v>0</v>
      </c>
      <c r="DY61" s="3">
        <v>1.6E-2</v>
      </c>
      <c r="DZ61" s="3">
        <v>35.662999999999997</v>
      </c>
      <c r="EA61" s="3">
        <v>53.8</v>
      </c>
      <c r="EB61" s="3">
        <v>73.28</v>
      </c>
      <c r="EC61" s="3">
        <v>65.406999999999996</v>
      </c>
      <c r="ED61" s="3">
        <v>13.95</v>
      </c>
      <c r="EE61" s="3">
        <v>0</v>
      </c>
      <c r="EF61" s="3">
        <v>44.786999999999999</v>
      </c>
      <c r="EG61" s="3">
        <v>33.616999999999997</v>
      </c>
      <c r="EH61" s="3">
        <v>52.597000000000001</v>
      </c>
      <c r="EI61" s="3">
        <v>53.44</v>
      </c>
      <c r="EJ61" s="3">
        <v>20.745999999999999</v>
      </c>
      <c r="EK61" s="3">
        <v>25.869</v>
      </c>
      <c r="EL61" s="3">
        <v>49.176000000000002</v>
      </c>
      <c r="EM61" s="3">
        <v>60.954999999999998</v>
      </c>
      <c r="EN61" s="3">
        <v>83.245999999999995</v>
      </c>
      <c r="EO61" s="3">
        <v>78.632000000000005</v>
      </c>
      <c r="EP61" s="3">
        <v>0.29099999999999998</v>
      </c>
      <c r="EQ61" s="3">
        <v>0.01</v>
      </c>
      <c r="ER61" s="3">
        <v>0.63600000000000001</v>
      </c>
      <c r="ES61" s="3">
        <v>2.3E-2</v>
      </c>
      <c r="ET61" s="3">
        <v>0.99299999999999999</v>
      </c>
      <c r="EU61" s="3">
        <v>1.361</v>
      </c>
      <c r="EV61" s="3">
        <v>0</v>
      </c>
      <c r="EW61" s="3">
        <v>1E-3</v>
      </c>
      <c r="EX61" s="3">
        <v>2E-3</v>
      </c>
      <c r="EY61" s="3">
        <v>2E-3</v>
      </c>
      <c r="EZ61" s="3">
        <v>9.2999999999999999E-2</v>
      </c>
      <c r="FA61" s="3">
        <v>4.0000000000000001E-3</v>
      </c>
      <c r="FB61" s="3">
        <v>9.4E-2</v>
      </c>
      <c r="FC61" s="3">
        <v>1.1930000000000001</v>
      </c>
      <c r="FD61" s="3">
        <v>2</v>
      </c>
      <c r="FE61" s="3">
        <v>0</v>
      </c>
      <c r="FF61" s="3">
        <v>2.9009999999999998</v>
      </c>
      <c r="FG61" s="3">
        <v>4.6669999999999998</v>
      </c>
      <c r="FH61" s="3">
        <v>1.6E-2</v>
      </c>
      <c r="FI61" s="3">
        <v>3.4000000000000002E-2</v>
      </c>
      <c r="FJ61" s="3">
        <v>0.92300000000000004</v>
      </c>
      <c r="FK61" s="3">
        <v>0.11899999999999999</v>
      </c>
      <c r="FL61" s="3">
        <v>5.8040000000000003</v>
      </c>
      <c r="FM61" s="3">
        <v>4.1050000000000004</v>
      </c>
      <c r="FN61" s="3">
        <v>0</v>
      </c>
      <c r="FO61" s="3">
        <v>2.0569999999999999</v>
      </c>
      <c r="FP61" s="3">
        <v>1E-3</v>
      </c>
      <c r="FQ61" s="3">
        <v>4.6459999999999999</v>
      </c>
      <c r="FR61" s="3">
        <v>6.758</v>
      </c>
      <c r="FS61" s="3">
        <v>1.8129999999999999</v>
      </c>
      <c r="FT61" s="3">
        <v>1.6930000000000001</v>
      </c>
      <c r="FU61" s="3">
        <v>1.98</v>
      </c>
      <c r="FV61" s="3">
        <v>5.4459999999999997</v>
      </c>
      <c r="FW61" s="3">
        <v>4.4530000000000003</v>
      </c>
      <c r="FX61" s="3">
        <v>7.8849999999999998</v>
      </c>
      <c r="FY61" s="3">
        <v>9.0090000000000003</v>
      </c>
      <c r="FZ61" s="3">
        <v>2.1869999999999998</v>
      </c>
      <c r="GA61" s="3">
        <v>1.6E-2</v>
      </c>
      <c r="GB61" s="3">
        <v>8.17</v>
      </c>
      <c r="GC61" s="3">
        <v>9.3140000000000001</v>
      </c>
      <c r="GD61" s="3">
        <v>0</v>
      </c>
      <c r="GE61" s="3">
        <v>2.5150000000000001</v>
      </c>
      <c r="GF61" s="3">
        <v>0</v>
      </c>
      <c r="GG61" s="3">
        <v>4.7E-2</v>
      </c>
      <c r="GH61" s="3">
        <v>0</v>
      </c>
      <c r="GI61" s="3">
        <v>1.4999999999999999E-2</v>
      </c>
      <c r="GJ61" s="3">
        <v>1.1719999999999999</v>
      </c>
      <c r="GK61" s="3">
        <v>1.2649999999999999</v>
      </c>
      <c r="GL61" s="3">
        <v>7.1390000000000002</v>
      </c>
      <c r="GM61" s="3">
        <v>8.6069999999999993</v>
      </c>
      <c r="GN61" s="3">
        <v>25.306999999999999</v>
      </c>
      <c r="GO61" s="3">
        <v>22.478999999999999</v>
      </c>
      <c r="GP61" s="3">
        <v>0</v>
      </c>
      <c r="GQ61" s="3">
        <v>1.4999999999999999E-2</v>
      </c>
      <c r="GR61" s="3">
        <v>1.6E-2</v>
      </c>
      <c r="GS61" s="3">
        <v>1.4999999999999999E-2</v>
      </c>
      <c r="GT61" s="3">
        <v>45.238999999999997</v>
      </c>
      <c r="GU61" s="3">
        <v>2.375</v>
      </c>
      <c r="GV61" s="3">
        <v>66.311999999999998</v>
      </c>
      <c r="GW61" s="3">
        <v>60.704000000000001</v>
      </c>
      <c r="GX61" s="3">
        <v>2.6560000000000001</v>
      </c>
      <c r="GY61" s="3">
        <v>1.4999999999999999E-2</v>
      </c>
      <c r="GZ61" s="3">
        <v>0</v>
      </c>
      <c r="HA61" s="3">
        <v>35.274000000000001</v>
      </c>
      <c r="HB61" s="3">
        <v>52.597999999999999</v>
      </c>
      <c r="HC61" s="3">
        <v>0</v>
      </c>
      <c r="HD61" s="3">
        <v>20.308</v>
      </c>
      <c r="HE61" s="3">
        <v>25.385000000000002</v>
      </c>
      <c r="HF61" s="3">
        <v>49.176000000000002</v>
      </c>
      <c r="HG61" s="3">
        <v>56.58</v>
      </c>
      <c r="HH61" s="3">
        <v>71.483000000000004</v>
      </c>
      <c r="HI61" s="3">
        <v>75.513999999999996</v>
      </c>
      <c r="HJ61" s="3">
        <v>1.9E-2</v>
      </c>
      <c r="HK61" s="3">
        <v>0.12</v>
      </c>
      <c r="HL61" s="3">
        <v>0.79400000000000004</v>
      </c>
      <c r="HM61" s="3">
        <v>9.2999999999999999E-2</v>
      </c>
      <c r="HN61" s="3">
        <v>0.97</v>
      </c>
      <c r="HO61" s="3">
        <v>2E-3</v>
      </c>
      <c r="HP61" s="3">
        <v>1E-3</v>
      </c>
      <c r="HQ61" s="3">
        <v>3.0000000000000001E-3</v>
      </c>
      <c r="HR61" s="3">
        <v>7.0000000000000001E-3</v>
      </c>
      <c r="HS61" s="3">
        <v>6.0000000000000001E-3</v>
      </c>
      <c r="HT61" s="3">
        <v>5.0000000000000001E-3</v>
      </c>
      <c r="HU61" s="3">
        <v>2E-3</v>
      </c>
      <c r="HV61" s="3">
        <v>0</v>
      </c>
      <c r="HW61" s="3">
        <v>1.1579999999999999</v>
      </c>
      <c r="HX61" s="3">
        <v>1.71</v>
      </c>
      <c r="HY61" s="3">
        <v>1E-3</v>
      </c>
      <c r="HZ61" s="3">
        <v>2.931</v>
      </c>
      <c r="IA61" s="3">
        <v>0</v>
      </c>
      <c r="IB61" s="3">
        <v>2E-3</v>
      </c>
      <c r="IC61" s="3">
        <v>2E-3</v>
      </c>
      <c r="ID61" s="3">
        <v>3.5999999999999997E-2</v>
      </c>
      <c r="IE61" s="3">
        <v>3.0350000000000001</v>
      </c>
      <c r="IF61" s="3">
        <v>5.0869999999999997</v>
      </c>
      <c r="IG61" s="3">
        <v>5.0979999999999999</v>
      </c>
      <c r="IH61" s="3">
        <v>4.0000000000000001E-3</v>
      </c>
      <c r="II61" s="3">
        <v>2.996</v>
      </c>
      <c r="IJ61" s="3">
        <v>4.7439999999999998</v>
      </c>
      <c r="IK61" s="3">
        <v>4.3600000000000003</v>
      </c>
      <c r="IL61" s="3">
        <v>0</v>
      </c>
      <c r="IM61" s="3">
        <v>1E-3</v>
      </c>
      <c r="IN61" s="3">
        <v>3.0000000000000001E-3</v>
      </c>
      <c r="IO61" s="3">
        <v>0.05</v>
      </c>
      <c r="IP61" s="3">
        <v>6.2850000000000001</v>
      </c>
      <c r="IQ61" s="3">
        <v>5.2569999999999997</v>
      </c>
      <c r="IR61" s="3">
        <v>6.8479999999999999</v>
      </c>
      <c r="IS61" s="3">
        <v>8.9450000000000003</v>
      </c>
      <c r="IT61" s="3">
        <v>1.6E-2</v>
      </c>
      <c r="IU61" s="3">
        <v>2.234</v>
      </c>
      <c r="IV61" s="3">
        <v>7.2640000000000002</v>
      </c>
      <c r="IW61" s="3">
        <v>2.64</v>
      </c>
      <c r="IX61" s="3">
        <v>7.7480000000000002</v>
      </c>
      <c r="IY61" s="3">
        <v>1.4999999999999999E-2</v>
      </c>
      <c r="IZ61" s="3">
        <v>0</v>
      </c>
      <c r="JA61" s="3">
        <v>0</v>
      </c>
      <c r="JB61" s="3">
        <v>4.7E-2</v>
      </c>
      <c r="JC61" s="3">
        <v>9.4E-2</v>
      </c>
      <c r="JD61" s="3">
        <v>11.185</v>
      </c>
      <c r="JE61" s="3">
        <v>0.20300000000000001</v>
      </c>
      <c r="JF61" s="3">
        <v>8.6539999999999999</v>
      </c>
      <c r="JG61" s="3">
        <v>0</v>
      </c>
      <c r="JH61" s="3">
        <v>0</v>
      </c>
      <c r="JI61" s="3">
        <v>0</v>
      </c>
      <c r="JJ61" s="3">
        <v>0</v>
      </c>
      <c r="JK61" s="3">
        <v>25.962</v>
      </c>
      <c r="JL61" s="3">
        <v>1.6E-2</v>
      </c>
      <c r="JM61" s="3">
        <v>1.4999999999999999E-2</v>
      </c>
      <c r="JN61" s="3">
        <v>36.225999999999999</v>
      </c>
      <c r="JO61" s="3">
        <v>45.755000000000003</v>
      </c>
      <c r="JP61" s="3">
        <v>46.911000000000001</v>
      </c>
      <c r="JQ61" s="3">
        <v>42.098999999999997</v>
      </c>
      <c r="JR61" s="3">
        <v>1.6E-2</v>
      </c>
      <c r="JS61" s="3">
        <v>22.776</v>
      </c>
      <c r="JT61" s="3">
        <v>31.132999999999999</v>
      </c>
      <c r="JU61" s="3">
        <v>0</v>
      </c>
      <c r="JV61" s="3">
        <v>51.784999999999997</v>
      </c>
      <c r="JW61" s="3">
        <v>9.4350000000000005</v>
      </c>
      <c r="JX61" s="3">
        <v>27.68</v>
      </c>
      <c r="JY61" s="3">
        <v>22.198</v>
      </c>
      <c r="JZ61" s="3">
        <v>49.347999999999999</v>
      </c>
      <c r="KA61" s="3">
        <v>54.423999999999999</v>
      </c>
      <c r="KB61" s="3">
        <v>77.125</v>
      </c>
      <c r="KC61" s="3">
        <v>81.653000000000006</v>
      </c>
      <c r="KD61" s="3">
        <v>1E-3</v>
      </c>
      <c r="KE61" s="3">
        <v>0.56399999999999995</v>
      </c>
      <c r="KF61" s="3">
        <v>3.6999999999999998E-2</v>
      </c>
      <c r="KG61" s="3">
        <v>0.74399999999999999</v>
      </c>
      <c r="KH61" s="3">
        <v>1.6719999999999999</v>
      </c>
      <c r="KI61" s="3">
        <v>1.597</v>
      </c>
      <c r="KJ61" s="3">
        <v>2E-3</v>
      </c>
      <c r="KK61" s="3">
        <v>2E-3</v>
      </c>
      <c r="KL61" s="3">
        <v>1E-3</v>
      </c>
      <c r="KM61" s="3">
        <v>5.0000000000000001E-3</v>
      </c>
      <c r="KN61" s="3">
        <v>2.4E-2</v>
      </c>
      <c r="KO61" s="3">
        <v>5.0000000000000001E-3</v>
      </c>
      <c r="KP61" s="3">
        <v>1E-3</v>
      </c>
      <c r="KQ61" s="3">
        <v>1.4359999999999999</v>
      </c>
      <c r="KR61" s="3">
        <v>1.444</v>
      </c>
      <c r="KS61" s="3">
        <v>3.1829999999999998</v>
      </c>
      <c r="KT61" s="3">
        <v>0</v>
      </c>
      <c r="KU61" s="3">
        <v>1.2999999999999999E-2</v>
      </c>
      <c r="KV61" s="3">
        <v>2E-3</v>
      </c>
      <c r="KW61" s="3">
        <v>2E-3</v>
      </c>
      <c r="KX61" s="3">
        <v>1.9E-2</v>
      </c>
      <c r="KY61" s="3">
        <v>0.17299999999999999</v>
      </c>
      <c r="KZ61" s="3">
        <v>4.8979999999999997</v>
      </c>
      <c r="LA61" s="3">
        <v>4.8630000000000004</v>
      </c>
      <c r="LB61" s="3">
        <v>1.7769999999999999</v>
      </c>
      <c r="LC61" s="3">
        <v>0</v>
      </c>
      <c r="LD61" s="3">
        <v>3.415</v>
      </c>
      <c r="LE61" s="3">
        <v>3.7330000000000001</v>
      </c>
      <c r="LF61" s="3">
        <v>0</v>
      </c>
      <c r="LG61" s="3">
        <v>1E-3</v>
      </c>
      <c r="LH61" s="3">
        <v>2E-3</v>
      </c>
      <c r="LI61" s="3">
        <v>2.0430000000000001</v>
      </c>
      <c r="LJ61" s="3">
        <v>5.3780000000000001</v>
      </c>
      <c r="LK61" s="3">
        <v>5.7709999999999999</v>
      </c>
      <c r="LL61" s="3">
        <v>7.7640000000000002</v>
      </c>
      <c r="LM61" s="3">
        <v>8.9239999999999995</v>
      </c>
      <c r="LN61" s="3">
        <v>4.7E-2</v>
      </c>
      <c r="LO61" s="3">
        <v>1.6E-2</v>
      </c>
      <c r="LP61" s="3">
        <v>7.8570000000000002</v>
      </c>
      <c r="LQ61" s="3">
        <v>6.42</v>
      </c>
      <c r="LR61" s="3">
        <v>8.67</v>
      </c>
      <c r="LS61" s="3">
        <v>9.67</v>
      </c>
      <c r="LT61" s="3">
        <v>4.7E-2</v>
      </c>
      <c r="LU61" s="3">
        <v>1.6E-2</v>
      </c>
      <c r="LV61" s="3">
        <v>9.4E-2</v>
      </c>
      <c r="LW61" s="3">
        <v>3.1E-2</v>
      </c>
      <c r="LX61" s="3">
        <v>7.7329999999999997</v>
      </c>
      <c r="LY61" s="3">
        <v>0.73399999999999999</v>
      </c>
      <c r="LZ61" s="3">
        <v>8.8889999999999993</v>
      </c>
      <c r="MA61" s="3">
        <v>0</v>
      </c>
      <c r="MB61" s="3">
        <v>18.120999999999999</v>
      </c>
      <c r="MC61" s="3">
        <v>0</v>
      </c>
      <c r="MD61" s="3">
        <v>28.664999999999999</v>
      </c>
      <c r="ME61" s="3">
        <v>0</v>
      </c>
      <c r="MF61" s="3">
        <v>0</v>
      </c>
      <c r="MG61" s="3">
        <v>0.109</v>
      </c>
      <c r="MH61" s="3">
        <v>35.256999999999998</v>
      </c>
      <c r="MI61" s="3">
        <v>0.375</v>
      </c>
      <c r="MJ61" s="3">
        <v>47.566000000000003</v>
      </c>
      <c r="MK61" s="3">
        <v>61.344999999999999</v>
      </c>
      <c r="ML61" s="3">
        <v>16.512</v>
      </c>
      <c r="MM61" s="3">
        <v>0.20300000000000001</v>
      </c>
      <c r="MN61" s="3">
        <v>32.945</v>
      </c>
      <c r="MO61" s="3">
        <v>36.944000000000003</v>
      </c>
      <c r="MP61" s="3">
        <v>1.6E-2</v>
      </c>
      <c r="MQ61" s="3">
        <v>0</v>
      </c>
      <c r="MR61" s="3">
        <v>18.527000000000001</v>
      </c>
      <c r="MS61" s="3">
        <v>0.23400000000000001</v>
      </c>
      <c r="MT61" s="3">
        <v>54.63</v>
      </c>
      <c r="MU61" s="3">
        <v>49.113</v>
      </c>
      <c r="MV61" s="3">
        <v>80.965000000000003</v>
      </c>
      <c r="MW61" s="3">
        <v>83.686000000000007</v>
      </c>
    </row>
    <row r="62" spans="1:361" x14ac:dyDescent="0.3">
      <c r="A62" s="3">
        <v>20</v>
      </c>
      <c r="B62" s="3">
        <v>0.41099999999999998</v>
      </c>
      <c r="C62" s="3">
        <v>0</v>
      </c>
      <c r="D62" s="3">
        <v>0.77700000000000002</v>
      </c>
      <c r="E62" s="3">
        <v>0.97299999999999998</v>
      </c>
      <c r="F62" s="3">
        <v>0</v>
      </c>
      <c r="G62" s="3">
        <v>1.6180000000000001</v>
      </c>
      <c r="H62" s="3">
        <v>1E-3</v>
      </c>
      <c r="I62" s="3">
        <v>2E-3</v>
      </c>
      <c r="J62" s="3">
        <v>8.0000000000000002E-3</v>
      </c>
      <c r="K62" s="3">
        <v>5.0000000000000001E-3</v>
      </c>
      <c r="L62" s="3">
        <v>1.4999999999999999E-2</v>
      </c>
      <c r="M62" s="3">
        <v>0.01</v>
      </c>
      <c r="N62" s="3">
        <v>0.753</v>
      </c>
      <c r="O62" s="3">
        <v>0.76400000000000001</v>
      </c>
      <c r="P62" s="3">
        <v>2.0409999999999999</v>
      </c>
      <c r="Q62" s="3">
        <v>0</v>
      </c>
      <c r="R62" s="3">
        <v>3.173</v>
      </c>
      <c r="S62" s="3">
        <v>3.26</v>
      </c>
      <c r="T62" s="3">
        <v>1E-3</v>
      </c>
      <c r="U62" s="3">
        <v>2E-3</v>
      </c>
      <c r="V62" s="3">
        <v>0.16</v>
      </c>
      <c r="W62" s="3">
        <v>2.706</v>
      </c>
      <c r="X62" s="3">
        <v>4.085</v>
      </c>
      <c r="Y62" s="3">
        <v>4.5979999999999999</v>
      </c>
      <c r="Z62" s="3">
        <v>1.6659999999999999</v>
      </c>
      <c r="AA62" s="3">
        <v>3.085</v>
      </c>
      <c r="AB62" s="3">
        <v>4.0620000000000003</v>
      </c>
      <c r="AC62" s="3">
        <v>3.8210000000000002</v>
      </c>
      <c r="AD62" s="3">
        <v>4.4379999999999997</v>
      </c>
      <c r="AE62" s="3">
        <v>1E-3</v>
      </c>
      <c r="AF62" s="3">
        <v>1.9730000000000001</v>
      </c>
      <c r="AG62" s="3">
        <v>2.181</v>
      </c>
      <c r="AH62" s="3">
        <v>5.18</v>
      </c>
      <c r="AI62" s="3">
        <v>5.4370000000000003</v>
      </c>
      <c r="AJ62" s="3">
        <v>6.1020000000000003</v>
      </c>
      <c r="AK62" s="3">
        <v>8.7929999999999993</v>
      </c>
      <c r="AL62" s="3">
        <v>1.6E-2</v>
      </c>
      <c r="AM62" s="3">
        <v>1.4999999999999999E-2</v>
      </c>
      <c r="AN62" s="3">
        <v>8.0139999999999993</v>
      </c>
      <c r="AO62" s="3">
        <v>0.125</v>
      </c>
      <c r="AP62" s="3">
        <v>8.5909999999999993</v>
      </c>
      <c r="AQ62" s="3">
        <v>1.6E-2</v>
      </c>
      <c r="AR62" s="3">
        <v>0</v>
      </c>
      <c r="AS62" s="3">
        <v>3.1E-2</v>
      </c>
      <c r="AT62" s="3">
        <v>0</v>
      </c>
      <c r="AU62" s="3">
        <v>3.1E-2</v>
      </c>
      <c r="AV62" s="3">
        <v>0.96899999999999997</v>
      </c>
      <c r="AW62" s="3">
        <v>0.156</v>
      </c>
      <c r="AX62" s="3">
        <v>0</v>
      </c>
      <c r="AY62" s="3">
        <v>7.827</v>
      </c>
      <c r="AZ62" s="3">
        <v>22.198</v>
      </c>
      <c r="BA62" s="3">
        <v>7.7949999999999999</v>
      </c>
      <c r="BB62" s="3">
        <v>25.541</v>
      </c>
      <c r="BC62" s="3">
        <v>29.196999999999999</v>
      </c>
      <c r="BD62" s="3">
        <v>0</v>
      </c>
      <c r="BE62" s="3">
        <v>0</v>
      </c>
      <c r="BF62" s="3">
        <v>3.78</v>
      </c>
      <c r="BG62" s="3">
        <v>2.14</v>
      </c>
      <c r="BH62" s="3">
        <v>45.008000000000003</v>
      </c>
      <c r="BI62" s="3">
        <v>74.998000000000005</v>
      </c>
      <c r="BJ62" s="3">
        <v>11.451000000000001</v>
      </c>
      <c r="BK62" s="3">
        <v>20.98</v>
      </c>
      <c r="BL62" s="3">
        <v>1.4999999999999999E-2</v>
      </c>
      <c r="BM62" s="3">
        <v>45.473999999999997</v>
      </c>
      <c r="BN62" s="3">
        <v>55.097000000000001</v>
      </c>
      <c r="BO62" s="3">
        <v>52.472000000000001</v>
      </c>
      <c r="BP62" s="3">
        <v>24.135000000000002</v>
      </c>
      <c r="BQ62" s="3">
        <v>7.5919999999999996</v>
      </c>
      <c r="BR62" s="3">
        <v>55.737000000000002</v>
      </c>
      <c r="BS62" s="3">
        <v>57.408999999999999</v>
      </c>
      <c r="BT62" s="3">
        <v>74.575999999999993</v>
      </c>
      <c r="BU62" s="3">
        <v>79.986999999999995</v>
      </c>
      <c r="BV62" s="3">
        <v>0.13400000000000001</v>
      </c>
      <c r="BW62" s="3">
        <v>0</v>
      </c>
      <c r="BX62" s="3">
        <v>0.68100000000000005</v>
      </c>
      <c r="BY62" s="3">
        <v>1.0329999999999999</v>
      </c>
      <c r="BZ62" s="3">
        <v>1.089</v>
      </c>
      <c r="CA62" s="3">
        <v>1.0349999999999999</v>
      </c>
      <c r="CB62" s="3">
        <v>2E-3</v>
      </c>
      <c r="CC62" s="3">
        <v>5.0000000000000001E-3</v>
      </c>
      <c r="CD62" s="3">
        <v>1E-3</v>
      </c>
      <c r="CE62" s="3">
        <v>2E-3</v>
      </c>
      <c r="CF62" s="3">
        <v>2.5999999999999999E-2</v>
      </c>
      <c r="CG62" s="3">
        <v>8.0000000000000002E-3</v>
      </c>
      <c r="CH62" s="3">
        <v>0.93799999999999994</v>
      </c>
      <c r="CI62" s="3">
        <v>0</v>
      </c>
      <c r="CJ62" s="3">
        <v>1.855</v>
      </c>
      <c r="CK62" s="3">
        <v>2.036</v>
      </c>
      <c r="CL62" s="3">
        <v>0</v>
      </c>
      <c r="CM62" s="3">
        <v>0</v>
      </c>
      <c r="CN62" s="3">
        <v>1E-3</v>
      </c>
      <c r="CO62" s="3">
        <v>8.0000000000000002E-3</v>
      </c>
      <c r="CP62" s="3">
        <v>1.1910000000000001</v>
      </c>
      <c r="CQ62" s="3">
        <v>8.0000000000000002E-3</v>
      </c>
      <c r="CR62" s="3">
        <v>5.3769999999999998</v>
      </c>
      <c r="CS62" s="3">
        <v>3.7970000000000002</v>
      </c>
      <c r="CT62" s="3">
        <v>0</v>
      </c>
      <c r="CU62" s="3">
        <v>0</v>
      </c>
      <c r="CV62" s="3">
        <v>0</v>
      </c>
      <c r="CW62" s="3">
        <v>2E-3</v>
      </c>
      <c r="CX62" s="3">
        <v>1E-3</v>
      </c>
      <c r="CY62" s="3">
        <v>0.221</v>
      </c>
      <c r="CZ62" s="3">
        <v>3.0000000000000001E-3</v>
      </c>
      <c r="DA62" s="3">
        <v>7.9000000000000001E-2</v>
      </c>
      <c r="DB62" s="3">
        <v>6.5010000000000003</v>
      </c>
      <c r="DC62" s="3">
        <v>7.3310000000000004</v>
      </c>
      <c r="DD62" s="3">
        <v>7.6289999999999996</v>
      </c>
      <c r="DE62" s="3">
        <v>8.1950000000000003</v>
      </c>
      <c r="DF62" s="3">
        <v>1.4999999999999999E-2</v>
      </c>
      <c r="DG62" s="3">
        <v>3.1709999999999998</v>
      </c>
      <c r="DH62" s="3">
        <v>0</v>
      </c>
      <c r="DI62" s="3">
        <v>9.0129999999999999</v>
      </c>
      <c r="DJ62" s="3">
        <v>0</v>
      </c>
      <c r="DK62" s="3">
        <v>9.5909999999999993</v>
      </c>
      <c r="DL62" s="3">
        <v>1.6E-2</v>
      </c>
      <c r="DM62" s="3">
        <v>1.6E-2</v>
      </c>
      <c r="DN62" s="3">
        <v>1.6E-2</v>
      </c>
      <c r="DO62" s="3">
        <v>0.156</v>
      </c>
      <c r="DP62" s="3">
        <v>0.25</v>
      </c>
      <c r="DQ62" s="3">
        <v>7.8E-2</v>
      </c>
      <c r="DR62" s="3">
        <v>0</v>
      </c>
      <c r="DS62" s="3">
        <v>0</v>
      </c>
      <c r="DT62" s="3">
        <v>22.713000000000001</v>
      </c>
      <c r="DU62" s="3">
        <v>15.808</v>
      </c>
      <c r="DV62" s="3">
        <v>0</v>
      </c>
      <c r="DW62" s="3">
        <v>0</v>
      </c>
      <c r="DX62" s="3">
        <v>0</v>
      </c>
      <c r="DY62" s="3">
        <v>1.4999999999999999E-2</v>
      </c>
      <c r="DZ62" s="3">
        <v>34.585999999999999</v>
      </c>
      <c r="EA62" s="3">
        <v>52.3</v>
      </c>
      <c r="EB62" s="3">
        <v>66.188000000000002</v>
      </c>
      <c r="EC62" s="3">
        <v>63.703000000000003</v>
      </c>
      <c r="ED62" s="3">
        <v>13.622999999999999</v>
      </c>
      <c r="EE62" s="3">
        <v>3.1E-2</v>
      </c>
      <c r="EF62" s="3">
        <v>44.74</v>
      </c>
      <c r="EG62" s="3">
        <v>33.726999999999997</v>
      </c>
      <c r="EH62" s="3">
        <v>52.534999999999997</v>
      </c>
      <c r="EI62" s="3">
        <v>53.393999999999998</v>
      </c>
      <c r="EJ62" s="3">
        <v>21.541</v>
      </c>
      <c r="EK62" s="3">
        <v>27.416</v>
      </c>
      <c r="EL62" s="3">
        <v>50.331000000000003</v>
      </c>
      <c r="EM62" s="3">
        <v>57.673999999999999</v>
      </c>
      <c r="EN62" s="3">
        <v>78.013000000000005</v>
      </c>
      <c r="EO62" s="3">
        <v>77.855999999999995</v>
      </c>
      <c r="EP62" s="3">
        <v>0.23699999999999999</v>
      </c>
      <c r="EQ62" s="3">
        <v>2E-3</v>
      </c>
      <c r="ER62" s="3">
        <v>0.68200000000000005</v>
      </c>
      <c r="ES62" s="3">
        <v>1.2E-2</v>
      </c>
      <c r="ET62" s="3">
        <v>1.0980000000000001</v>
      </c>
      <c r="EU62" s="3">
        <v>1.198</v>
      </c>
      <c r="EV62" s="3">
        <v>1E-3</v>
      </c>
      <c r="EW62" s="3">
        <v>1E-3</v>
      </c>
      <c r="EX62" s="3">
        <v>1E-3</v>
      </c>
      <c r="EY62" s="3">
        <v>2E-3</v>
      </c>
      <c r="EZ62" s="3">
        <v>8.0000000000000002E-3</v>
      </c>
      <c r="FA62" s="3">
        <v>1.6E-2</v>
      </c>
      <c r="FB62" s="3">
        <v>0.49</v>
      </c>
      <c r="FC62" s="3">
        <v>1.093</v>
      </c>
      <c r="FD62" s="3">
        <v>1.9950000000000001</v>
      </c>
      <c r="FE62" s="3">
        <v>0</v>
      </c>
      <c r="FF62" s="3">
        <v>3.1320000000000001</v>
      </c>
      <c r="FG62" s="3">
        <v>4.6390000000000002</v>
      </c>
      <c r="FH62" s="3">
        <v>1.2999999999999999E-2</v>
      </c>
      <c r="FI62" s="3">
        <v>1.2999999999999999E-2</v>
      </c>
      <c r="FJ62" s="3">
        <v>5.0999999999999997E-2</v>
      </c>
      <c r="FK62" s="3">
        <v>2.1999999999999999E-2</v>
      </c>
      <c r="FL62" s="3">
        <v>5.4610000000000003</v>
      </c>
      <c r="FM62" s="3">
        <v>3.9129999999999998</v>
      </c>
      <c r="FN62" s="3">
        <v>0</v>
      </c>
      <c r="FO62" s="3">
        <v>1.6379999999999999</v>
      </c>
      <c r="FP62" s="3">
        <v>1E-3</v>
      </c>
      <c r="FQ62" s="3">
        <v>4.4870000000000001</v>
      </c>
      <c r="FR62" s="3">
        <v>6.6429999999999998</v>
      </c>
      <c r="FS62" s="3">
        <v>0.29699999999999999</v>
      </c>
      <c r="FT62" s="3">
        <v>1.7330000000000001</v>
      </c>
      <c r="FU62" s="3">
        <v>2.1659999999999999</v>
      </c>
      <c r="FV62" s="3">
        <v>5.3540000000000001</v>
      </c>
      <c r="FW62" s="3">
        <v>4.4610000000000003</v>
      </c>
      <c r="FX62" s="3">
        <v>8.593</v>
      </c>
      <c r="FY62" s="3">
        <v>8.16</v>
      </c>
      <c r="FZ62" s="3">
        <v>2.1549999999999998</v>
      </c>
      <c r="GA62" s="3">
        <v>0</v>
      </c>
      <c r="GB62" s="3">
        <v>7.4669999999999996</v>
      </c>
      <c r="GC62" s="3">
        <v>8.7789999999999999</v>
      </c>
      <c r="GD62" s="3">
        <v>0</v>
      </c>
      <c r="GE62" s="3">
        <v>0.54700000000000004</v>
      </c>
      <c r="GF62" s="3">
        <v>1.6E-2</v>
      </c>
      <c r="GG62" s="3">
        <v>1.4999999999999999E-2</v>
      </c>
      <c r="GH62" s="3">
        <v>0</v>
      </c>
      <c r="GI62" s="3">
        <v>1.6E-2</v>
      </c>
      <c r="GJ62" s="3">
        <v>0.438</v>
      </c>
      <c r="GK62" s="3">
        <v>1.0940000000000001</v>
      </c>
      <c r="GL62" s="3">
        <v>6.9359999999999999</v>
      </c>
      <c r="GM62" s="3">
        <v>8.4979999999999993</v>
      </c>
      <c r="GN62" s="3">
        <v>27.306000000000001</v>
      </c>
      <c r="GO62" s="3">
        <v>22.338000000000001</v>
      </c>
      <c r="GP62" s="3">
        <v>0</v>
      </c>
      <c r="GQ62" s="3">
        <v>0</v>
      </c>
      <c r="GR62" s="3">
        <v>0</v>
      </c>
      <c r="GS62" s="3">
        <v>0.71899999999999997</v>
      </c>
      <c r="GT62" s="3">
        <v>46.942999999999998</v>
      </c>
      <c r="GU62" s="3">
        <v>3.218</v>
      </c>
      <c r="GV62" s="3">
        <v>48.628999999999998</v>
      </c>
      <c r="GW62" s="3">
        <v>65.343999999999994</v>
      </c>
      <c r="GX62" s="3">
        <v>11.997</v>
      </c>
      <c r="GY62" s="3">
        <v>0</v>
      </c>
      <c r="GZ62" s="3">
        <v>0</v>
      </c>
      <c r="HA62" s="3">
        <v>35.256999999999998</v>
      </c>
      <c r="HB62" s="3">
        <v>51.55</v>
      </c>
      <c r="HC62" s="3">
        <v>0</v>
      </c>
      <c r="HD62" s="3">
        <v>21.978999999999999</v>
      </c>
      <c r="HE62" s="3">
        <v>26.353000000000002</v>
      </c>
      <c r="HF62" s="3">
        <v>50.331000000000003</v>
      </c>
      <c r="HG62" s="3">
        <v>50.988</v>
      </c>
      <c r="HH62" s="3">
        <v>78.31</v>
      </c>
      <c r="HI62" s="3">
        <v>80.448999999999998</v>
      </c>
      <c r="HJ62" s="3">
        <v>1.7999999999999999E-2</v>
      </c>
      <c r="HK62" s="3">
        <v>0.10199999999999999</v>
      </c>
      <c r="HL62" s="3">
        <v>0.83499999999999996</v>
      </c>
      <c r="HM62" s="3">
        <v>1.004</v>
      </c>
      <c r="HN62" s="3">
        <v>1.0349999999999999</v>
      </c>
      <c r="HO62" s="3">
        <v>1.2E-2</v>
      </c>
      <c r="HP62" s="3">
        <v>1E-3</v>
      </c>
      <c r="HQ62" s="3">
        <v>2E-3</v>
      </c>
      <c r="HR62" s="3">
        <v>1E-3</v>
      </c>
      <c r="HS62" s="3">
        <v>1.2E-2</v>
      </c>
      <c r="HT62" s="3">
        <v>1.9E-2</v>
      </c>
      <c r="HU62" s="3">
        <v>4.0000000000000001E-3</v>
      </c>
      <c r="HV62" s="3">
        <v>0</v>
      </c>
      <c r="HW62" s="3">
        <v>1.002</v>
      </c>
      <c r="HX62" s="3">
        <v>1.9279999999999999</v>
      </c>
      <c r="HY62" s="3">
        <v>0</v>
      </c>
      <c r="HZ62" s="3">
        <v>2.7469999999999999</v>
      </c>
      <c r="IA62" s="3">
        <v>1E-3</v>
      </c>
      <c r="IB62" s="3">
        <v>7.0000000000000001E-3</v>
      </c>
      <c r="IC62" s="3">
        <v>1E-3</v>
      </c>
      <c r="ID62" s="3">
        <v>0.14199999999999999</v>
      </c>
      <c r="IE62" s="3">
        <v>3.1970000000000001</v>
      </c>
      <c r="IF62" s="3">
        <v>4.4909999999999997</v>
      </c>
      <c r="IG62" s="3">
        <v>5.4660000000000002</v>
      </c>
      <c r="IH62" s="3">
        <v>2E-3</v>
      </c>
      <c r="II62" s="3">
        <v>3.5640000000000001</v>
      </c>
      <c r="IJ62" s="3">
        <v>4.7359999999999998</v>
      </c>
      <c r="IK62" s="3">
        <v>4.49</v>
      </c>
      <c r="IL62" s="3">
        <v>1E-3</v>
      </c>
      <c r="IM62" s="3">
        <v>1E-3</v>
      </c>
      <c r="IN62" s="3">
        <v>4.9000000000000002E-2</v>
      </c>
      <c r="IO62" s="3">
        <v>3.9E-2</v>
      </c>
      <c r="IP62" s="3">
        <v>5.9770000000000003</v>
      </c>
      <c r="IQ62" s="3">
        <v>5.4059999999999997</v>
      </c>
      <c r="IR62" s="3">
        <v>7.0830000000000002</v>
      </c>
      <c r="IS62" s="3">
        <v>8.1189999999999998</v>
      </c>
      <c r="IT62" s="3">
        <v>1.4999999999999999E-2</v>
      </c>
      <c r="IU62" s="3">
        <v>2.327</v>
      </c>
      <c r="IV62" s="3">
        <v>7.0140000000000002</v>
      </c>
      <c r="IW62" s="3">
        <v>1.7809999999999999</v>
      </c>
      <c r="IX62" s="3">
        <v>7.53</v>
      </c>
      <c r="IY62" s="3">
        <v>0</v>
      </c>
      <c r="IZ62" s="3">
        <v>0</v>
      </c>
      <c r="JA62" s="3">
        <v>0</v>
      </c>
      <c r="JB62" s="3">
        <v>0</v>
      </c>
      <c r="JC62" s="3">
        <v>1.4999999999999999E-2</v>
      </c>
      <c r="JD62" s="3">
        <v>1.718</v>
      </c>
      <c r="JE62" s="3">
        <v>0.17199999999999999</v>
      </c>
      <c r="JF62" s="3">
        <v>8.4049999999999994</v>
      </c>
      <c r="JG62" s="3">
        <v>0</v>
      </c>
      <c r="JH62" s="3">
        <v>0</v>
      </c>
      <c r="JI62" s="3">
        <v>0</v>
      </c>
      <c r="JJ62" s="3">
        <v>0</v>
      </c>
      <c r="JK62" s="3">
        <v>27.134</v>
      </c>
      <c r="JL62" s="3">
        <v>1.4999999999999999E-2</v>
      </c>
      <c r="JM62" s="3">
        <v>1.6E-2</v>
      </c>
      <c r="JN62" s="3">
        <v>12.544</v>
      </c>
      <c r="JO62" s="3">
        <v>41.975000000000001</v>
      </c>
      <c r="JP62" s="3">
        <v>48.753999999999998</v>
      </c>
      <c r="JQ62" s="3">
        <v>44.661999999999999</v>
      </c>
      <c r="JR62" s="3">
        <v>0</v>
      </c>
      <c r="JS62" s="3">
        <v>19.463999999999999</v>
      </c>
      <c r="JT62" s="3">
        <v>31.024000000000001</v>
      </c>
      <c r="JU62" s="3">
        <v>0</v>
      </c>
      <c r="JV62" s="3">
        <v>51.426000000000002</v>
      </c>
      <c r="JW62" s="3">
        <v>14.997</v>
      </c>
      <c r="JX62" s="3">
        <v>30.446000000000002</v>
      </c>
      <c r="JY62" s="3">
        <v>24.056999999999999</v>
      </c>
      <c r="JZ62" s="3">
        <v>49.722000000000001</v>
      </c>
      <c r="KA62" s="3">
        <v>55.19</v>
      </c>
      <c r="KB62" s="3">
        <v>84.561000000000007</v>
      </c>
      <c r="KC62" s="3">
        <v>75.903999999999996</v>
      </c>
      <c r="KD62" s="3">
        <v>1E-3</v>
      </c>
      <c r="KE62" s="3">
        <v>0.497</v>
      </c>
      <c r="KF62" s="3">
        <v>8.4000000000000005E-2</v>
      </c>
      <c r="KG62" s="3">
        <v>0.82199999999999995</v>
      </c>
      <c r="KH62" s="3">
        <v>1.2290000000000001</v>
      </c>
      <c r="KI62" s="3">
        <v>1.9770000000000001</v>
      </c>
      <c r="KJ62" s="3">
        <v>0.01</v>
      </c>
      <c r="KK62" s="3">
        <v>2E-3</v>
      </c>
      <c r="KL62" s="3">
        <v>2E-3</v>
      </c>
      <c r="KM62" s="3">
        <v>2E-3</v>
      </c>
      <c r="KN62" s="3">
        <v>1.9E-2</v>
      </c>
      <c r="KO62" s="3">
        <v>5.0000000000000001E-3</v>
      </c>
      <c r="KP62" s="3">
        <v>0</v>
      </c>
      <c r="KQ62" s="3">
        <v>1.19</v>
      </c>
      <c r="KR62" s="3">
        <v>1.5089999999999999</v>
      </c>
      <c r="KS62" s="3">
        <v>2.6459999999999999</v>
      </c>
      <c r="KT62" s="3">
        <v>0</v>
      </c>
      <c r="KU62" s="3">
        <v>0</v>
      </c>
      <c r="KV62" s="3">
        <v>2E-3</v>
      </c>
      <c r="KW62" s="3">
        <v>2E-3</v>
      </c>
      <c r="KX62" s="3">
        <v>0.23200000000000001</v>
      </c>
      <c r="KY62" s="3">
        <v>5.2999999999999999E-2</v>
      </c>
      <c r="KZ62" s="3">
        <v>4.9370000000000003</v>
      </c>
      <c r="LA62" s="3">
        <v>5.6470000000000002</v>
      </c>
      <c r="LB62" s="3">
        <v>1.8480000000000001</v>
      </c>
      <c r="LC62" s="3">
        <v>0</v>
      </c>
      <c r="LD62" s="3">
        <v>3.62</v>
      </c>
      <c r="LE62" s="3">
        <v>4.0430000000000001</v>
      </c>
      <c r="LF62" s="3">
        <v>0</v>
      </c>
      <c r="LG62" s="3">
        <v>0</v>
      </c>
      <c r="LH62" s="3">
        <v>2E-3</v>
      </c>
      <c r="LI62" s="3">
        <v>1.9910000000000001</v>
      </c>
      <c r="LJ62" s="3">
        <v>5.15</v>
      </c>
      <c r="LK62" s="3">
        <v>6.2919999999999998</v>
      </c>
      <c r="LL62" s="3">
        <v>8.0150000000000006</v>
      </c>
      <c r="LM62" s="3">
        <v>8.6050000000000004</v>
      </c>
      <c r="LN62" s="3">
        <v>3.1E-2</v>
      </c>
      <c r="LO62" s="3">
        <v>0</v>
      </c>
      <c r="LP62" s="3">
        <v>7.077</v>
      </c>
      <c r="LQ62" s="3">
        <v>6.6710000000000003</v>
      </c>
      <c r="LR62" s="3">
        <v>8.6069999999999993</v>
      </c>
      <c r="LS62" s="3">
        <v>9.7949999999999999</v>
      </c>
      <c r="LT62" s="3">
        <v>0</v>
      </c>
      <c r="LU62" s="3">
        <v>0</v>
      </c>
      <c r="LV62" s="3">
        <v>0</v>
      </c>
      <c r="LW62" s="3">
        <v>1.4999999999999999E-2</v>
      </c>
      <c r="LX62" s="3">
        <v>2.1869999999999998</v>
      </c>
      <c r="LY62" s="3">
        <v>4.7E-2</v>
      </c>
      <c r="LZ62" s="3">
        <v>8.8879999999999999</v>
      </c>
      <c r="MA62" s="3">
        <v>0</v>
      </c>
      <c r="MB62" s="3">
        <v>18.199000000000002</v>
      </c>
      <c r="MC62" s="3">
        <v>0</v>
      </c>
      <c r="MD62" s="3">
        <v>29.244</v>
      </c>
      <c r="ME62" s="3">
        <v>0</v>
      </c>
      <c r="MF62" s="3">
        <v>1.4999999999999999E-2</v>
      </c>
      <c r="MG62" s="3">
        <v>1.6E-2</v>
      </c>
      <c r="MH62" s="3">
        <v>33.835999999999999</v>
      </c>
      <c r="MI62" s="3">
        <v>0.48399999999999999</v>
      </c>
      <c r="MJ62" s="3">
        <v>57.908999999999999</v>
      </c>
      <c r="MK62" s="3">
        <v>62.542999999999999</v>
      </c>
      <c r="ML62" s="3">
        <v>16.495999999999999</v>
      </c>
      <c r="MM62" s="3">
        <v>0</v>
      </c>
      <c r="MN62" s="3">
        <v>32.899000000000001</v>
      </c>
      <c r="MO62" s="3">
        <v>37.975000000000001</v>
      </c>
      <c r="MP62" s="3">
        <v>0</v>
      </c>
      <c r="MQ62" s="3">
        <v>0</v>
      </c>
      <c r="MR62" s="3">
        <v>18.308</v>
      </c>
      <c r="MS62" s="3">
        <v>2.875</v>
      </c>
      <c r="MT62" s="3">
        <v>56.12</v>
      </c>
      <c r="MU62" s="3">
        <v>48.722999999999999</v>
      </c>
      <c r="MV62" s="3">
        <v>82.778000000000006</v>
      </c>
      <c r="MW62" s="3">
        <v>76.872</v>
      </c>
    </row>
    <row r="63" spans="1:361" x14ac:dyDescent="0.3">
      <c r="A63" s="3">
        <v>21</v>
      </c>
      <c r="B63" s="3">
        <v>0.42899999999999999</v>
      </c>
      <c r="C63" s="3">
        <v>0</v>
      </c>
      <c r="D63" s="3">
        <v>0.69599999999999995</v>
      </c>
      <c r="E63" s="3">
        <v>1.0349999999999999</v>
      </c>
      <c r="F63" s="3">
        <v>0</v>
      </c>
      <c r="G63" s="3">
        <v>1.7709999999999999</v>
      </c>
      <c r="H63" s="3">
        <v>1E-3</v>
      </c>
      <c r="I63" s="3">
        <v>1E-3</v>
      </c>
      <c r="J63" s="3">
        <v>2E-3</v>
      </c>
      <c r="K63" s="3">
        <v>3.0000000000000001E-3</v>
      </c>
      <c r="L63" s="3">
        <v>2.3E-2</v>
      </c>
      <c r="M63" s="3">
        <v>7.0000000000000001E-3</v>
      </c>
      <c r="N63" s="3">
        <v>0.70699999999999996</v>
      </c>
      <c r="O63" s="3">
        <v>0.82399999999999995</v>
      </c>
      <c r="P63" s="3">
        <v>2.036</v>
      </c>
      <c r="Q63" s="3">
        <v>0</v>
      </c>
      <c r="R63" s="3">
        <v>3.2839999999999998</v>
      </c>
      <c r="S63" s="3">
        <v>3.1589999999999998</v>
      </c>
      <c r="T63" s="3">
        <v>1E-3</v>
      </c>
      <c r="U63" s="3">
        <v>3.0000000000000001E-3</v>
      </c>
      <c r="V63" s="3">
        <v>0.312</v>
      </c>
      <c r="W63" s="3">
        <v>2.7069999999999999</v>
      </c>
      <c r="X63" s="3">
        <v>4.1440000000000001</v>
      </c>
      <c r="Y63" s="3">
        <v>4.3659999999999997</v>
      </c>
      <c r="Z63" s="3">
        <v>1.6950000000000001</v>
      </c>
      <c r="AA63" s="3">
        <v>2.734</v>
      </c>
      <c r="AB63" s="3">
        <v>4.1280000000000001</v>
      </c>
      <c r="AC63" s="3">
        <v>4.1360000000000001</v>
      </c>
      <c r="AD63" s="3">
        <v>4.7809999999999997</v>
      </c>
      <c r="AE63" s="3">
        <v>1E-3</v>
      </c>
      <c r="AF63" s="3">
        <v>1.877</v>
      </c>
      <c r="AG63" s="3">
        <v>2.2160000000000002</v>
      </c>
      <c r="AH63" s="3">
        <v>5.742</v>
      </c>
      <c r="AI63" s="3">
        <v>5.4850000000000003</v>
      </c>
      <c r="AJ63" s="3">
        <v>5.7629999999999999</v>
      </c>
      <c r="AK63" s="3">
        <v>9.5359999999999996</v>
      </c>
      <c r="AL63" s="3">
        <v>0</v>
      </c>
      <c r="AM63" s="3">
        <v>0</v>
      </c>
      <c r="AN63" s="3">
        <v>7.2640000000000002</v>
      </c>
      <c r="AO63" s="3">
        <v>0</v>
      </c>
      <c r="AP63" s="3">
        <v>8.42</v>
      </c>
      <c r="AQ63" s="3">
        <v>0</v>
      </c>
      <c r="AR63" s="3">
        <v>0</v>
      </c>
      <c r="AS63" s="3">
        <v>1.6E-2</v>
      </c>
      <c r="AT63" s="3">
        <v>1.6E-2</v>
      </c>
      <c r="AU63" s="3">
        <v>7.8E-2</v>
      </c>
      <c r="AV63" s="3">
        <v>6.3419999999999996</v>
      </c>
      <c r="AW63" s="3">
        <v>0.17199999999999999</v>
      </c>
      <c r="AX63" s="3">
        <v>0</v>
      </c>
      <c r="AY63" s="3">
        <v>8.0920000000000005</v>
      </c>
      <c r="AZ63" s="3">
        <v>21.478999999999999</v>
      </c>
      <c r="BA63" s="3">
        <v>8.8879999999999999</v>
      </c>
      <c r="BB63" s="3">
        <v>23.838999999999999</v>
      </c>
      <c r="BC63" s="3">
        <v>30.977</v>
      </c>
      <c r="BD63" s="3">
        <v>0</v>
      </c>
      <c r="BE63" s="3">
        <v>0</v>
      </c>
      <c r="BF63" s="3">
        <v>23.696999999999999</v>
      </c>
      <c r="BG63" s="3">
        <v>29.228000000000002</v>
      </c>
      <c r="BH63" s="3">
        <v>45.753999999999998</v>
      </c>
      <c r="BI63" s="3">
        <v>71.260000000000005</v>
      </c>
      <c r="BJ63" s="3">
        <v>11.388</v>
      </c>
      <c r="BK63" s="3">
        <v>21.323</v>
      </c>
      <c r="BL63" s="3">
        <v>0</v>
      </c>
      <c r="BM63" s="3">
        <v>43.835000000000001</v>
      </c>
      <c r="BN63" s="3">
        <v>53.970999999999997</v>
      </c>
      <c r="BO63" s="3">
        <v>52.488</v>
      </c>
      <c r="BP63" s="3">
        <v>29.414999999999999</v>
      </c>
      <c r="BQ63" s="3">
        <v>11.747</v>
      </c>
      <c r="BR63" s="3">
        <v>52.628999999999998</v>
      </c>
      <c r="BS63" s="3">
        <v>51.488</v>
      </c>
      <c r="BT63" s="3">
        <v>74.545000000000002</v>
      </c>
      <c r="BU63" s="3">
        <v>73.066000000000003</v>
      </c>
      <c r="BV63" s="3">
        <v>0.123</v>
      </c>
      <c r="BW63" s="3">
        <v>0</v>
      </c>
      <c r="BX63" s="3">
        <v>0.72099999999999997</v>
      </c>
      <c r="BY63" s="3">
        <v>1.0049999999999999</v>
      </c>
      <c r="BZ63" s="3">
        <v>1.1599999999999999</v>
      </c>
      <c r="CA63" s="3">
        <v>1.109</v>
      </c>
      <c r="CB63" s="3">
        <v>2E-3</v>
      </c>
      <c r="CC63" s="3">
        <v>3.0000000000000001E-3</v>
      </c>
      <c r="CD63" s="3">
        <v>1E-3</v>
      </c>
      <c r="CE63" s="3">
        <v>1E-3</v>
      </c>
      <c r="CF63" s="3">
        <v>0.01</v>
      </c>
      <c r="CG63" s="3">
        <v>1.0999999999999999E-2</v>
      </c>
      <c r="CH63" s="3">
        <v>0.878</v>
      </c>
      <c r="CI63" s="3">
        <v>0</v>
      </c>
      <c r="CJ63" s="3">
        <v>1.839</v>
      </c>
      <c r="CK63" s="3">
        <v>1.91</v>
      </c>
      <c r="CL63" s="3">
        <v>0</v>
      </c>
      <c r="CM63" s="3">
        <v>0</v>
      </c>
      <c r="CN63" s="3">
        <v>1E-3</v>
      </c>
      <c r="CO63" s="3">
        <v>3.1E-2</v>
      </c>
      <c r="CP63" s="3">
        <v>3.613</v>
      </c>
      <c r="CQ63" s="3">
        <v>3.1E-2</v>
      </c>
      <c r="CR63" s="3">
        <v>5.0869999999999997</v>
      </c>
      <c r="CS63" s="3">
        <v>3.9630000000000001</v>
      </c>
      <c r="CT63" s="3">
        <v>0</v>
      </c>
      <c r="CU63" s="3">
        <v>0</v>
      </c>
      <c r="CV63" s="3">
        <v>1E-3</v>
      </c>
      <c r="CW63" s="3">
        <v>4.5999999999999999E-2</v>
      </c>
      <c r="CX63" s="3">
        <v>1E-3</v>
      </c>
      <c r="CY63" s="3">
        <v>0.125</v>
      </c>
      <c r="CZ63" s="3">
        <v>3.0000000000000001E-3</v>
      </c>
      <c r="DA63" s="3">
        <v>0.03</v>
      </c>
      <c r="DB63" s="3">
        <v>6.1319999999999997</v>
      </c>
      <c r="DC63" s="3">
        <v>7.6150000000000002</v>
      </c>
      <c r="DD63" s="3">
        <v>8.1609999999999996</v>
      </c>
      <c r="DE63" s="3">
        <v>8.7469999999999999</v>
      </c>
      <c r="DF63" s="3">
        <v>1.6E-2</v>
      </c>
      <c r="DG63" s="3">
        <v>3.109</v>
      </c>
      <c r="DH63" s="3">
        <v>0</v>
      </c>
      <c r="DI63" s="3">
        <v>6.6390000000000002</v>
      </c>
      <c r="DJ63" s="3">
        <v>0</v>
      </c>
      <c r="DK63" s="3">
        <v>10.372999999999999</v>
      </c>
      <c r="DL63" s="3">
        <v>0</v>
      </c>
      <c r="DM63" s="3">
        <v>0</v>
      </c>
      <c r="DN63" s="3">
        <v>4.7E-2</v>
      </c>
      <c r="DO63" s="3">
        <v>1.6E-2</v>
      </c>
      <c r="DP63" s="3">
        <v>1.0309999999999999</v>
      </c>
      <c r="DQ63" s="3">
        <v>4.7E-2</v>
      </c>
      <c r="DR63" s="3">
        <v>0</v>
      </c>
      <c r="DS63" s="3">
        <v>1.6E-2</v>
      </c>
      <c r="DT63" s="3">
        <v>20.87</v>
      </c>
      <c r="DU63" s="3">
        <v>16.122</v>
      </c>
      <c r="DV63" s="3">
        <v>0</v>
      </c>
      <c r="DW63" s="3">
        <v>0</v>
      </c>
      <c r="DX63" s="3">
        <v>1.4999999999999999E-2</v>
      </c>
      <c r="DY63" s="3">
        <v>4.7E-2</v>
      </c>
      <c r="DZ63" s="3">
        <v>37.427999999999997</v>
      </c>
      <c r="EA63" s="3">
        <v>55.612000000000002</v>
      </c>
      <c r="EB63" s="3">
        <v>62.781999999999996</v>
      </c>
      <c r="EC63" s="3">
        <v>66.364999999999995</v>
      </c>
      <c r="ED63" s="3">
        <v>13.981</v>
      </c>
      <c r="EE63" s="3">
        <v>3.2000000000000001E-2</v>
      </c>
      <c r="EF63" s="3">
        <v>43.584000000000003</v>
      </c>
      <c r="EG63" s="3">
        <v>33.616999999999997</v>
      </c>
      <c r="EH63" s="3">
        <v>52.564999999999998</v>
      </c>
      <c r="EI63" s="3">
        <v>53.363</v>
      </c>
      <c r="EJ63" s="3">
        <v>20.949000000000002</v>
      </c>
      <c r="EK63" s="3">
        <v>29.071999999999999</v>
      </c>
      <c r="EL63" s="3">
        <v>50.225999999999999</v>
      </c>
      <c r="EM63" s="3">
        <v>60.704000000000001</v>
      </c>
      <c r="EN63" s="3">
        <v>81.215000000000003</v>
      </c>
      <c r="EO63" s="3">
        <v>83.587999999999994</v>
      </c>
      <c r="EP63" s="3">
        <v>0.216</v>
      </c>
      <c r="EQ63" s="3">
        <v>1.9E-2</v>
      </c>
      <c r="ER63" s="3">
        <v>0.63700000000000001</v>
      </c>
      <c r="ES63" s="3">
        <v>8.0000000000000002E-3</v>
      </c>
      <c r="ET63" s="3">
        <v>1.0609999999999999</v>
      </c>
      <c r="EU63" s="3">
        <v>1.2749999999999999</v>
      </c>
      <c r="EV63" s="3">
        <v>1E-3</v>
      </c>
      <c r="EW63" s="3">
        <v>1E-3</v>
      </c>
      <c r="EX63" s="3">
        <v>1E-3</v>
      </c>
      <c r="EY63" s="3">
        <v>2E-3</v>
      </c>
      <c r="EZ63" s="3">
        <v>0.09</v>
      </c>
      <c r="FA63" s="3">
        <v>8.0000000000000002E-3</v>
      </c>
      <c r="FB63" s="3">
        <v>0.12</v>
      </c>
      <c r="FC63" s="3">
        <v>1.105</v>
      </c>
      <c r="FD63" s="3">
        <v>1.94</v>
      </c>
      <c r="FE63" s="3">
        <v>0</v>
      </c>
      <c r="FF63" s="3">
        <v>3.1309999999999998</v>
      </c>
      <c r="FG63" s="3">
        <v>4.0519999999999996</v>
      </c>
      <c r="FH63" s="3">
        <v>1E-3</v>
      </c>
      <c r="FI63" s="3">
        <v>1.7999999999999999E-2</v>
      </c>
      <c r="FJ63" s="3">
        <v>8.4000000000000005E-2</v>
      </c>
      <c r="FK63" s="3">
        <v>3.9E-2</v>
      </c>
      <c r="FL63" s="3">
        <v>5.5730000000000004</v>
      </c>
      <c r="FM63" s="3">
        <v>4.0659999999999998</v>
      </c>
      <c r="FN63" s="3">
        <v>0</v>
      </c>
      <c r="FO63" s="3">
        <v>1.681</v>
      </c>
      <c r="FP63" s="3">
        <v>0</v>
      </c>
      <c r="FQ63" s="3">
        <v>4.4539999999999997</v>
      </c>
      <c r="FR63" s="3">
        <v>6.3920000000000003</v>
      </c>
      <c r="FS63" s="3">
        <v>0.36899999999999999</v>
      </c>
      <c r="FT63" s="3">
        <v>1.6619999999999999</v>
      </c>
      <c r="FU63" s="3">
        <v>2.073</v>
      </c>
      <c r="FV63" s="3">
        <v>5.1550000000000002</v>
      </c>
      <c r="FW63" s="3">
        <v>4.399</v>
      </c>
      <c r="FX63" s="3">
        <v>7.7569999999999997</v>
      </c>
      <c r="FY63" s="3">
        <v>8.4740000000000002</v>
      </c>
      <c r="FZ63" s="3">
        <v>2.125</v>
      </c>
      <c r="GA63" s="3">
        <v>0.17199999999999999</v>
      </c>
      <c r="GB63" s="3">
        <v>7.5289999999999999</v>
      </c>
      <c r="GC63" s="3">
        <v>9.2949999999999999</v>
      </c>
      <c r="GD63" s="3">
        <v>0</v>
      </c>
      <c r="GE63" s="3">
        <v>0.48399999999999999</v>
      </c>
      <c r="GF63" s="3">
        <v>0</v>
      </c>
      <c r="GG63" s="3">
        <v>1.6E-2</v>
      </c>
      <c r="GH63" s="3">
        <v>1.6E-2</v>
      </c>
      <c r="GI63" s="3">
        <v>3.1E-2</v>
      </c>
      <c r="GJ63" s="3">
        <v>0.109</v>
      </c>
      <c r="GK63" s="3">
        <v>1.4530000000000001</v>
      </c>
      <c r="GL63" s="3">
        <v>6.8739999999999997</v>
      </c>
      <c r="GM63" s="3">
        <v>7.92</v>
      </c>
      <c r="GN63" s="3">
        <v>26.524999999999999</v>
      </c>
      <c r="GO63" s="3">
        <v>22.853999999999999</v>
      </c>
      <c r="GP63" s="3">
        <v>0</v>
      </c>
      <c r="GQ63" s="3">
        <v>0</v>
      </c>
      <c r="GR63" s="3">
        <v>0</v>
      </c>
      <c r="GS63" s="3">
        <v>0.20300000000000001</v>
      </c>
      <c r="GT63" s="3">
        <v>40.631</v>
      </c>
      <c r="GU63" s="3">
        <v>4.5449999999999999</v>
      </c>
      <c r="GV63" s="3">
        <v>55.783999999999999</v>
      </c>
      <c r="GW63" s="3">
        <v>56.881</v>
      </c>
      <c r="GX63" s="3">
        <v>13.481999999999999</v>
      </c>
      <c r="GY63" s="3">
        <v>0</v>
      </c>
      <c r="GZ63" s="3">
        <v>0</v>
      </c>
      <c r="HA63" s="3">
        <v>35.179000000000002</v>
      </c>
      <c r="HB63" s="3">
        <v>51.581000000000003</v>
      </c>
      <c r="HC63" s="3">
        <v>1.6E-2</v>
      </c>
      <c r="HD63" s="3">
        <v>21.026</v>
      </c>
      <c r="HE63" s="3">
        <v>25.494</v>
      </c>
      <c r="HF63" s="3">
        <v>50.225999999999999</v>
      </c>
      <c r="HG63" s="3">
        <v>60.362000000000002</v>
      </c>
      <c r="HH63" s="3">
        <v>71.138999999999996</v>
      </c>
      <c r="HI63" s="3">
        <v>78.185000000000002</v>
      </c>
      <c r="HJ63" s="3">
        <v>1.9E-2</v>
      </c>
      <c r="HK63" s="3">
        <v>0.13400000000000001</v>
      </c>
      <c r="HL63" s="3">
        <v>0.81499999999999995</v>
      </c>
      <c r="HM63" s="3">
        <v>0.48899999999999999</v>
      </c>
      <c r="HN63" s="3">
        <v>1.016</v>
      </c>
      <c r="HO63" s="3">
        <v>2E-3</v>
      </c>
      <c r="HP63" s="3">
        <v>1E-3</v>
      </c>
      <c r="HQ63" s="3">
        <v>2E-3</v>
      </c>
      <c r="HR63" s="3">
        <v>8.9999999999999993E-3</v>
      </c>
      <c r="HS63" s="3">
        <v>7.0000000000000001E-3</v>
      </c>
      <c r="HT63" s="3">
        <v>6.0000000000000001E-3</v>
      </c>
      <c r="HU63" s="3">
        <v>4.0000000000000001E-3</v>
      </c>
      <c r="HV63" s="3">
        <v>0</v>
      </c>
      <c r="HW63" s="3">
        <v>1.0349999999999999</v>
      </c>
      <c r="HX63" s="3">
        <v>1.758</v>
      </c>
      <c r="HY63" s="3">
        <v>0</v>
      </c>
      <c r="HZ63" s="3">
        <v>2.702</v>
      </c>
      <c r="IA63" s="3">
        <v>1E-3</v>
      </c>
      <c r="IB63" s="3">
        <v>2E-3</v>
      </c>
      <c r="IC63" s="3">
        <v>1E-3</v>
      </c>
      <c r="ID63" s="3">
        <v>5.6000000000000001E-2</v>
      </c>
      <c r="IE63" s="3">
        <v>2.9289999999999998</v>
      </c>
      <c r="IF63" s="3">
        <v>4.899</v>
      </c>
      <c r="IG63" s="3">
        <v>4.923</v>
      </c>
      <c r="IH63" s="3">
        <v>2E-3</v>
      </c>
      <c r="II63" s="3">
        <v>2.726</v>
      </c>
      <c r="IJ63" s="3">
        <v>4.4980000000000002</v>
      </c>
      <c r="IK63" s="3">
        <v>4.125</v>
      </c>
      <c r="IL63" s="3">
        <v>0</v>
      </c>
      <c r="IM63" s="3">
        <v>0</v>
      </c>
      <c r="IN63" s="3">
        <v>2.9000000000000001E-2</v>
      </c>
      <c r="IO63" s="3">
        <v>3.5999999999999997E-2</v>
      </c>
      <c r="IP63" s="3">
        <v>5.8390000000000004</v>
      </c>
      <c r="IQ63" s="3">
        <v>5.843</v>
      </c>
      <c r="IR63" s="3">
        <v>6.7030000000000003</v>
      </c>
      <c r="IS63" s="3">
        <v>8.7959999999999994</v>
      </c>
      <c r="IT63" s="3">
        <v>3.1E-2</v>
      </c>
      <c r="IU63" s="3">
        <v>2.218</v>
      </c>
      <c r="IV63" s="3">
        <v>7.3109999999999999</v>
      </c>
      <c r="IW63" s="3">
        <v>1.1399999999999999</v>
      </c>
      <c r="IX63" s="3">
        <v>7.7949999999999999</v>
      </c>
      <c r="IY63" s="3">
        <v>0.14099999999999999</v>
      </c>
      <c r="IZ63" s="3">
        <v>1.6E-2</v>
      </c>
      <c r="JA63" s="3">
        <v>1.4999999999999999E-2</v>
      </c>
      <c r="JB63" s="3">
        <v>0</v>
      </c>
      <c r="JC63" s="3">
        <v>1.6E-2</v>
      </c>
      <c r="JD63" s="3">
        <v>0.56299999999999994</v>
      </c>
      <c r="JE63" s="3">
        <v>3.1E-2</v>
      </c>
      <c r="JF63" s="3">
        <v>8.31</v>
      </c>
      <c r="JG63" s="3">
        <v>0</v>
      </c>
      <c r="JH63" s="3">
        <v>0</v>
      </c>
      <c r="JI63" s="3">
        <v>1.6E-2</v>
      </c>
      <c r="JJ63" s="3">
        <v>0</v>
      </c>
      <c r="JK63" s="3">
        <v>25.603999999999999</v>
      </c>
      <c r="JL63" s="3">
        <v>1.6E-2</v>
      </c>
      <c r="JM63" s="3">
        <v>1.4999999999999999E-2</v>
      </c>
      <c r="JN63" s="3">
        <v>32.601999999999997</v>
      </c>
      <c r="JO63" s="3">
        <v>44.707999999999998</v>
      </c>
      <c r="JP63" s="3">
        <v>49.941000000000003</v>
      </c>
      <c r="JQ63" s="3">
        <v>48.128999999999998</v>
      </c>
      <c r="JR63" s="3">
        <v>0</v>
      </c>
      <c r="JS63" s="3">
        <v>20.103999999999999</v>
      </c>
      <c r="JT63" s="3">
        <v>31.259</v>
      </c>
      <c r="JU63" s="3">
        <v>1.4999999999999999E-2</v>
      </c>
      <c r="JV63" s="3">
        <v>51.018999999999998</v>
      </c>
      <c r="JW63" s="3">
        <v>11.06</v>
      </c>
      <c r="JX63" s="3">
        <v>27.4</v>
      </c>
      <c r="JY63" s="3">
        <v>21.353999999999999</v>
      </c>
      <c r="JZ63" s="3">
        <v>49.02</v>
      </c>
      <c r="KA63" s="3">
        <v>52.472000000000001</v>
      </c>
      <c r="KB63" s="3">
        <v>85.042000000000002</v>
      </c>
      <c r="KC63" s="3">
        <v>72.42</v>
      </c>
      <c r="KD63" s="3">
        <v>0</v>
      </c>
      <c r="KE63" s="3">
        <v>0.53600000000000003</v>
      </c>
      <c r="KF63" s="3">
        <v>0.02</v>
      </c>
      <c r="KG63" s="3">
        <v>0.74299999999999999</v>
      </c>
      <c r="KH63" s="3">
        <v>1.331</v>
      </c>
      <c r="KI63" s="3">
        <v>1.7569999999999999</v>
      </c>
      <c r="KJ63" s="3">
        <v>8.9999999999999993E-3</v>
      </c>
      <c r="KK63" s="3">
        <v>0</v>
      </c>
      <c r="KL63" s="3">
        <v>5.0000000000000001E-3</v>
      </c>
      <c r="KM63" s="3">
        <v>8.0000000000000002E-3</v>
      </c>
      <c r="KN63" s="3">
        <v>1.4E-2</v>
      </c>
      <c r="KO63" s="3">
        <v>1.2E-2</v>
      </c>
      <c r="KP63" s="3">
        <v>0</v>
      </c>
      <c r="KQ63" s="3">
        <v>1.409</v>
      </c>
      <c r="KR63" s="3">
        <v>1.4970000000000001</v>
      </c>
      <c r="KS63" s="3">
        <v>2.7440000000000002</v>
      </c>
      <c r="KT63" s="3">
        <v>0</v>
      </c>
      <c r="KU63" s="3">
        <v>2E-3</v>
      </c>
      <c r="KV63" s="3">
        <v>1E-3</v>
      </c>
      <c r="KW63" s="3">
        <v>2E-3</v>
      </c>
      <c r="KX63" s="3">
        <v>0.13500000000000001</v>
      </c>
      <c r="KY63" s="3">
        <v>0.14000000000000001</v>
      </c>
      <c r="KZ63" s="3">
        <v>4.8019999999999996</v>
      </c>
      <c r="LA63" s="3">
        <v>5.2450000000000001</v>
      </c>
      <c r="LB63" s="3">
        <v>1.716</v>
      </c>
      <c r="LC63" s="3">
        <v>0</v>
      </c>
      <c r="LD63" s="3">
        <v>3.4239999999999999</v>
      </c>
      <c r="LE63" s="3">
        <v>4.1820000000000004</v>
      </c>
      <c r="LF63" s="3">
        <v>1E-3</v>
      </c>
      <c r="LG63" s="3">
        <v>2E-3</v>
      </c>
      <c r="LH63" s="3">
        <v>3.0000000000000001E-3</v>
      </c>
      <c r="LI63" s="3">
        <v>1.7609999999999999</v>
      </c>
      <c r="LJ63" s="3">
        <v>5.2309999999999999</v>
      </c>
      <c r="LK63" s="3">
        <v>6.24</v>
      </c>
      <c r="LL63" s="3">
        <v>7.6449999999999996</v>
      </c>
      <c r="LM63" s="3">
        <v>9.11</v>
      </c>
      <c r="LN63" s="3">
        <v>1.6E-2</v>
      </c>
      <c r="LO63" s="3">
        <v>1.4999999999999999E-2</v>
      </c>
      <c r="LP63" s="3">
        <v>7.2789999999999999</v>
      </c>
      <c r="LQ63" s="3">
        <v>0.42099999999999999</v>
      </c>
      <c r="LR63" s="3">
        <v>8.8260000000000005</v>
      </c>
      <c r="LS63" s="3">
        <v>9.9359999999999999</v>
      </c>
      <c r="LT63" s="3">
        <v>1.6E-2</v>
      </c>
      <c r="LU63" s="3">
        <v>1.4999999999999999E-2</v>
      </c>
      <c r="LV63" s="3">
        <v>0</v>
      </c>
      <c r="LW63" s="3">
        <v>3.2000000000000001E-2</v>
      </c>
      <c r="LX63" s="3">
        <v>1.641</v>
      </c>
      <c r="LY63" s="3">
        <v>7.2949999999999999</v>
      </c>
      <c r="LZ63" s="3">
        <v>8.9510000000000005</v>
      </c>
      <c r="MA63" s="3">
        <v>0</v>
      </c>
      <c r="MB63" s="3">
        <v>18.98</v>
      </c>
      <c r="MC63" s="3">
        <v>1.6E-2</v>
      </c>
      <c r="MD63" s="3">
        <v>26.306000000000001</v>
      </c>
      <c r="ME63" s="3">
        <v>1.6E-2</v>
      </c>
      <c r="MF63" s="3">
        <v>0</v>
      </c>
      <c r="MG63" s="3">
        <v>1.6E-2</v>
      </c>
      <c r="MH63" s="3">
        <v>34.116999999999997</v>
      </c>
      <c r="MI63" s="3">
        <v>1.6E-2</v>
      </c>
      <c r="MJ63" s="3">
        <v>48.566000000000003</v>
      </c>
      <c r="MK63" s="3">
        <v>59.048999999999999</v>
      </c>
      <c r="ML63" s="3">
        <v>17.292999999999999</v>
      </c>
      <c r="MM63" s="3">
        <v>1.6E-2</v>
      </c>
      <c r="MN63" s="3">
        <v>33.008000000000003</v>
      </c>
      <c r="MO63" s="3">
        <v>36.804000000000002</v>
      </c>
      <c r="MP63" s="3">
        <v>0</v>
      </c>
      <c r="MQ63" s="3">
        <v>1.4999999999999999E-2</v>
      </c>
      <c r="MR63" s="3">
        <v>20.027000000000001</v>
      </c>
      <c r="MS63" s="3">
        <v>0.53100000000000003</v>
      </c>
      <c r="MT63" s="3">
        <v>52.076999999999998</v>
      </c>
      <c r="MU63" s="3">
        <v>46.38</v>
      </c>
      <c r="MV63" s="3">
        <v>99.664000000000001</v>
      </c>
      <c r="MW63" s="3">
        <v>78.497</v>
      </c>
    </row>
    <row r="64" spans="1:361" x14ac:dyDescent="0.3">
      <c r="A64" s="3">
        <v>22</v>
      </c>
      <c r="B64" s="3">
        <v>0.496</v>
      </c>
      <c r="C64" s="3">
        <v>0</v>
      </c>
      <c r="D64" s="3">
        <v>0.76100000000000001</v>
      </c>
      <c r="E64" s="3">
        <v>0.97899999999999998</v>
      </c>
      <c r="F64" s="3">
        <v>1E-3</v>
      </c>
      <c r="G64" s="3">
        <v>1.5649999999999999</v>
      </c>
      <c r="H64" s="3">
        <v>1E-3</v>
      </c>
      <c r="I64" s="3">
        <v>1E-3</v>
      </c>
      <c r="J64" s="3">
        <v>2E-3</v>
      </c>
      <c r="K64" s="3">
        <v>1.6E-2</v>
      </c>
      <c r="L64" s="3">
        <v>1.2E-2</v>
      </c>
      <c r="M64" s="3">
        <v>0.114</v>
      </c>
      <c r="N64" s="3">
        <v>0.70199999999999996</v>
      </c>
      <c r="O64" s="3">
        <v>0.83399999999999996</v>
      </c>
      <c r="P64" s="3">
        <v>1.93</v>
      </c>
      <c r="Q64" s="3">
        <v>1E-3</v>
      </c>
      <c r="R64" s="3">
        <v>3.3450000000000002</v>
      </c>
      <c r="S64" s="3">
        <v>3.2469999999999999</v>
      </c>
      <c r="T64" s="3">
        <v>1E-3</v>
      </c>
      <c r="U64" s="3">
        <v>3.0000000000000001E-3</v>
      </c>
      <c r="V64" s="3">
        <v>0.36599999999999999</v>
      </c>
      <c r="W64" s="3">
        <v>2.6949999999999998</v>
      </c>
      <c r="X64" s="3">
        <v>4.109</v>
      </c>
      <c r="Y64" s="3">
        <v>4.6189999999999998</v>
      </c>
      <c r="Z64" s="3">
        <v>1.544</v>
      </c>
      <c r="AA64" s="3">
        <v>2.7189999999999999</v>
      </c>
      <c r="AB64" s="3">
        <v>4.4020000000000001</v>
      </c>
      <c r="AC64" s="3">
        <v>3.9470000000000001</v>
      </c>
      <c r="AD64" s="3">
        <v>4.468</v>
      </c>
      <c r="AE64" s="3">
        <v>1E-3</v>
      </c>
      <c r="AF64" s="3">
        <v>2.2490000000000001</v>
      </c>
      <c r="AG64" s="3">
        <v>2.0419999999999998</v>
      </c>
      <c r="AH64" s="3">
        <v>5.4950000000000001</v>
      </c>
      <c r="AI64" s="3">
        <v>5.508</v>
      </c>
      <c r="AJ64" s="3">
        <v>6.2670000000000003</v>
      </c>
      <c r="AK64" s="3">
        <v>7.8280000000000003</v>
      </c>
      <c r="AL64" s="3">
        <v>6.2E-2</v>
      </c>
      <c r="AM64" s="3">
        <v>1.6E-2</v>
      </c>
      <c r="AN64" s="3">
        <v>7.2480000000000002</v>
      </c>
      <c r="AO64" s="3">
        <v>1.6E-2</v>
      </c>
      <c r="AP64" s="3">
        <v>7.7640000000000002</v>
      </c>
      <c r="AQ64" s="3">
        <v>0.156</v>
      </c>
      <c r="AR64" s="3">
        <v>1.4999999999999999E-2</v>
      </c>
      <c r="AS64" s="3">
        <v>1.6E-2</v>
      </c>
      <c r="AT64" s="3">
        <v>1.4999999999999999E-2</v>
      </c>
      <c r="AU64" s="3">
        <v>3.1E-2</v>
      </c>
      <c r="AV64" s="3">
        <v>1.1870000000000001</v>
      </c>
      <c r="AW64" s="3">
        <v>0.28100000000000003</v>
      </c>
      <c r="AX64" s="3">
        <v>0</v>
      </c>
      <c r="AY64" s="3">
        <v>7.7009999999999996</v>
      </c>
      <c r="AZ64" s="3">
        <v>21.338999999999999</v>
      </c>
      <c r="BA64" s="3">
        <v>11.122999999999999</v>
      </c>
      <c r="BB64" s="3">
        <v>24.713000000000001</v>
      </c>
      <c r="BC64" s="3">
        <v>30.867000000000001</v>
      </c>
      <c r="BD64" s="3">
        <v>1.4999999999999999E-2</v>
      </c>
      <c r="BE64" s="3">
        <v>0.109</v>
      </c>
      <c r="BF64" s="3">
        <v>17.231000000000002</v>
      </c>
      <c r="BG64" s="3">
        <v>31.975999999999999</v>
      </c>
      <c r="BH64" s="3">
        <v>47.786000000000001</v>
      </c>
      <c r="BI64" s="3">
        <v>82.512</v>
      </c>
      <c r="BJ64" s="3">
        <v>11.747</v>
      </c>
      <c r="BK64" s="3">
        <v>20.245000000000001</v>
      </c>
      <c r="BL64" s="3">
        <v>0</v>
      </c>
      <c r="BM64" s="3">
        <v>43.348999999999997</v>
      </c>
      <c r="BN64" s="3">
        <v>54.066000000000003</v>
      </c>
      <c r="BO64" s="3">
        <v>52.534999999999997</v>
      </c>
      <c r="BP64" s="3">
        <v>28.321999999999999</v>
      </c>
      <c r="BQ64" s="3">
        <v>4.6239999999999997</v>
      </c>
      <c r="BR64" s="3">
        <v>60.798000000000002</v>
      </c>
      <c r="BS64" s="3">
        <v>49.238</v>
      </c>
      <c r="BT64" s="3">
        <v>82.137</v>
      </c>
      <c r="BU64" s="3">
        <v>83.260999999999996</v>
      </c>
      <c r="BV64" s="3">
        <v>0.129</v>
      </c>
      <c r="BW64" s="3">
        <v>0</v>
      </c>
      <c r="BX64" s="3">
        <v>0.72299999999999998</v>
      </c>
      <c r="BY64" s="3">
        <v>0.99</v>
      </c>
      <c r="BZ64" s="3">
        <v>0.98799999999999999</v>
      </c>
      <c r="CA64" s="3">
        <v>1.081</v>
      </c>
      <c r="CB64" s="3">
        <v>3.0000000000000001E-3</v>
      </c>
      <c r="CC64" s="3">
        <v>3.0000000000000001E-3</v>
      </c>
      <c r="CD64" s="3">
        <v>0</v>
      </c>
      <c r="CE64" s="3">
        <v>1E-3</v>
      </c>
      <c r="CF64" s="3">
        <v>2.1000000000000001E-2</v>
      </c>
      <c r="CG64" s="3">
        <v>6.0000000000000001E-3</v>
      </c>
      <c r="CH64" s="3">
        <v>0.93300000000000005</v>
      </c>
      <c r="CI64" s="3">
        <v>0</v>
      </c>
      <c r="CJ64" s="3">
        <v>1.8779999999999999</v>
      </c>
      <c r="CK64" s="3">
        <v>1.9490000000000001</v>
      </c>
      <c r="CL64" s="3">
        <v>1E-3</v>
      </c>
      <c r="CM64" s="3">
        <v>0</v>
      </c>
      <c r="CN64" s="3">
        <v>4.0000000000000001E-3</v>
      </c>
      <c r="CO64" s="3">
        <v>7.1999999999999995E-2</v>
      </c>
      <c r="CP64" s="3">
        <v>3.6850000000000001</v>
      </c>
      <c r="CQ64" s="3">
        <v>5.0000000000000001E-3</v>
      </c>
      <c r="CR64" s="3">
        <v>4.5730000000000004</v>
      </c>
      <c r="CS64" s="3">
        <v>3.7210000000000001</v>
      </c>
      <c r="CT64" s="3">
        <v>0</v>
      </c>
      <c r="CU64" s="3">
        <v>0</v>
      </c>
      <c r="CV64" s="3">
        <v>1E-3</v>
      </c>
      <c r="CW64" s="3">
        <v>2E-3</v>
      </c>
      <c r="CX64" s="3">
        <v>0</v>
      </c>
      <c r="CY64" s="3">
        <v>2E-3</v>
      </c>
      <c r="CZ64" s="3">
        <v>2E-3</v>
      </c>
      <c r="DA64" s="3">
        <v>0.04</v>
      </c>
      <c r="DB64" s="3">
        <v>6.6879999999999997</v>
      </c>
      <c r="DC64" s="3">
        <v>7.5810000000000004</v>
      </c>
      <c r="DD64" s="3">
        <v>8.2089999999999996</v>
      </c>
      <c r="DE64" s="3">
        <v>9.2859999999999996</v>
      </c>
      <c r="DF64" s="3">
        <v>0.109</v>
      </c>
      <c r="DG64" s="3">
        <v>3.4990000000000001</v>
      </c>
      <c r="DH64" s="3">
        <v>0</v>
      </c>
      <c r="DI64" s="3">
        <v>8.6389999999999993</v>
      </c>
      <c r="DJ64" s="3">
        <v>0</v>
      </c>
      <c r="DK64" s="3">
        <v>9.6999999999999993</v>
      </c>
      <c r="DL64" s="3">
        <v>0</v>
      </c>
      <c r="DM64" s="3">
        <v>1.4999999999999999E-2</v>
      </c>
      <c r="DN64" s="3">
        <v>1.6E-2</v>
      </c>
      <c r="DO64" s="3">
        <v>1.4999999999999999E-2</v>
      </c>
      <c r="DP64" s="3">
        <v>0.14099999999999999</v>
      </c>
      <c r="DQ64" s="3">
        <v>0.64</v>
      </c>
      <c r="DR64" s="3">
        <v>0</v>
      </c>
      <c r="DS64" s="3">
        <v>0</v>
      </c>
      <c r="DT64" s="3">
        <v>23.198</v>
      </c>
      <c r="DU64" s="3">
        <v>15.465</v>
      </c>
      <c r="DV64" s="3">
        <v>0</v>
      </c>
      <c r="DW64" s="3">
        <v>0</v>
      </c>
      <c r="DX64" s="3">
        <v>0</v>
      </c>
      <c r="DY64" s="3">
        <v>0</v>
      </c>
      <c r="DZ64" s="3">
        <v>34.773000000000003</v>
      </c>
      <c r="EA64" s="3">
        <v>61.892000000000003</v>
      </c>
      <c r="EB64" s="3">
        <v>64.188999999999993</v>
      </c>
      <c r="EC64" s="3">
        <v>72.811000000000007</v>
      </c>
      <c r="ED64" s="3">
        <v>14.746</v>
      </c>
      <c r="EE64" s="3">
        <v>1.4999999999999999E-2</v>
      </c>
      <c r="EF64" s="3">
        <v>41.74</v>
      </c>
      <c r="EG64" s="3">
        <v>33.524000000000001</v>
      </c>
      <c r="EH64" s="3">
        <v>52.643999999999998</v>
      </c>
      <c r="EI64" s="3">
        <v>53.924999999999997</v>
      </c>
      <c r="EJ64" s="3">
        <v>21.385000000000002</v>
      </c>
      <c r="EK64" s="3">
        <v>26.931000000000001</v>
      </c>
      <c r="EL64" s="3">
        <v>50.295000000000002</v>
      </c>
      <c r="EM64" s="3">
        <v>56.237000000000002</v>
      </c>
      <c r="EN64" s="3">
        <v>90.12</v>
      </c>
      <c r="EO64" s="3">
        <v>74.733000000000004</v>
      </c>
      <c r="EP64" s="3">
        <v>0.23899999999999999</v>
      </c>
      <c r="EQ64" s="3">
        <v>1.2999999999999999E-2</v>
      </c>
      <c r="ER64" s="3">
        <v>0.61799999999999999</v>
      </c>
      <c r="ES64" s="3">
        <v>2.7E-2</v>
      </c>
      <c r="ET64" s="3">
        <v>1.1319999999999999</v>
      </c>
      <c r="EU64" s="3">
        <v>1.1839999999999999</v>
      </c>
      <c r="EV64" s="3">
        <v>1E-3</v>
      </c>
      <c r="EW64" s="3">
        <v>2E-3</v>
      </c>
      <c r="EX64" s="3">
        <v>1E-3</v>
      </c>
      <c r="EY64" s="3">
        <v>2E-3</v>
      </c>
      <c r="EZ64" s="3">
        <v>0.27500000000000002</v>
      </c>
      <c r="FA64" s="3">
        <v>3.0000000000000001E-3</v>
      </c>
      <c r="FB64" s="3">
        <v>0.01</v>
      </c>
      <c r="FC64" s="3">
        <v>1.2490000000000001</v>
      </c>
      <c r="FD64" s="3">
        <v>1.8080000000000001</v>
      </c>
      <c r="FE64" s="3">
        <v>0</v>
      </c>
      <c r="FF64" s="3">
        <v>3.0840000000000001</v>
      </c>
      <c r="FG64" s="3">
        <v>4.5209999999999999</v>
      </c>
      <c r="FH64" s="3">
        <v>8.0000000000000002E-3</v>
      </c>
      <c r="FI64" s="3">
        <v>3.4000000000000002E-2</v>
      </c>
      <c r="FJ64" s="3">
        <v>7.4999999999999997E-2</v>
      </c>
      <c r="FK64" s="3">
        <v>4.5999999999999999E-2</v>
      </c>
      <c r="FL64" s="3">
        <v>5.4009999999999998</v>
      </c>
      <c r="FM64" s="3">
        <v>4.0670000000000002</v>
      </c>
      <c r="FN64" s="3">
        <v>1E-3</v>
      </c>
      <c r="FO64" s="3">
        <v>2.032</v>
      </c>
      <c r="FP64" s="3">
        <v>0</v>
      </c>
      <c r="FQ64" s="3">
        <v>4.8209999999999997</v>
      </c>
      <c r="FR64" s="3">
        <v>6.6</v>
      </c>
      <c r="FS64" s="3">
        <v>2.3969999999999998</v>
      </c>
      <c r="FT64" s="3">
        <v>1.728</v>
      </c>
      <c r="FU64" s="3">
        <v>1.879</v>
      </c>
      <c r="FV64" s="3">
        <v>5.5220000000000002</v>
      </c>
      <c r="FW64" s="3">
        <v>4.4939999999999998</v>
      </c>
      <c r="FX64" s="3">
        <v>8.4429999999999996</v>
      </c>
      <c r="FY64" s="3">
        <v>8.7520000000000007</v>
      </c>
      <c r="FZ64" s="3">
        <v>2.1080000000000001</v>
      </c>
      <c r="GA64" s="3">
        <v>7.8E-2</v>
      </c>
      <c r="GB64" s="3">
        <v>7.952</v>
      </c>
      <c r="GC64" s="3">
        <v>8.6389999999999993</v>
      </c>
      <c r="GD64" s="3">
        <v>0</v>
      </c>
      <c r="GE64" s="3">
        <v>1.125</v>
      </c>
      <c r="GF64" s="3">
        <v>0</v>
      </c>
      <c r="GG64" s="3">
        <v>3.1E-2</v>
      </c>
      <c r="GH64" s="3">
        <v>0</v>
      </c>
      <c r="GI64" s="3">
        <v>0</v>
      </c>
      <c r="GJ64" s="3">
        <v>0.65600000000000003</v>
      </c>
      <c r="GK64" s="3">
        <v>1.3120000000000001</v>
      </c>
      <c r="GL64" s="3">
        <v>7.2629999999999999</v>
      </c>
      <c r="GM64" s="3">
        <v>8.0299999999999994</v>
      </c>
      <c r="GN64" s="3">
        <v>25.01</v>
      </c>
      <c r="GO64" s="3">
        <v>22.042000000000002</v>
      </c>
      <c r="GP64" s="3">
        <v>0</v>
      </c>
      <c r="GQ64" s="3">
        <v>0</v>
      </c>
      <c r="GR64" s="3">
        <v>3.2000000000000001E-2</v>
      </c>
      <c r="GS64" s="3">
        <v>0.17199999999999999</v>
      </c>
      <c r="GT64" s="3">
        <v>44.115000000000002</v>
      </c>
      <c r="GU64" s="3">
        <v>9.5760000000000005</v>
      </c>
      <c r="GV64" s="3">
        <v>54.368000000000002</v>
      </c>
      <c r="GW64" s="3">
        <v>53.331000000000003</v>
      </c>
      <c r="GX64" s="3">
        <v>13.153</v>
      </c>
      <c r="GY64" s="3">
        <v>0</v>
      </c>
      <c r="GZ64" s="3">
        <v>0</v>
      </c>
      <c r="HA64" s="3">
        <v>35.383000000000003</v>
      </c>
      <c r="HB64" s="3">
        <v>51.253999999999998</v>
      </c>
      <c r="HC64" s="3">
        <v>0</v>
      </c>
      <c r="HD64" s="3">
        <v>20.963999999999999</v>
      </c>
      <c r="HE64" s="3">
        <v>25.681999999999999</v>
      </c>
      <c r="HF64" s="3">
        <v>50.295000000000002</v>
      </c>
      <c r="HG64" s="3">
        <v>60.533000000000001</v>
      </c>
      <c r="HH64" s="3">
        <v>73.53</v>
      </c>
      <c r="HI64" s="3">
        <v>79.933999999999997</v>
      </c>
      <c r="HJ64" s="3">
        <v>1.7999999999999999E-2</v>
      </c>
      <c r="HK64" s="3">
        <v>0.14899999999999999</v>
      </c>
      <c r="HL64" s="3">
        <v>0.77</v>
      </c>
      <c r="HM64" s="3">
        <v>0.39100000000000001</v>
      </c>
      <c r="HN64" s="3">
        <v>0.93</v>
      </c>
      <c r="HO64" s="3">
        <v>2E-3</v>
      </c>
      <c r="HP64" s="3">
        <v>1E-3</v>
      </c>
      <c r="HQ64" s="3">
        <v>2E-3</v>
      </c>
      <c r="HR64" s="3">
        <v>1E-3</v>
      </c>
      <c r="HS64" s="3">
        <v>6.0000000000000001E-3</v>
      </c>
      <c r="HT64" s="3">
        <v>5.0000000000000001E-3</v>
      </c>
      <c r="HU64" s="3">
        <v>3.0000000000000001E-3</v>
      </c>
      <c r="HV64" s="3">
        <v>0</v>
      </c>
      <c r="HW64" s="3">
        <v>0.98799999999999999</v>
      </c>
      <c r="HX64" s="3">
        <v>1.887</v>
      </c>
      <c r="HY64" s="3">
        <v>0</v>
      </c>
      <c r="HZ64" s="3">
        <v>2.8</v>
      </c>
      <c r="IA64" s="3">
        <v>0</v>
      </c>
      <c r="IB64" s="3">
        <v>1E-3</v>
      </c>
      <c r="IC64" s="3">
        <v>2E-3</v>
      </c>
      <c r="ID64" s="3">
        <v>2E-3</v>
      </c>
      <c r="IE64" s="3">
        <v>3.24</v>
      </c>
      <c r="IF64" s="3">
        <v>5.0060000000000002</v>
      </c>
      <c r="IG64" s="3">
        <v>4.8559999999999999</v>
      </c>
      <c r="IH64" s="3">
        <v>2E-3</v>
      </c>
      <c r="II64" s="3">
        <v>4.0289999999999999</v>
      </c>
      <c r="IJ64" s="3">
        <v>4.5720000000000001</v>
      </c>
      <c r="IK64" s="3">
        <v>4.54</v>
      </c>
      <c r="IL64" s="3">
        <v>0</v>
      </c>
      <c r="IM64" s="3">
        <v>1E-3</v>
      </c>
      <c r="IN64" s="3">
        <v>2.1999999999999999E-2</v>
      </c>
      <c r="IO64" s="3">
        <v>2.9000000000000001E-2</v>
      </c>
      <c r="IP64" s="3">
        <v>6.2869999999999999</v>
      </c>
      <c r="IQ64" s="3">
        <v>5.12</v>
      </c>
      <c r="IR64" s="3">
        <v>7.5650000000000004</v>
      </c>
      <c r="IS64" s="3">
        <v>9.5109999999999992</v>
      </c>
      <c r="IT64" s="3">
        <v>0</v>
      </c>
      <c r="IU64" s="3">
        <v>2.4369999999999998</v>
      </c>
      <c r="IV64" s="3">
        <v>6.7320000000000002</v>
      </c>
      <c r="IW64" s="3">
        <v>1.8280000000000001</v>
      </c>
      <c r="IX64" s="3">
        <v>8.2479999999999993</v>
      </c>
      <c r="IY64" s="3">
        <v>0.375</v>
      </c>
      <c r="IZ64" s="3">
        <v>0</v>
      </c>
      <c r="JA64" s="3">
        <v>0</v>
      </c>
      <c r="JB64" s="3">
        <v>3.1E-2</v>
      </c>
      <c r="JC64" s="3">
        <v>3.1E-2</v>
      </c>
      <c r="JD64" s="3">
        <v>4.9829999999999997</v>
      </c>
      <c r="JE64" s="3">
        <v>0.156</v>
      </c>
      <c r="JF64" s="3">
        <v>8.7010000000000005</v>
      </c>
      <c r="JG64" s="3">
        <v>0</v>
      </c>
      <c r="JH64" s="3">
        <v>1.4999999999999999E-2</v>
      </c>
      <c r="JI64" s="3">
        <v>0</v>
      </c>
      <c r="JJ64" s="3">
        <v>0</v>
      </c>
      <c r="JK64" s="3">
        <v>25.763000000000002</v>
      </c>
      <c r="JL64" s="3">
        <v>0.156</v>
      </c>
      <c r="JM64" s="3">
        <v>3.2000000000000001E-2</v>
      </c>
      <c r="JN64" s="3">
        <v>37.521999999999998</v>
      </c>
      <c r="JO64" s="3">
        <v>42.161999999999999</v>
      </c>
      <c r="JP64" s="3">
        <v>46.723999999999997</v>
      </c>
      <c r="JQ64" s="3">
        <v>46.113999999999997</v>
      </c>
      <c r="JR64" s="3">
        <v>0</v>
      </c>
      <c r="JS64" s="3">
        <v>19.260999999999999</v>
      </c>
      <c r="JT64" s="3">
        <v>31.149000000000001</v>
      </c>
      <c r="JU64" s="3">
        <v>0</v>
      </c>
      <c r="JV64" s="3">
        <v>53.862000000000002</v>
      </c>
      <c r="JW64" s="3">
        <v>1.5620000000000001</v>
      </c>
      <c r="JX64" s="3">
        <v>29.227</v>
      </c>
      <c r="JY64" s="3">
        <v>22.510999999999999</v>
      </c>
      <c r="JZ64" s="3">
        <v>49.847999999999999</v>
      </c>
      <c r="KA64" s="3">
        <v>53.956000000000003</v>
      </c>
      <c r="KB64" s="3">
        <v>82.605999999999995</v>
      </c>
      <c r="KC64" s="3">
        <v>74.92</v>
      </c>
      <c r="KD64" s="3">
        <v>0</v>
      </c>
      <c r="KE64" s="3">
        <v>0.46899999999999997</v>
      </c>
      <c r="KF64" s="3">
        <v>1.7999999999999999E-2</v>
      </c>
      <c r="KG64" s="3">
        <v>0.76800000000000002</v>
      </c>
      <c r="KH64" s="3">
        <v>0.23100000000000001</v>
      </c>
      <c r="KI64" s="3">
        <v>1.772</v>
      </c>
      <c r="KJ64" s="3">
        <v>1.2999999999999999E-2</v>
      </c>
      <c r="KK64" s="3">
        <v>2E-3</v>
      </c>
      <c r="KL64" s="3">
        <v>1E-3</v>
      </c>
      <c r="KM64" s="3">
        <v>7.0000000000000001E-3</v>
      </c>
      <c r="KN64" s="3">
        <v>1.0999999999999999E-2</v>
      </c>
      <c r="KO64" s="3">
        <v>0.01</v>
      </c>
      <c r="KP64" s="3">
        <v>0</v>
      </c>
      <c r="KQ64" s="3">
        <v>1.2949999999999999</v>
      </c>
      <c r="KR64" s="3">
        <v>1.4670000000000001</v>
      </c>
      <c r="KS64" s="3">
        <v>4.2140000000000004</v>
      </c>
      <c r="KT64" s="3">
        <v>1E-3</v>
      </c>
      <c r="KU64" s="3">
        <v>0</v>
      </c>
      <c r="KV64" s="3">
        <v>1E-3</v>
      </c>
      <c r="KW64" s="3">
        <v>2E-3</v>
      </c>
      <c r="KX64" s="3">
        <v>0.14499999999999999</v>
      </c>
      <c r="KY64" s="3">
        <v>7.0000000000000007E-2</v>
      </c>
      <c r="KZ64" s="3">
        <v>4.6950000000000003</v>
      </c>
      <c r="LA64" s="3">
        <v>5.1159999999999997</v>
      </c>
      <c r="LB64" s="3">
        <v>1.6020000000000001</v>
      </c>
      <c r="LC64" s="3">
        <v>0</v>
      </c>
      <c r="LD64" s="3">
        <v>3.4980000000000002</v>
      </c>
      <c r="LE64" s="3">
        <v>3.9420000000000002</v>
      </c>
      <c r="LF64" s="3">
        <v>1E-3</v>
      </c>
      <c r="LG64" s="3">
        <v>0</v>
      </c>
      <c r="LH64" s="3">
        <v>2E-3</v>
      </c>
      <c r="LI64" s="3">
        <v>2.0179999999999998</v>
      </c>
      <c r="LJ64" s="3">
        <v>5.0650000000000004</v>
      </c>
      <c r="LK64" s="3">
        <v>6.3559999999999999</v>
      </c>
      <c r="LL64" s="3">
        <v>7.7080000000000002</v>
      </c>
      <c r="LM64" s="3">
        <v>9.6020000000000003</v>
      </c>
      <c r="LN64" s="3">
        <v>4.7E-2</v>
      </c>
      <c r="LO64" s="3">
        <v>1.6E-2</v>
      </c>
      <c r="LP64" s="3">
        <v>7.202</v>
      </c>
      <c r="LQ64" s="3">
        <v>5.4050000000000002</v>
      </c>
      <c r="LR64" s="3">
        <v>8.9510000000000005</v>
      </c>
      <c r="LS64" s="3">
        <v>9.8569999999999993</v>
      </c>
      <c r="LT64" s="3">
        <v>0</v>
      </c>
      <c r="LU64" s="3">
        <v>0</v>
      </c>
      <c r="LV64" s="3">
        <v>1.4999999999999999E-2</v>
      </c>
      <c r="LW64" s="3">
        <v>1.4999999999999999E-2</v>
      </c>
      <c r="LX64" s="3">
        <v>3.9209999999999998</v>
      </c>
      <c r="LY64" s="3">
        <v>0.188</v>
      </c>
      <c r="LZ64" s="3">
        <v>8.907</v>
      </c>
      <c r="MA64" s="3">
        <v>0</v>
      </c>
      <c r="MB64" s="3">
        <v>18.027000000000001</v>
      </c>
      <c r="MC64" s="3">
        <v>0</v>
      </c>
      <c r="MD64" s="3">
        <v>27.571999999999999</v>
      </c>
      <c r="ME64" s="3">
        <v>0</v>
      </c>
      <c r="MF64" s="3">
        <v>0</v>
      </c>
      <c r="MG64" s="3">
        <v>6.2E-2</v>
      </c>
      <c r="MH64" s="3">
        <v>33.975999999999999</v>
      </c>
      <c r="MI64" s="3">
        <v>0.125</v>
      </c>
      <c r="MJ64" s="3">
        <v>47.863999999999997</v>
      </c>
      <c r="MK64" s="3">
        <v>61.485999999999997</v>
      </c>
      <c r="ML64" s="3">
        <v>15.746</v>
      </c>
      <c r="MM64" s="3">
        <v>0</v>
      </c>
      <c r="MN64" s="3">
        <v>32.960999999999999</v>
      </c>
      <c r="MO64" s="3">
        <v>43.255000000000003</v>
      </c>
      <c r="MP64" s="3">
        <v>0</v>
      </c>
      <c r="MQ64" s="3">
        <v>0</v>
      </c>
      <c r="MR64" s="3">
        <v>18.260999999999999</v>
      </c>
      <c r="MS64" s="3">
        <v>0.48499999999999999</v>
      </c>
      <c r="MT64" s="3">
        <v>49.753999999999998</v>
      </c>
      <c r="MU64" s="3">
        <v>48.082000000000001</v>
      </c>
      <c r="MV64" s="3">
        <v>83.152000000000001</v>
      </c>
      <c r="MW64" s="3">
        <v>79.575000000000003</v>
      </c>
    </row>
    <row r="65" spans="1:363" x14ac:dyDescent="0.3">
      <c r="A65" s="3">
        <v>23</v>
      </c>
      <c r="B65" s="3">
        <v>0.45100000000000001</v>
      </c>
      <c r="C65" s="3">
        <v>0</v>
      </c>
      <c r="D65" s="3">
        <v>0.73599999999999999</v>
      </c>
      <c r="E65" s="3">
        <v>1.1519999999999999</v>
      </c>
      <c r="F65" s="3">
        <v>0</v>
      </c>
      <c r="G65" s="3">
        <v>1.056</v>
      </c>
      <c r="H65" s="3">
        <v>1E-3</v>
      </c>
      <c r="I65" s="3">
        <v>2E-3</v>
      </c>
      <c r="J65" s="3">
        <v>2E-3</v>
      </c>
      <c r="K65" s="3">
        <v>3.0000000000000001E-3</v>
      </c>
      <c r="L65" s="3">
        <v>1.0999999999999999E-2</v>
      </c>
      <c r="M65" s="3">
        <v>1.4E-2</v>
      </c>
      <c r="N65" s="3">
        <v>0.75600000000000001</v>
      </c>
      <c r="O65" s="3">
        <v>0.77600000000000002</v>
      </c>
      <c r="P65" s="3">
        <v>1.978</v>
      </c>
      <c r="Q65" s="3">
        <v>0</v>
      </c>
      <c r="R65" s="3">
        <v>3.2080000000000002</v>
      </c>
      <c r="S65" s="3">
        <v>3.1179999999999999</v>
      </c>
      <c r="T65" s="3">
        <v>1E-3</v>
      </c>
      <c r="U65" s="3">
        <v>4.0000000000000001E-3</v>
      </c>
      <c r="V65" s="3">
        <v>0.23300000000000001</v>
      </c>
      <c r="W65" s="3">
        <v>2.7250000000000001</v>
      </c>
      <c r="X65" s="3">
        <v>4.1710000000000003</v>
      </c>
      <c r="Y65" s="3">
        <v>4.2240000000000002</v>
      </c>
      <c r="Z65" s="3">
        <v>1.63</v>
      </c>
      <c r="AA65" s="3">
        <v>2.5139999999999998</v>
      </c>
      <c r="AB65" s="3">
        <v>4.3079999999999998</v>
      </c>
      <c r="AC65" s="3">
        <v>4.0229999999999997</v>
      </c>
      <c r="AD65" s="3">
        <v>4.5490000000000004</v>
      </c>
      <c r="AE65" s="3">
        <v>1E-3</v>
      </c>
      <c r="AF65" s="3">
        <v>2.2240000000000002</v>
      </c>
      <c r="AG65" s="3">
        <v>2.15</v>
      </c>
      <c r="AH65" s="3">
        <v>5.1559999999999997</v>
      </c>
      <c r="AI65" s="3">
        <v>5.5679999999999996</v>
      </c>
      <c r="AJ65" s="3">
        <v>5.7590000000000003</v>
      </c>
      <c r="AK65" s="3">
        <v>7.9029999999999996</v>
      </c>
      <c r="AL65" s="3">
        <v>3.2000000000000001E-2</v>
      </c>
      <c r="AM65" s="3">
        <v>0</v>
      </c>
      <c r="AN65" s="3">
        <v>8.1850000000000005</v>
      </c>
      <c r="AO65" s="3">
        <v>1.6E-2</v>
      </c>
      <c r="AP65" s="3">
        <v>8.3260000000000005</v>
      </c>
      <c r="AQ65" s="3">
        <v>0.125</v>
      </c>
      <c r="AR65" s="3">
        <v>0</v>
      </c>
      <c r="AS65" s="3">
        <v>1.4999999999999999E-2</v>
      </c>
      <c r="AT65" s="3">
        <v>7.8E-2</v>
      </c>
      <c r="AU65" s="3">
        <v>0</v>
      </c>
      <c r="AV65" s="3">
        <v>1.484</v>
      </c>
      <c r="AW65" s="3">
        <v>3.1E-2</v>
      </c>
      <c r="AX65" s="3">
        <v>0</v>
      </c>
      <c r="AY65" s="3">
        <v>8.0139999999999993</v>
      </c>
      <c r="AZ65" s="3">
        <v>21.556999999999999</v>
      </c>
      <c r="BA65" s="3">
        <v>1.0309999999999999</v>
      </c>
      <c r="BB65" s="3">
        <v>24.728999999999999</v>
      </c>
      <c r="BC65" s="3">
        <v>30.04</v>
      </c>
      <c r="BD65" s="3">
        <v>0</v>
      </c>
      <c r="BE65" s="3">
        <v>1.6E-2</v>
      </c>
      <c r="BF65" s="3">
        <v>13.372</v>
      </c>
      <c r="BG65" s="3">
        <v>27.01</v>
      </c>
      <c r="BH65" s="3">
        <v>47.332999999999998</v>
      </c>
      <c r="BI65" s="3">
        <v>74.53</v>
      </c>
      <c r="BJ65" s="3">
        <v>12.590999999999999</v>
      </c>
      <c r="BK65" s="3">
        <v>20.48</v>
      </c>
      <c r="BL65" s="3">
        <v>0</v>
      </c>
      <c r="BM65" s="3">
        <v>41.631</v>
      </c>
      <c r="BN65" s="3">
        <v>53.081000000000003</v>
      </c>
      <c r="BO65" s="3">
        <v>52.284999999999997</v>
      </c>
      <c r="BP65" s="3">
        <v>28.337</v>
      </c>
      <c r="BQ65" s="3">
        <v>0.23400000000000001</v>
      </c>
      <c r="BR65" s="3">
        <v>58.002000000000002</v>
      </c>
      <c r="BS65" s="3">
        <v>55.581000000000003</v>
      </c>
      <c r="BT65" s="3">
        <v>81.355999999999995</v>
      </c>
      <c r="BU65" s="3">
        <v>78.543999999999997</v>
      </c>
      <c r="BV65" s="3">
        <v>0.111</v>
      </c>
      <c r="BW65" s="3">
        <v>0</v>
      </c>
      <c r="BX65" s="3">
        <v>0.67</v>
      </c>
      <c r="BY65" s="3">
        <v>1.1950000000000001</v>
      </c>
      <c r="BZ65" s="3">
        <v>1.0880000000000001</v>
      </c>
      <c r="CA65" s="3">
        <v>1.0109999999999999</v>
      </c>
      <c r="CB65" s="3">
        <v>2E-3</v>
      </c>
      <c r="CC65" s="3">
        <v>4.0000000000000001E-3</v>
      </c>
      <c r="CD65" s="3">
        <v>1E-3</v>
      </c>
      <c r="CE65" s="3">
        <v>1E-3</v>
      </c>
      <c r="CF65" s="3">
        <v>5.8999999999999997E-2</v>
      </c>
      <c r="CG65" s="3">
        <v>6.0000000000000001E-3</v>
      </c>
      <c r="CH65" s="3">
        <v>0.95099999999999996</v>
      </c>
      <c r="CI65" s="3">
        <v>0</v>
      </c>
      <c r="CJ65" s="3">
        <v>1.913</v>
      </c>
      <c r="CK65" s="3">
        <v>1.7749999999999999</v>
      </c>
      <c r="CL65" s="3">
        <v>0</v>
      </c>
      <c r="CM65" s="3">
        <v>0</v>
      </c>
      <c r="CN65" s="3">
        <v>1E-3</v>
      </c>
      <c r="CO65" s="3">
        <v>1.0999999999999999E-2</v>
      </c>
      <c r="CP65" s="3">
        <v>3.601</v>
      </c>
      <c r="CQ65" s="3">
        <v>1.0999999999999999E-2</v>
      </c>
      <c r="CR65" s="3">
        <v>5.0259999999999998</v>
      </c>
      <c r="CS65" s="3">
        <v>3.9670000000000001</v>
      </c>
      <c r="CT65" s="3">
        <v>0</v>
      </c>
      <c r="CU65" s="3">
        <v>1E-3</v>
      </c>
      <c r="CV65" s="3">
        <v>0</v>
      </c>
      <c r="CW65" s="3">
        <v>9.5000000000000001E-2</v>
      </c>
      <c r="CX65" s="3">
        <v>0</v>
      </c>
      <c r="CY65" s="3">
        <v>5.0999999999999997E-2</v>
      </c>
      <c r="CZ65" s="3">
        <v>2E-3</v>
      </c>
      <c r="DA65" s="3">
        <v>2.5999999999999999E-2</v>
      </c>
      <c r="DB65" s="3">
        <v>6.7649999999999997</v>
      </c>
      <c r="DC65" s="3">
        <v>7.43</v>
      </c>
      <c r="DD65" s="3">
        <v>8.9220000000000006</v>
      </c>
      <c r="DE65" s="3">
        <v>8.1069999999999993</v>
      </c>
      <c r="DF65" s="3">
        <v>6.3E-2</v>
      </c>
      <c r="DG65" s="3">
        <v>3.1560000000000001</v>
      </c>
      <c r="DH65" s="3">
        <v>0</v>
      </c>
      <c r="DI65" s="3">
        <v>9.2319999999999993</v>
      </c>
      <c r="DJ65" s="3">
        <v>0</v>
      </c>
      <c r="DK65" s="3">
        <v>9.952</v>
      </c>
      <c r="DL65" s="3">
        <v>0</v>
      </c>
      <c r="DM65" s="3">
        <v>0</v>
      </c>
      <c r="DN65" s="3">
        <v>7.8E-2</v>
      </c>
      <c r="DO65" s="3">
        <v>0</v>
      </c>
      <c r="DP65" s="3">
        <v>0.95299999999999996</v>
      </c>
      <c r="DQ65" s="3">
        <v>0.39100000000000001</v>
      </c>
      <c r="DR65" s="3">
        <v>0</v>
      </c>
      <c r="DS65" s="3">
        <v>0</v>
      </c>
      <c r="DT65" s="3">
        <v>22.416</v>
      </c>
      <c r="DU65" s="3">
        <v>15.621</v>
      </c>
      <c r="DV65" s="3">
        <v>1.4999999999999999E-2</v>
      </c>
      <c r="DW65" s="3">
        <v>1.4999999999999999E-2</v>
      </c>
      <c r="DX65" s="3">
        <v>1.6E-2</v>
      </c>
      <c r="DY65" s="3">
        <v>6.2E-2</v>
      </c>
      <c r="DZ65" s="3">
        <v>36.491</v>
      </c>
      <c r="EA65" s="3">
        <v>59.783000000000001</v>
      </c>
      <c r="EB65" s="3">
        <v>63</v>
      </c>
      <c r="EC65" s="3">
        <v>68.748999999999995</v>
      </c>
      <c r="ED65" s="3">
        <v>13.45</v>
      </c>
      <c r="EE65" s="3">
        <v>0.71899999999999997</v>
      </c>
      <c r="EF65" s="3">
        <v>45.457999999999998</v>
      </c>
      <c r="EG65" s="3">
        <v>33.695</v>
      </c>
      <c r="EH65" s="3">
        <v>54.003</v>
      </c>
      <c r="EI65" s="3">
        <v>52.972000000000001</v>
      </c>
      <c r="EJ65" s="3">
        <v>24.698</v>
      </c>
      <c r="EK65" s="3">
        <v>26.196999999999999</v>
      </c>
      <c r="EL65" s="3">
        <v>48.853000000000002</v>
      </c>
      <c r="EM65" s="3">
        <v>60.829000000000001</v>
      </c>
      <c r="EN65" s="3">
        <v>88.712999999999994</v>
      </c>
      <c r="EO65" s="3">
        <v>83.012</v>
      </c>
      <c r="EP65" s="3">
        <v>0.24299999999999999</v>
      </c>
      <c r="EQ65" s="3">
        <v>1.0999999999999999E-2</v>
      </c>
      <c r="ER65" s="3">
        <v>0.63400000000000001</v>
      </c>
      <c r="ES65" s="3">
        <v>1.7000000000000001E-2</v>
      </c>
      <c r="ET65" s="3">
        <v>0.97899999999999998</v>
      </c>
      <c r="EU65" s="3">
        <v>1.2170000000000001</v>
      </c>
      <c r="EV65" s="3">
        <v>1E-3</v>
      </c>
      <c r="EW65" s="3">
        <v>1E-3</v>
      </c>
      <c r="EX65" s="3">
        <v>2E-3</v>
      </c>
      <c r="EY65" s="3">
        <v>2E-3</v>
      </c>
      <c r="EZ65" s="3">
        <v>0.31900000000000001</v>
      </c>
      <c r="FA65" s="3">
        <v>4.0000000000000001E-3</v>
      </c>
      <c r="FB65" s="3">
        <v>0.06</v>
      </c>
      <c r="FC65" s="3">
        <v>1.012</v>
      </c>
      <c r="FD65" s="3">
        <v>1.9</v>
      </c>
      <c r="FE65" s="3">
        <v>0</v>
      </c>
      <c r="FF65" s="3">
        <v>3.04</v>
      </c>
      <c r="FG65" s="3">
        <v>3.8130000000000002</v>
      </c>
      <c r="FH65" s="3">
        <v>8.9999999999999993E-3</v>
      </c>
      <c r="FI65" s="3">
        <v>0.01</v>
      </c>
      <c r="FJ65" s="3">
        <v>0.80300000000000005</v>
      </c>
      <c r="FK65" s="3">
        <v>3.7999999999999999E-2</v>
      </c>
      <c r="FL65" s="3">
        <v>5.5789999999999997</v>
      </c>
      <c r="FM65" s="3">
        <v>4.1660000000000004</v>
      </c>
      <c r="FN65" s="3">
        <v>0</v>
      </c>
      <c r="FO65" s="3">
        <v>1.9139999999999999</v>
      </c>
      <c r="FP65" s="3">
        <v>0</v>
      </c>
      <c r="FQ65" s="3">
        <v>5.0149999999999997</v>
      </c>
      <c r="FR65" s="3">
        <v>6.3470000000000004</v>
      </c>
      <c r="FS65" s="3">
        <v>0.25600000000000001</v>
      </c>
      <c r="FT65" s="3">
        <v>1.706</v>
      </c>
      <c r="FU65" s="3">
        <v>2.101</v>
      </c>
      <c r="FV65" s="3">
        <v>5.2220000000000004</v>
      </c>
      <c r="FW65" s="3">
        <v>4.6790000000000003</v>
      </c>
      <c r="FX65" s="3">
        <v>8.1010000000000009</v>
      </c>
      <c r="FY65" s="3">
        <v>8.4030000000000005</v>
      </c>
      <c r="FZ65" s="3">
        <v>2.2810000000000001</v>
      </c>
      <c r="GA65" s="3">
        <v>4.5999999999999999E-2</v>
      </c>
      <c r="GB65" s="3">
        <v>7.2949999999999999</v>
      </c>
      <c r="GC65" s="3">
        <v>9.1850000000000005</v>
      </c>
      <c r="GD65" s="3">
        <v>0</v>
      </c>
      <c r="GE65" s="3">
        <v>0.17199999999999999</v>
      </c>
      <c r="GF65" s="3">
        <v>1.4999999999999999E-2</v>
      </c>
      <c r="GG65" s="3">
        <v>3.1E-2</v>
      </c>
      <c r="GH65" s="3">
        <v>1.4999999999999999E-2</v>
      </c>
      <c r="GI65" s="3">
        <v>1.4999999999999999E-2</v>
      </c>
      <c r="GJ65" s="3">
        <v>4.7E-2</v>
      </c>
      <c r="GK65" s="3">
        <v>0.53100000000000003</v>
      </c>
      <c r="GL65" s="3">
        <v>6.6870000000000003</v>
      </c>
      <c r="GM65" s="3">
        <v>8.7789999999999999</v>
      </c>
      <c r="GN65" s="3">
        <v>23.698</v>
      </c>
      <c r="GO65" s="3">
        <v>20.026</v>
      </c>
      <c r="GP65" s="3">
        <v>0</v>
      </c>
      <c r="GQ65" s="3">
        <v>1.6E-2</v>
      </c>
      <c r="GR65" s="3">
        <v>1.4999999999999999E-2</v>
      </c>
      <c r="GS65" s="3">
        <v>1.093</v>
      </c>
      <c r="GT65" s="3">
        <v>45.692</v>
      </c>
      <c r="GU65" s="3">
        <v>7.2949999999999999</v>
      </c>
      <c r="GV65" s="3">
        <v>50.784999999999997</v>
      </c>
      <c r="GW65" s="3">
        <v>60.454999999999998</v>
      </c>
      <c r="GX65" s="3">
        <v>2.9369999999999998</v>
      </c>
      <c r="GY65" s="3">
        <v>0</v>
      </c>
      <c r="GZ65" s="3">
        <v>0</v>
      </c>
      <c r="HA65" s="3">
        <v>35.039000000000001</v>
      </c>
      <c r="HB65" s="3">
        <v>51.174999999999997</v>
      </c>
      <c r="HC65" s="3">
        <v>0</v>
      </c>
      <c r="HD65" s="3">
        <v>21.213999999999999</v>
      </c>
      <c r="HE65" s="3">
        <v>28.478000000000002</v>
      </c>
      <c r="HF65" s="3">
        <v>48.853000000000002</v>
      </c>
      <c r="HG65" s="3">
        <v>50.91</v>
      </c>
      <c r="HH65" s="3">
        <v>75.793999999999997</v>
      </c>
      <c r="HI65" s="3">
        <v>80.95</v>
      </c>
      <c r="HJ65" s="3">
        <v>2.9000000000000001E-2</v>
      </c>
      <c r="HK65" s="3">
        <v>0.129</v>
      </c>
      <c r="HL65" s="3">
        <v>0.77900000000000003</v>
      </c>
      <c r="HM65" s="3">
        <v>1.0269999999999999</v>
      </c>
      <c r="HN65" s="3">
        <v>0.97499999999999998</v>
      </c>
      <c r="HO65" s="3">
        <v>2E-3</v>
      </c>
      <c r="HP65" s="3">
        <v>0</v>
      </c>
      <c r="HQ65" s="3">
        <v>2E-3</v>
      </c>
      <c r="HR65" s="3">
        <v>1E-3</v>
      </c>
      <c r="HS65" s="3">
        <v>8.9999999999999993E-3</v>
      </c>
      <c r="HT65" s="3">
        <v>8.9999999999999993E-3</v>
      </c>
      <c r="HU65" s="3">
        <v>4.0000000000000001E-3</v>
      </c>
      <c r="HV65" s="3">
        <v>0</v>
      </c>
      <c r="HW65" s="3">
        <v>1.3140000000000001</v>
      </c>
      <c r="HX65" s="3">
        <v>1.859</v>
      </c>
      <c r="HY65" s="3">
        <v>0</v>
      </c>
      <c r="HZ65" s="3">
        <v>2.8250000000000002</v>
      </c>
      <c r="IA65" s="3">
        <v>0</v>
      </c>
      <c r="IB65" s="3">
        <v>2E-3</v>
      </c>
      <c r="IC65" s="3">
        <v>2E-3</v>
      </c>
      <c r="ID65" s="3">
        <v>0.26</v>
      </c>
      <c r="IE65" s="3">
        <v>3.351</v>
      </c>
      <c r="IF65" s="3">
        <v>4.4130000000000003</v>
      </c>
      <c r="IG65" s="3">
        <v>5.1310000000000002</v>
      </c>
      <c r="IH65" s="3">
        <v>5.0000000000000001E-3</v>
      </c>
      <c r="II65" s="3">
        <v>3.0139999999999998</v>
      </c>
      <c r="IJ65" s="3">
        <v>4.3520000000000003</v>
      </c>
      <c r="IK65" s="3">
        <v>4.2729999999999997</v>
      </c>
      <c r="IL65" s="3">
        <v>0</v>
      </c>
      <c r="IM65" s="3">
        <v>0</v>
      </c>
      <c r="IN65" s="3">
        <v>3.0000000000000001E-3</v>
      </c>
      <c r="IO65" s="3">
        <v>1.9E-2</v>
      </c>
      <c r="IP65" s="3">
        <v>6.6189999999999998</v>
      </c>
      <c r="IQ65" s="3">
        <v>5.1970000000000001</v>
      </c>
      <c r="IR65" s="3">
        <v>7.63</v>
      </c>
      <c r="IS65" s="3">
        <v>8.2270000000000003</v>
      </c>
      <c r="IT65" s="3">
        <v>7.8E-2</v>
      </c>
      <c r="IU65" s="3">
        <v>2.4369999999999998</v>
      </c>
      <c r="IV65" s="3">
        <v>7.1859999999999999</v>
      </c>
      <c r="IW65" s="3">
        <v>0.59299999999999997</v>
      </c>
      <c r="IX65" s="3">
        <v>7.7320000000000002</v>
      </c>
      <c r="IY65" s="3">
        <v>0</v>
      </c>
      <c r="IZ65" s="3">
        <v>1.6E-2</v>
      </c>
      <c r="JA65" s="3">
        <v>0</v>
      </c>
      <c r="JB65" s="3">
        <v>1.6E-2</v>
      </c>
      <c r="JC65" s="3">
        <v>1.6E-2</v>
      </c>
      <c r="JD65" s="3">
        <v>11.451000000000001</v>
      </c>
      <c r="JE65" s="3">
        <v>0.25</v>
      </c>
      <c r="JF65" s="3">
        <v>8.3729999999999993</v>
      </c>
      <c r="JG65" s="3">
        <v>0</v>
      </c>
      <c r="JH65" s="3">
        <v>0</v>
      </c>
      <c r="JI65" s="3">
        <v>0</v>
      </c>
      <c r="JJ65" s="3">
        <v>0</v>
      </c>
      <c r="JK65" s="3">
        <v>26.15</v>
      </c>
      <c r="JL65" s="3">
        <v>6.3E-2</v>
      </c>
      <c r="JM65" s="3">
        <v>1.4999999999999999E-2</v>
      </c>
      <c r="JN65" s="3">
        <v>35.804000000000002</v>
      </c>
      <c r="JO65" s="3">
        <v>39.537999999999997</v>
      </c>
      <c r="JP65" s="3">
        <v>46.817</v>
      </c>
      <c r="JQ65" s="3">
        <v>51.003</v>
      </c>
      <c r="JR65" s="3">
        <v>0</v>
      </c>
      <c r="JS65" s="3">
        <v>19.058</v>
      </c>
      <c r="JT65" s="3">
        <v>31.102</v>
      </c>
      <c r="JU65" s="3">
        <v>0</v>
      </c>
      <c r="JV65" s="3">
        <v>51.783999999999999</v>
      </c>
      <c r="JW65" s="3">
        <v>8.6229999999999993</v>
      </c>
      <c r="JX65" s="3">
        <v>30.914999999999999</v>
      </c>
      <c r="JY65" s="3">
        <v>25.838000000000001</v>
      </c>
      <c r="JZ65" s="3">
        <v>51.093000000000004</v>
      </c>
      <c r="KA65" s="3">
        <v>51.91</v>
      </c>
      <c r="KB65" s="3">
        <v>89.978999999999999</v>
      </c>
      <c r="KC65" s="3">
        <v>73.716999999999999</v>
      </c>
      <c r="KD65" s="3">
        <v>0</v>
      </c>
      <c r="KE65" s="3">
        <v>0.52100000000000002</v>
      </c>
      <c r="KF65" s="3">
        <v>3.2000000000000001E-2</v>
      </c>
      <c r="KG65" s="3">
        <v>0.79100000000000004</v>
      </c>
      <c r="KH65" s="3">
        <v>0.95599999999999996</v>
      </c>
      <c r="KI65" s="3">
        <v>1.67</v>
      </c>
      <c r="KJ65" s="3">
        <v>1E-3</v>
      </c>
      <c r="KK65" s="3">
        <v>1E-3</v>
      </c>
      <c r="KL65" s="3">
        <v>1E-3</v>
      </c>
      <c r="KM65" s="3">
        <v>5.0000000000000001E-3</v>
      </c>
      <c r="KN65" s="3">
        <v>6.0999999999999999E-2</v>
      </c>
      <c r="KO65" s="3">
        <v>5.0000000000000001E-3</v>
      </c>
      <c r="KP65" s="3">
        <v>0</v>
      </c>
      <c r="KQ65" s="3">
        <v>1.375</v>
      </c>
      <c r="KR65" s="3">
        <v>1.393</v>
      </c>
      <c r="KS65" s="3">
        <v>2.6339999999999999</v>
      </c>
      <c r="KT65" s="3">
        <v>0</v>
      </c>
      <c r="KU65" s="3">
        <v>0</v>
      </c>
      <c r="KV65" s="3">
        <v>2E-3</v>
      </c>
      <c r="KW65" s="3">
        <v>2E-3</v>
      </c>
      <c r="KX65" s="3">
        <v>3.5000000000000003E-2</v>
      </c>
      <c r="KY65" s="3">
        <v>3.9E-2</v>
      </c>
      <c r="KZ65" s="3">
        <v>5.3579999999999997</v>
      </c>
      <c r="LA65" s="3">
        <v>5.2370000000000001</v>
      </c>
      <c r="LB65" s="3">
        <v>1.6479999999999999</v>
      </c>
      <c r="LC65" s="3">
        <v>0</v>
      </c>
      <c r="LD65" s="3">
        <v>3.5649999999999999</v>
      </c>
      <c r="LE65" s="3">
        <v>3.8919999999999999</v>
      </c>
      <c r="LF65" s="3">
        <v>0</v>
      </c>
      <c r="LG65" s="3">
        <v>2E-3</v>
      </c>
      <c r="LH65" s="3">
        <v>1E-3</v>
      </c>
      <c r="LI65" s="3">
        <v>2.0590000000000002</v>
      </c>
      <c r="LJ65" s="3">
        <v>5.3620000000000001</v>
      </c>
      <c r="LK65" s="3">
        <v>6.4409999999999998</v>
      </c>
      <c r="LL65" s="3">
        <v>7.4989999999999997</v>
      </c>
      <c r="LM65" s="3">
        <v>8.9329999999999998</v>
      </c>
      <c r="LN65" s="3">
        <v>0</v>
      </c>
      <c r="LO65" s="3">
        <v>0</v>
      </c>
      <c r="LP65" s="3">
        <v>7.5289999999999999</v>
      </c>
      <c r="LQ65" s="3">
        <v>6.9669999999999996</v>
      </c>
      <c r="LR65" s="3">
        <v>8.7789999999999999</v>
      </c>
      <c r="LS65" s="3">
        <v>9.0139999999999993</v>
      </c>
      <c r="LT65" s="3">
        <v>1.4999999999999999E-2</v>
      </c>
      <c r="LU65" s="3">
        <v>1.6E-2</v>
      </c>
      <c r="LV65" s="3">
        <v>0</v>
      </c>
      <c r="LW65" s="3">
        <v>1.6E-2</v>
      </c>
      <c r="LX65" s="3">
        <v>1.64</v>
      </c>
      <c r="LY65" s="3">
        <v>4.0149999999999997</v>
      </c>
      <c r="LZ65" s="3">
        <v>7.9820000000000002</v>
      </c>
      <c r="MA65" s="3">
        <v>0</v>
      </c>
      <c r="MB65" s="3">
        <v>17.012</v>
      </c>
      <c r="MC65" s="3">
        <v>0</v>
      </c>
      <c r="MD65" s="3">
        <v>28.728000000000002</v>
      </c>
      <c r="ME65" s="3">
        <v>0</v>
      </c>
      <c r="MF65" s="3">
        <v>1.6E-2</v>
      </c>
      <c r="MG65" s="3">
        <v>6.3E-2</v>
      </c>
      <c r="MH65" s="3">
        <v>31.792000000000002</v>
      </c>
      <c r="MI65" s="3">
        <v>0</v>
      </c>
      <c r="MJ65" s="3">
        <v>53.878</v>
      </c>
      <c r="MK65" s="3">
        <v>56.627000000000002</v>
      </c>
      <c r="ML65" s="3">
        <v>16.59</v>
      </c>
      <c r="MM65" s="3">
        <v>0</v>
      </c>
      <c r="MN65" s="3">
        <v>32.991999999999997</v>
      </c>
      <c r="MO65" s="3">
        <v>40.662999999999997</v>
      </c>
      <c r="MP65" s="3">
        <v>0</v>
      </c>
      <c r="MQ65" s="3">
        <v>1.6E-2</v>
      </c>
      <c r="MR65" s="3">
        <v>19.838999999999999</v>
      </c>
      <c r="MS65" s="3">
        <v>2.077</v>
      </c>
      <c r="MT65" s="3">
        <v>55.023000000000003</v>
      </c>
      <c r="MU65" s="3">
        <v>47.021000000000001</v>
      </c>
      <c r="MV65" s="3">
        <v>88.212999999999994</v>
      </c>
      <c r="MW65" s="3">
        <v>79.668999999999997</v>
      </c>
    </row>
    <row r="66" spans="1:363" x14ac:dyDescent="0.3">
      <c r="A66" s="3">
        <v>24</v>
      </c>
      <c r="B66" s="3">
        <v>0.45800000000000002</v>
      </c>
      <c r="C66" s="3">
        <v>0</v>
      </c>
      <c r="D66" s="3">
        <v>0.74</v>
      </c>
      <c r="E66" s="3">
        <v>1.0089999999999999</v>
      </c>
      <c r="F66" s="3">
        <v>2E-3</v>
      </c>
      <c r="G66" s="3">
        <v>1.6339999999999999</v>
      </c>
      <c r="H66" s="3">
        <v>1E-3</v>
      </c>
      <c r="I66" s="3">
        <v>2E-3</v>
      </c>
      <c r="J66" s="3">
        <v>2E-3</v>
      </c>
      <c r="K66" s="3">
        <v>2.1000000000000001E-2</v>
      </c>
      <c r="L66" s="3">
        <v>1.7000000000000001E-2</v>
      </c>
      <c r="M66" s="3">
        <v>2.5000000000000001E-2</v>
      </c>
      <c r="N66" s="3">
        <v>0.65600000000000003</v>
      </c>
      <c r="O66" s="3">
        <v>0.83399999999999996</v>
      </c>
      <c r="P66" s="3">
        <v>1.9850000000000001</v>
      </c>
      <c r="Q66" s="3">
        <v>0</v>
      </c>
      <c r="R66" s="3">
        <v>3.327</v>
      </c>
      <c r="S66" s="3">
        <v>2.968</v>
      </c>
      <c r="T66" s="3">
        <v>2E-3</v>
      </c>
      <c r="U66" s="3">
        <v>3.0000000000000001E-3</v>
      </c>
      <c r="V66" s="3">
        <v>1.716</v>
      </c>
      <c r="W66" s="3">
        <v>2.6669999999999998</v>
      </c>
      <c r="X66" s="3">
        <v>3.7480000000000002</v>
      </c>
      <c r="Y66" s="3">
        <v>4.5759999999999996</v>
      </c>
      <c r="Z66" s="3">
        <v>1.556</v>
      </c>
      <c r="AA66" s="3">
        <v>3.468</v>
      </c>
      <c r="AB66" s="3">
        <v>4.0970000000000004</v>
      </c>
      <c r="AC66" s="3">
        <v>4.1950000000000003</v>
      </c>
      <c r="AD66" s="3">
        <v>4.4870000000000001</v>
      </c>
      <c r="AE66" s="3">
        <v>0</v>
      </c>
      <c r="AF66" s="3">
        <v>2.0710000000000002</v>
      </c>
      <c r="AG66" s="3">
        <v>2.3340000000000001</v>
      </c>
      <c r="AH66" s="3">
        <v>5.3230000000000004</v>
      </c>
      <c r="AI66" s="3">
        <v>5.1879999999999997</v>
      </c>
      <c r="AJ66" s="3">
        <v>5.6520000000000001</v>
      </c>
      <c r="AK66" s="3">
        <v>9.5579999999999998</v>
      </c>
      <c r="AL66" s="3">
        <v>0</v>
      </c>
      <c r="AM66" s="3">
        <v>0</v>
      </c>
      <c r="AN66" s="3">
        <v>6.7949999999999999</v>
      </c>
      <c r="AO66" s="3">
        <v>0.109</v>
      </c>
      <c r="AP66" s="3">
        <v>7.7480000000000002</v>
      </c>
      <c r="AQ66" s="3">
        <v>0.109</v>
      </c>
      <c r="AR66" s="3">
        <v>1.6E-2</v>
      </c>
      <c r="AS66" s="3">
        <v>1.6E-2</v>
      </c>
      <c r="AT66" s="3">
        <v>3.2000000000000001E-2</v>
      </c>
      <c r="AU66" s="3">
        <v>1.4999999999999999E-2</v>
      </c>
      <c r="AV66" s="3">
        <v>2.9060000000000001</v>
      </c>
      <c r="AW66" s="3">
        <v>0.109</v>
      </c>
      <c r="AX66" s="3">
        <v>1.6E-2</v>
      </c>
      <c r="AY66" s="3">
        <v>7.7009999999999996</v>
      </c>
      <c r="AZ66" s="3">
        <v>21.495000000000001</v>
      </c>
      <c r="BA66" s="3">
        <v>1.4999999999999999E-2</v>
      </c>
      <c r="BB66" s="3">
        <v>25.338000000000001</v>
      </c>
      <c r="BC66" s="3">
        <v>29.137</v>
      </c>
      <c r="BD66" s="3">
        <v>0</v>
      </c>
      <c r="BE66" s="3">
        <v>3.1E-2</v>
      </c>
      <c r="BF66" s="3">
        <v>2.218</v>
      </c>
      <c r="BG66" s="3">
        <v>3.4359999999999999</v>
      </c>
      <c r="BH66" s="3">
        <v>51.174999999999997</v>
      </c>
      <c r="BI66" s="3">
        <v>69.811000000000007</v>
      </c>
      <c r="BJ66" s="3">
        <v>12.528</v>
      </c>
      <c r="BK66" s="3">
        <v>20.948</v>
      </c>
      <c r="BL66" s="3">
        <v>0</v>
      </c>
      <c r="BM66" s="3">
        <v>47.692</v>
      </c>
      <c r="BN66" s="3">
        <v>56.097000000000001</v>
      </c>
      <c r="BO66" s="3">
        <v>52.69</v>
      </c>
      <c r="BP66" s="3">
        <v>28.227</v>
      </c>
      <c r="BQ66" s="3">
        <v>4.9989999999999997</v>
      </c>
      <c r="BR66" s="3">
        <v>59.781999999999996</v>
      </c>
      <c r="BS66" s="3">
        <v>56.220999999999997</v>
      </c>
      <c r="BT66" s="3">
        <v>87.76</v>
      </c>
      <c r="BU66" s="3">
        <v>76.778999999999996</v>
      </c>
      <c r="BV66" s="3">
        <v>0.13</v>
      </c>
      <c r="BW66" s="3">
        <v>0</v>
      </c>
      <c r="BX66" s="3">
        <v>0.67100000000000004</v>
      </c>
      <c r="BY66" s="3">
        <v>1.1419999999999999</v>
      </c>
      <c r="BZ66" s="3">
        <v>1.02</v>
      </c>
      <c r="CA66" s="3">
        <v>1.0589999999999999</v>
      </c>
      <c r="CB66" s="3">
        <v>2E-3</v>
      </c>
      <c r="CC66" s="3">
        <v>2E-3</v>
      </c>
      <c r="CD66" s="3">
        <v>2E-3</v>
      </c>
      <c r="CE66" s="3">
        <v>1E-3</v>
      </c>
      <c r="CF66" s="3">
        <v>7.0000000000000001E-3</v>
      </c>
      <c r="CG66" s="3">
        <v>5.0000000000000001E-3</v>
      </c>
      <c r="CH66" s="3">
        <v>0.94799999999999995</v>
      </c>
      <c r="CI66" s="3">
        <v>1E-3</v>
      </c>
      <c r="CJ66" s="3">
        <v>1.9630000000000001</v>
      </c>
      <c r="CK66" s="3">
        <v>1.819</v>
      </c>
      <c r="CL66" s="3">
        <v>0</v>
      </c>
      <c r="CM66" s="3">
        <v>0</v>
      </c>
      <c r="CN66" s="3">
        <v>1E-3</v>
      </c>
      <c r="CO66" s="3">
        <v>1.4E-2</v>
      </c>
      <c r="CP66" s="3">
        <v>3.706</v>
      </c>
      <c r="CQ66" s="3">
        <v>0.01</v>
      </c>
      <c r="CR66" s="3">
        <v>5.1150000000000002</v>
      </c>
      <c r="CS66" s="3">
        <v>4.1509999999999998</v>
      </c>
      <c r="CT66" s="3">
        <v>0</v>
      </c>
      <c r="CU66" s="3">
        <v>0</v>
      </c>
      <c r="CV66" s="3">
        <v>0</v>
      </c>
      <c r="CW66" s="3">
        <v>0.02</v>
      </c>
      <c r="CX66" s="3">
        <v>0</v>
      </c>
      <c r="CY66" s="3">
        <v>6.0999999999999999E-2</v>
      </c>
      <c r="CZ66" s="3">
        <v>3.0000000000000001E-3</v>
      </c>
      <c r="DA66" s="3">
        <v>0.03</v>
      </c>
      <c r="DB66" s="3">
        <v>6.5709999999999997</v>
      </c>
      <c r="DC66" s="3">
        <v>8.0519999999999996</v>
      </c>
      <c r="DD66" s="3">
        <v>8.2260000000000009</v>
      </c>
      <c r="DE66" s="3">
        <v>9.0549999999999997</v>
      </c>
      <c r="DF66" s="3">
        <v>7.8E-2</v>
      </c>
      <c r="DG66" s="3">
        <v>3.1240000000000001</v>
      </c>
      <c r="DH66" s="3">
        <v>0</v>
      </c>
      <c r="DI66" s="3">
        <v>8.7330000000000005</v>
      </c>
      <c r="DJ66" s="3">
        <v>0</v>
      </c>
      <c r="DK66" s="3">
        <v>11.029</v>
      </c>
      <c r="DL66" s="3">
        <v>0</v>
      </c>
      <c r="DM66" s="3">
        <v>0</v>
      </c>
      <c r="DN66" s="3">
        <v>7.8E-2</v>
      </c>
      <c r="DO66" s="3">
        <v>1.6E-2</v>
      </c>
      <c r="DP66" s="3">
        <v>0.39</v>
      </c>
      <c r="DQ66" s="3">
        <v>4.5999999999999999E-2</v>
      </c>
      <c r="DR66" s="3">
        <v>0</v>
      </c>
      <c r="DS66" s="3">
        <v>0</v>
      </c>
      <c r="DT66" s="3">
        <v>21.98</v>
      </c>
      <c r="DU66" s="3">
        <v>15.231</v>
      </c>
      <c r="DV66" s="3">
        <v>0</v>
      </c>
      <c r="DW66" s="3">
        <v>0</v>
      </c>
      <c r="DX66" s="3">
        <v>1.6E-2</v>
      </c>
      <c r="DY66" s="3">
        <v>9.4E-2</v>
      </c>
      <c r="DZ66" s="3">
        <v>0.86</v>
      </c>
      <c r="EA66" s="3">
        <v>58.454999999999998</v>
      </c>
      <c r="EB66" s="3">
        <v>63.656999999999996</v>
      </c>
      <c r="EC66" s="3">
        <v>68.39</v>
      </c>
      <c r="ED66" s="3">
        <v>13.435</v>
      </c>
      <c r="EE66" s="3">
        <v>0.51500000000000001</v>
      </c>
      <c r="EF66" s="3">
        <v>46.005000000000003</v>
      </c>
      <c r="EG66" s="3">
        <v>33.633000000000003</v>
      </c>
      <c r="EH66" s="3">
        <v>53.112000000000002</v>
      </c>
      <c r="EI66" s="3">
        <v>53.284999999999997</v>
      </c>
      <c r="EJ66" s="3">
        <v>21.338000000000001</v>
      </c>
      <c r="EK66" s="3">
        <v>30.571000000000002</v>
      </c>
      <c r="EL66" s="3">
        <v>47.994</v>
      </c>
      <c r="EM66" s="3">
        <v>55.378</v>
      </c>
      <c r="EN66" s="3">
        <v>87.905000000000001</v>
      </c>
      <c r="EO66" s="3">
        <v>76.028999999999996</v>
      </c>
      <c r="EP66" s="3">
        <v>0.109</v>
      </c>
      <c r="EQ66" s="3">
        <v>5.0000000000000001E-3</v>
      </c>
      <c r="ER66" s="3">
        <v>0.63700000000000001</v>
      </c>
      <c r="ES66" s="3">
        <v>5.0000000000000001E-3</v>
      </c>
      <c r="ET66" s="3">
        <v>1.079</v>
      </c>
      <c r="EU66" s="3">
        <v>1.331</v>
      </c>
      <c r="EV66" s="3">
        <v>1E-3</v>
      </c>
      <c r="EW66" s="3">
        <v>1E-3</v>
      </c>
      <c r="EX66" s="3">
        <v>1E-3</v>
      </c>
      <c r="EY66" s="3">
        <v>2E-3</v>
      </c>
      <c r="EZ66" s="3">
        <v>4.0000000000000001E-3</v>
      </c>
      <c r="FA66" s="3">
        <v>3.0000000000000001E-3</v>
      </c>
      <c r="FB66" s="3">
        <v>5.1999999999999998E-2</v>
      </c>
      <c r="FC66" s="3">
        <v>1.218</v>
      </c>
      <c r="FD66" s="3">
        <v>2.0049999999999999</v>
      </c>
      <c r="FE66" s="3">
        <v>0</v>
      </c>
      <c r="FF66" s="3">
        <v>2.8809999999999998</v>
      </c>
      <c r="FG66" s="3">
        <v>4.8109999999999999</v>
      </c>
      <c r="FH66" s="3">
        <v>2E-3</v>
      </c>
      <c r="FI66" s="3">
        <v>1.6E-2</v>
      </c>
      <c r="FJ66" s="3">
        <v>0.38</v>
      </c>
      <c r="FK66" s="3">
        <v>0.157</v>
      </c>
      <c r="FL66" s="3">
        <v>5.8490000000000002</v>
      </c>
      <c r="FM66" s="3">
        <v>3.8530000000000002</v>
      </c>
      <c r="FN66" s="3">
        <v>1E-3</v>
      </c>
      <c r="FO66" s="3">
        <v>1.6259999999999999</v>
      </c>
      <c r="FP66" s="3">
        <v>0</v>
      </c>
      <c r="FQ66" s="3">
        <v>4.835</v>
      </c>
      <c r="FR66" s="3">
        <v>5.899</v>
      </c>
      <c r="FS66" s="3">
        <v>0.64200000000000002</v>
      </c>
      <c r="FT66" s="3">
        <v>1.6080000000000001</v>
      </c>
      <c r="FU66" s="3">
        <v>1.88</v>
      </c>
      <c r="FV66" s="3">
        <v>5.1859999999999999</v>
      </c>
      <c r="FW66" s="3">
        <v>4.8220000000000001</v>
      </c>
      <c r="FX66" s="3">
        <v>9.048</v>
      </c>
      <c r="FY66" s="3">
        <v>8.2119999999999997</v>
      </c>
      <c r="FZ66" s="3">
        <v>2.0779999999999998</v>
      </c>
      <c r="GA66" s="3">
        <v>1.6E-2</v>
      </c>
      <c r="GB66" s="3">
        <v>8.1069999999999993</v>
      </c>
      <c r="GC66" s="3">
        <v>8.4049999999999994</v>
      </c>
      <c r="GD66" s="3">
        <v>0</v>
      </c>
      <c r="GE66" s="3">
        <v>1.5149999999999999</v>
      </c>
      <c r="GF66" s="3">
        <v>0</v>
      </c>
      <c r="GG66" s="3">
        <v>3.1E-2</v>
      </c>
      <c r="GH66" s="3">
        <v>1.6E-2</v>
      </c>
      <c r="GI66" s="3">
        <v>9.4E-2</v>
      </c>
      <c r="GJ66" s="3">
        <v>2.5619999999999998</v>
      </c>
      <c r="GK66" s="3">
        <v>1.984</v>
      </c>
      <c r="GL66" s="3">
        <v>7.2949999999999999</v>
      </c>
      <c r="GM66" s="3">
        <v>8.0609999999999999</v>
      </c>
      <c r="GN66" s="3">
        <v>24.4</v>
      </c>
      <c r="GO66" s="3">
        <v>20.402000000000001</v>
      </c>
      <c r="GP66" s="3">
        <v>0</v>
      </c>
      <c r="GQ66" s="3">
        <v>0</v>
      </c>
      <c r="GR66" s="3">
        <v>0</v>
      </c>
      <c r="GS66" s="3">
        <v>0.48499999999999999</v>
      </c>
      <c r="GT66" s="3">
        <v>46.097999999999999</v>
      </c>
      <c r="GU66" s="3">
        <v>3.4369999999999998</v>
      </c>
      <c r="GV66" s="3">
        <v>66.671999999999997</v>
      </c>
      <c r="GW66" s="3">
        <v>59.142000000000003</v>
      </c>
      <c r="GX66" s="3">
        <v>12.997</v>
      </c>
      <c r="GY66" s="3">
        <v>0</v>
      </c>
      <c r="GZ66" s="3">
        <v>1.4999999999999999E-2</v>
      </c>
      <c r="HA66" s="3">
        <v>35.32</v>
      </c>
      <c r="HB66" s="3">
        <v>51.582000000000001</v>
      </c>
      <c r="HC66" s="3">
        <v>1.6E-2</v>
      </c>
      <c r="HD66" s="3">
        <v>21.62</v>
      </c>
      <c r="HE66" s="3">
        <v>26.009</v>
      </c>
      <c r="HF66" s="3">
        <v>47.994</v>
      </c>
      <c r="HG66" s="3">
        <v>56.33</v>
      </c>
      <c r="HH66" s="3">
        <v>69.093000000000004</v>
      </c>
      <c r="HI66" s="3">
        <v>78.138000000000005</v>
      </c>
      <c r="HJ66" s="3">
        <v>2.1000000000000001E-2</v>
      </c>
      <c r="HK66" s="3">
        <v>0.14499999999999999</v>
      </c>
      <c r="HL66" s="3">
        <v>0.93400000000000005</v>
      </c>
      <c r="HM66" s="3">
        <v>0.93500000000000005</v>
      </c>
      <c r="HN66" s="3">
        <v>0.94699999999999995</v>
      </c>
      <c r="HO66" s="3">
        <v>1E-3</v>
      </c>
      <c r="HP66" s="3">
        <v>0</v>
      </c>
      <c r="HQ66" s="3">
        <v>2E-3</v>
      </c>
      <c r="HR66" s="3">
        <v>1.2E-2</v>
      </c>
      <c r="HS66" s="3">
        <v>8.9999999999999993E-3</v>
      </c>
      <c r="HT66" s="3">
        <v>8.0000000000000002E-3</v>
      </c>
      <c r="HU66" s="3">
        <v>4.0000000000000001E-3</v>
      </c>
      <c r="HV66" s="3">
        <v>1E-3</v>
      </c>
      <c r="HW66" s="3">
        <v>0.97299999999999998</v>
      </c>
      <c r="HX66" s="3">
        <v>1.774</v>
      </c>
      <c r="HY66" s="3">
        <v>0</v>
      </c>
      <c r="HZ66" s="3">
        <v>2.649</v>
      </c>
      <c r="IA66" s="3">
        <v>0</v>
      </c>
      <c r="IB66" s="3">
        <v>5.0000000000000001E-3</v>
      </c>
      <c r="IC66" s="3">
        <v>1E-3</v>
      </c>
      <c r="ID66" s="3">
        <v>0.03</v>
      </c>
      <c r="IE66" s="3">
        <v>3.1480000000000001</v>
      </c>
      <c r="IF66" s="3">
        <v>5.0970000000000004</v>
      </c>
      <c r="IG66" s="3">
        <v>5.0030000000000001</v>
      </c>
      <c r="IH66" s="3">
        <v>2E-3</v>
      </c>
      <c r="II66" s="3">
        <v>3.2050000000000001</v>
      </c>
      <c r="IJ66" s="3">
        <v>4.4359999999999999</v>
      </c>
      <c r="IK66" s="3">
        <v>4.3250000000000002</v>
      </c>
      <c r="IL66" s="3">
        <v>0</v>
      </c>
      <c r="IM66" s="3">
        <v>1E-3</v>
      </c>
      <c r="IN66" s="3">
        <v>5.0000000000000001E-3</v>
      </c>
      <c r="IO66" s="3">
        <v>2.8000000000000001E-2</v>
      </c>
      <c r="IP66" s="3">
        <v>6.0259999999999998</v>
      </c>
      <c r="IQ66" s="3">
        <v>5.4779999999999998</v>
      </c>
      <c r="IR66" s="3">
        <v>6.3949999999999996</v>
      </c>
      <c r="IS66" s="3">
        <v>9.0370000000000008</v>
      </c>
      <c r="IT66" s="3">
        <v>0</v>
      </c>
      <c r="IU66" s="3">
        <v>2.2029999999999998</v>
      </c>
      <c r="IV66" s="3">
        <v>7.1079999999999997</v>
      </c>
      <c r="IW66" s="3">
        <v>1.6E-2</v>
      </c>
      <c r="IX66" s="3">
        <v>7.8730000000000002</v>
      </c>
      <c r="IY66" s="3">
        <v>0.188</v>
      </c>
      <c r="IZ66" s="3">
        <v>0</v>
      </c>
      <c r="JA66" s="3">
        <v>0</v>
      </c>
      <c r="JB66" s="3">
        <v>0</v>
      </c>
      <c r="JC66" s="3">
        <v>4.5999999999999999E-2</v>
      </c>
      <c r="JD66" s="3">
        <v>10.715999999999999</v>
      </c>
      <c r="JE66" s="3">
        <v>3.1E-2</v>
      </c>
      <c r="JF66" s="3">
        <v>8.1229999999999993</v>
      </c>
      <c r="JG66" s="3">
        <v>1.4999999999999999E-2</v>
      </c>
      <c r="JH66" s="3">
        <v>0</v>
      </c>
      <c r="JI66" s="3">
        <v>0</v>
      </c>
      <c r="JJ66" s="3">
        <v>0</v>
      </c>
      <c r="JK66" s="3">
        <v>27.119</v>
      </c>
      <c r="JL66" s="3">
        <v>0.14000000000000001</v>
      </c>
      <c r="JM66" s="3">
        <v>3.2000000000000001E-2</v>
      </c>
      <c r="JN66" s="3">
        <v>4.7489999999999997</v>
      </c>
      <c r="JO66" s="3">
        <v>42.286999999999999</v>
      </c>
      <c r="JP66" s="3">
        <v>51.768999999999998</v>
      </c>
      <c r="JQ66" s="3">
        <v>51.472000000000001</v>
      </c>
      <c r="JR66" s="3">
        <v>0</v>
      </c>
      <c r="JS66" s="3">
        <v>19.683</v>
      </c>
      <c r="JT66" s="3">
        <v>31.227</v>
      </c>
      <c r="JU66" s="3">
        <v>0</v>
      </c>
      <c r="JV66" s="3">
        <v>53.595999999999997</v>
      </c>
      <c r="JW66" s="3">
        <v>0.81299999999999994</v>
      </c>
      <c r="JX66" s="3">
        <v>26.931000000000001</v>
      </c>
      <c r="JY66" s="3">
        <v>22.071999999999999</v>
      </c>
      <c r="JZ66" s="3">
        <v>46.582999999999998</v>
      </c>
      <c r="KA66" s="3">
        <v>59.173000000000002</v>
      </c>
      <c r="KB66" s="3">
        <v>79.340999999999994</v>
      </c>
      <c r="KC66" s="3">
        <v>74.545000000000002</v>
      </c>
      <c r="KD66" s="3">
        <v>1E-3</v>
      </c>
      <c r="KE66" s="3">
        <v>0.52200000000000002</v>
      </c>
      <c r="KF66" s="3">
        <v>0.104</v>
      </c>
      <c r="KG66" s="3">
        <v>0.73799999999999999</v>
      </c>
      <c r="KH66" s="3">
        <v>1.268</v>
      </c>
      <c r="KI66" s="3">
        <v>2</v>
      </c>
      <c r="KJ66" s="3">
        <v>1E-3</v>
      </c>
      <c r="KK66" s="3">
        <v>1E-3</v>
      </c>
      <c r="KL66" s="3">
        <v>2E-3</v>
      </c>
      <c r="KM66" s="3">
        <v>8.9999999999999993E-3</v>
      </c>
      <c r="KN66" s="3">
        <v>1.4E-2</v>
      </c>
      <c r="KO66" s="3">
        <v>8.0000000000000002E-3</v>
      </c>
      <c r="KP66" s="3">
        <v>0</v>
      </c>
      <c r="KQ66" s="3">
        <v>1.232</v>
      </c>
      <c r="KR66" s="3">
        <v>1.476</v>
      </c>
      <c r="KS66" s="3">
        <v>2.8969999999999998</v>
      </c>
      <c r="KT66" s="3">
        <v>0</v>
      </c>
      <c r="KU66" s="3">
        <v>0</v>
      </c>
      <c r="KV66" s="3">
        <v>1E-3</v>
      </c>
      <c r="KW66" s="3">
        <v>2E-3</v>
      </c>
      <c r="KX66" s="3">
        <v>0.23899999999999999</v>
      </c>
      <c r="KY66" s="3">
        <v>3.4000000000000002E-2</v>
      </c>
      <c r="KZ66" s="3">
        <v>5.1660000000000004</v>
      </c>
      <c r="LA66" s="3">
        <v>5.1230000000000002</v>
      </c>
      <c r="LB66" s="3">
        <v>1.7490000000000001</v>
      </c>
      <c r="LC66" s="3">
        <v>0</v>
      </c>
      <c r="LD66" s="3">
        <v>3.61</v>
      </c>
      <c r="LE66" s="3">
        <v>4.2089999999999996</v>
      </c>
      <c r="LF66" s="3">
        <v>0</v>
      </c>
      <c r="LG66" s="3">
        <v>2E-3</v>
      </c>
      <c r="LH66" s="3">
        <v>2E-3</v>
      </c>
      <c r="LI66" s="3">
        <v>1.9410000000000001</v>
      </c>
      <c r="LJ66" s="3">
        <v>5.181</v>
      </c>
      <c r="LK66" s="3">
        <v>5.9749999999999996</v>
      </c>
      <c r="LL66" s="3">
        <v>7.8209999999999997</v>
      </c>
      <c r="LM66" s="3">
        <v>9.5809999999999995</v>
      </c>
      <c r="LN66" s="3">
        <v>1.4999999999999999E-2</v>
      </c>
      <c r="LO66" s="3">
        <v>1.4999999999999999E-2</v>
      </c>
      <c r="LP66" s="3">
        <v>7.9050000000000002</v>
      </c>
      <c r="LQ66" s="3">
        <v>0.54700000000000004</v>
      </c>
      <c r="LR66" s="3">
        <v>8.7639999999999993</v>
      </c>
      <c r="LS66" s="3">
        <v>9.7010000000000005</v>
      </c>
      <c r="LT66" s="3">
        <v>0</v>
      </c>
      <c r="LU66" s="3">
        <v>0</v>
      </c>
      <c r="LV66" s="3">
        <v>0</v>
      </c>
      <c r="LW66" s="3">
        <v>1.6E-2</v>
      </c>
      <c r="LX66" s="3">
        <v>3.5150000000000001</v>
      </c>
      <c r="LY66" s="3">
        <v>3.5459999999999998</v>
      </c>
      <c r="LZ66" s="3">
        <v>8.4979999999999993</v>
      </c>
      <c r="MA66" s="3">
        <v>0</v>
      </c>
      <c r="MB66" s="3">
        <v>17.713999999999999</v>
      </c>
      <c r="MC66" s="3">
        <v>0</v>
      </c>
      <c r="MD66" s="3">
        <v>27.696000000000002</v>
      </c>
      <c r="ME66" s="3">
        <v>0</v>
      </c>
      <c r="MF66" s="3">
        <v>0</v>
      </c>
      <c r="MG66" s="3">
        <v>0.187</v>
      </c>
      <c r="MH66" s="3">
        <v>33.554000000000002</v>
      </c>
      <c r="MI66" s="3">
        <v>1.4999999999999999E-2</v>
      </c>
      <c r="MJ66" s="3">
        <v>45.738999999999997</v>
      </c>
      <c r="MK66" s="3">
        <v>63.662999999999997</v>
      </c>
      <c r="ML66" s="3">
        <v>16.059000000000001</v>
      </c>
      <c r="MM66" s="3">
        <v>0</v>
      </c>
      <c r="MN66" s="3">
        <v>32.960999999999999</v>
      </c>
      <c r="MO66" s="3">
        <v>40.911999999999999</v>
      </c>
      <c r="MP66" s="3">
        <v>1.6E-2</v>
      </c>
      <c r="MQ66" s="3">
        <v>0</v>
      </c>
      <c r="MR66" s="3">
        <v>20.12</v>
      </c>
      <c r="MS66" s="3">
        <v>0.188</v>
      </c>
      <c r="MT66" s="3">
        <v>53.081000000000003</v>
      </c>
      <c r="MU66" s="3">
        <v>47.817</v>
      </c>
      <c r="MV66" s="3">
        <v>78.876999999999995</v>
      </c>
      <c r="MW66" s="3">
        <v>87.12</v>
      </c>
    </row>
    <row r="67" spans="1:363" x14ac:dyDescent="0.3">
      <c r="A67" s="3">
        <v>25</v>
      </c>
      <c r="B67" s="3">
        <v>0.43099999999999999</v>
      </c>
      <c r="C67" s="3">
        <v>0</v>
      </c>
      <c r="D67" s="3">
        <v>0.80300000000000005</v>
      </c>
      <c r="E67" s="3">
        <v>1.0129999999999999</v>
      </c>
      <c r="F67" s="3">
        <v>0</v>
      </c>
      <c r="G67" s="3">
        <v>1.7410000000000001</v>
      </c>
      <c r="H67" s="3">
        <v>1E-3</v>
      </c>
      <c r="I67" s="3">
        <v>1E-3</v>
      </c>
      <c r="J67" s="3">
        <v>2E-3</v>
      </c>
      <c r="K67" s="3">
        <v>6.0000000000000001E-3</v>
      </c>
      <c r="L67" s="3">
        <v>5.0000000000000001E-3</v>
      </c>
      <c r="M67" s="3">
        <v>2.5999999999999999E-2</v>
      </c>
      <c r="N67" s="3">
        <v>0.73099999999999998</v>
      </c>
      <c r="O67" s="3">
        <v>0.79900000000000004</v>
      </c>
      <c r="P67" s="3">
        <v>2.02</v>
      </c>
      <c r="Q67" s="3">
        <v>0</v>
      </c>
      <c r="R67" s="3">
        <v>3.2240000000000002</v>
      </c>
      <c r="S67" s="3">
        <v>2.9710000000000001</v>
      </c>
      <c r="T67" s="3">
        <v>1E-3</v>
      </c>
      <c r="U67" s="3">
        <v>8.0000000000000002E-3</v>
      </c>
      <c r="V67" s="3">
        <v>0.58599999999999997</v>
      </c>
      <c r="W67" s="3">
        <v>2.7839999999999998</v>
      </c>
      <c r="X67" s="3">
        <v>3.7410000000000001</v>
      </c>
      <c r="Y67" s="3">
        <v>4.5259999999999998</v>
      </c>
      <c r="Z67" s="3">
        <v>1.573</v>
      </c>
      <c r="AA67" s="3">
        <v>3.3650000000000002</v>
      </c>
      <c r="AB67" s="3">
        <v>4.4530000000000003</v>
      </c>
      <c r="AC67" s="3">
        <v>3.97</v>
      </c>
      <c r="AD67" s="3">
        <v>4.569</v>
      </c>
      <c r="AE67" s="3">
        <v>1E-3</v>
      </c>
      <c r="AF67" s="3">
        <v>2.16</v>
      </c>
      <c r="AG67" s="3">
        <v>2.4140000000000001</v>
      </c>
      <c r="AH67" s="3">
        <v>5.548</v>
      </c>
      <c r="AI67" s="3">
        <v>5.069</v>
      </c>
      <c r="AJ67" s="3">
        <v>5.944</v>
      </c>
      <c r="AK67" s="3">
        <v>8.2889999999999997</v>
      </c>
      <c r="AL67" s="3">
        <v>0</v>
      </c>
      <c r="AM67" s="3">
        <v>0</v>
      </c>
      <c r="AN67" s="3">
        <v>8.0139999999999993</v>
      </c>
      <c r="AO67" s="3">
        <v>6.2E-2</v>
      </c>
      <c r="AP67" s="3">
        <v>8.452</v>
      </c>
      <c r="AQ67" s="3">
        <v>0.14099999999999999</v>
      </c>
      <c r="AR67" s="3">
        <v>0</v>
      </c>
      <c r="AS67" s="3">
        <v>1.6E-2</v>
      </c>
      <c r="AT67" s="3">
        <v>0.17199999999999999</v>
      </c>
      <c r="AU67" s="3">
        <v>7.8E-2</v>
      </c>
      <c r="AV67" s="3">
        <v>1.484</v>
      </c>
      <c r="AW67" s="3">
        <v>0.89100000000000001</v>
      </c>
      <c r="AX67" s="3">
        <v>0</v>
      </c>
      <c r="AY67" s="3">
        <v>7.4210000000000003</v>
      </c>
      <c r="AZ67" s="3">
        <v>23.728000000000002</v>
      </c>
      <c r="BA67" s="3">
        <v>5.577</v>
      </c>
      <c r="BB67" s="3">
        <v>24.291</v>
      </c>
      <c r="BC67" s="3">
        <v>29.181000000000001</v>
      </c>
      <c r="BD67" s="3">
        <v>1.6E-2</v>
      </c>
      <c r="BE67" s="3">
        <v>1.6E-2</v>
      </c>
      <c r="BF67" s="3">
        <v>22.151</v>
      </c>
      <c r="BG67" s="3">
        <v>17.792999999999999</v>
      </c>
      <c r="BH67" s="3">
        <v>52.863</v>
      </c>
      <c r="BI67" s="3">
        <v>68.375</v>
      </c>
      <c r="BJ67" s="3">
        <v>11.904</v>
      </c>
      <c r="BK67" s="3">
        <v>23.994</v>
      </c>
      <c r="BL67" s="3">
        <v>0</v>
      </c>
      <c r="BM67" s="3">
        <v>42.067999999999998</v>
      </c>
      <c r="BN67" s="3">
        <v>53.113</v>
      </c>
      <c r="BO67" s="3">
        <v>52.503999999999998</v>
      </c>
      <c r="BP67" s="3">
        <v>27.9</v>
      </c>
      <c r="BQ67" s="3">
        <v>8.2789999999999999</v>
      </c>
      <c r="BR67" s="3">
        <v>55.158999999999999</v>
      </c>
      <c r="BS67" s="3">
        <v>56.470999999999997</v>
      </c>
      <c r="BT67" s="3">
        <v>73.584000000000003</v>
      </c>
      <c r="BU67" s="3">
        <v>79.808999999999997</v>
      </c>
      <c r="BV67" s="3">
        <v>0.11700000000000001</v>
      </c>
      <c r="BW67" s="3">
        <v>0</v>
      </c>
      <c r="BX67" s="3">
        <v>0.66600000000000004</v>
      </c>
      <c r="BY67" s="3">
        <v>1.173</v>
      </c>
      <c r="BZ67" s="3">
        <v>0.223</v>
      </c>
      <c r="CA67" s="3">
        <v>1.0640000000000001</v>
      </c>
      <c r="CB67" s="3">
        <v>3.0000000000000001E-3</v>
      </c>
      <c r="CC67" s="3">
        <v>3.0000000000000001E-3</v>
      </c>
      <c r="CD67" s="3">
        <v>1E-3</v>
      </c>
      <c r="CE67" s="3">
        <v>1E-3</v>
      </c>
      <c r="CF67" s="3">
        <v>0.04</v>
      </c>
      <c r="CG67" s="3">
        <v>7.0000000000000001E-3</v>
      </c>
      <c r="CH67" s="3">
        <v>0.93200000000000005</v>
      </c>
      <c r="CI67" s="3">
        <v>1E-3</v>
      </c>
      <c r="CJ67" s="3">
        <v>1.7669999999999999</v>
      </c>
      <c r="CK67" s="3">
        <v>1.998</v>
      </c>
      <c r="CL67" s="3">
        <v>0</v>
      </c>
      <c r="CM67" s="3">
        <v>0</v>
      </c>
      <c r="CN67" s="3">
        <v>1.0999999999999999E-2</v>
      </c>
      <c r="CO67" s="3">
        <v>4.9000000000000002E-2</v>
      </c>
      <c r="CP67" s="3">
        <v>3.8959999999999999</v>
      </c>
      <c r="CQ67" s="3">
        <v>1.2E-2</v>
      </c>
      <c r="CR67" s="3">
        <v>5.1529999999999996</v>
      </c>
      <c r="CS67" s="3">
        <v>3.9550000000000001</v>
      </c>
      <c r="CT67" s="3">
        <v>1E-3</v>
      </c>
      <c r="CU67" s="3">
        <v>0</v>
      </c>
      <c r="CV67" s="3">
        <v>0</v>
      </c>
      <c r="CW67" s="3">
        <v>4.0000000000000001E-3</v>
      </c>
      <c r="CX67" s="3">
        <v>0</v>
      </c>
      <c r="CY67" s="3">
        <v>0.1</v>
      </c>
      <c r="CZ67" s="3">
        <v>3.0000000000000001E-3</v>
      </c>
      <c r="DA67" s="3">
        <v>1.2E-2</v>
      </c>
      <c r="DB67" s="3">
        <v>6.3150000000000004</v>
      </c>
      <c r="DC67" s="3">
        <v>7.3079999999999998</v>
      </c>
      <c r="DD67" s="3">
        <v>8.2330000000000005</v>
      </c>
      <c r="DE67" s="3">
        <v>8.4179999999999993</v>
      </c>
      <c r="DF67" s="3">
        <v>0.17199999999999999</v>
      </c>
      <c r="DG67" s="3">
        <v>3.1560000000000001</v>
      </c>
      <c r="DH67" s="3">
        <v>0</v>
      </c>
      <c r="DI67" s="3">
        <v>7.8890000000000002</v>
      </c>
      <c r="DJ67" s="3">
        <v>0</v>
      </c>
      <c r="DK67" s="3">
        <v>10.074999999999999</v>
      </c>
      <c r="DL67" s="3">
        <v>0</v>
      </c>
      <c r="DM67" s="3">
        <v>0</v>
      </c>
      <c r="DN67" s="3">
        <v>1.6E-2</v>
      </c>
      <c r="DO67" s="3">
        <v>0</v>
      </c>
      <c r="DP67" s="3">
        <v>1.0780000000000001</v>
      </c>
      <c r="DQ67" s="3">
        <v>0.11</v>
      </c>
      <c r="DR67" s="3">
        <v>0</v>
      </c>
      <c r="DS67" s="3">
        <v>0</v>
      </c>
      <c r="DT67" s="3">
        <v>22.931999999999999</v>
      </c>
      <c r="DU67" s="3">
        <v>15.45</v>
      </c>
      <c r="DV67" s="3">
        <v>0</v>
      </c>
      <c r="DW67" s="3">
        <v>0</v>
      </c>
      <c r="DX67" s="3">
        <v>0</v>
      </c>
      <c r="DY67" s="3">
        <v>0.187</v>
      </c>
      <c r="DZ67" s="3">
        <v>35.07</v>
      </c>
      <c r="EA67" s="3">
        <v>53.05</v>
      </c>
      <c r="EB67" s="3">
        <v>68.281000000000006</v>
      </c>
      <c r="EC67" s="3">
        <v>70.015000000000001</v>
      </c>
      <c r="ED67" s="3">
        <v>13.59</v>
      </c>
      <c r="EE67" s="3">
        <v>0.32800000000000001</v>
      </c>
      <c r="EF67" s="3">
        <v>47.052</v>
      </c>
      <c r="EG67" s="3">
        <v>33.93</v>
      </c>
      <c r="EH67" s="3">
        <v>52.613</v>
      </c>
      <c r="EI67" s="3">
        <v>54.081000000000003</v>
      </c>
      <c r="EJ67" s="3">
        <v>22.417000000000002</v>
      </c>
      <c r="EK67" s="3">
        <v>27.446000000000002</v>
      </c>
      <c r="EL67" s="3">
        <v>48.738999999999997</v>
      </c>
      <c r="EM67" s="3">
        <v>59.235999999999997</v>
      </c>
      <c r="EN67" s="3">
        <v>82.637</v>
      </c>
      <c r="EO67" s="3">
        <v>82.73</v>
      </c>
      <c r="EP67" s="3">
        <v>0.215</v>
      </c>
      <c r="EQ67" s="3">
        <v>1.2E-2</v>
      </c>
      <c r="ER67" s="3">
        <v>0.61199999999999999</v>
      </c>
      <c r="ES67" s="3">
        <v>7.0000000000000001E-3</v>
      </c>
      <c r="ET67" s="3">
        <v>1.1339999999999999</v>
      </c>
      <c r="EU67" s="3">
        <v>1.1879999999999999</v>
      </c>
      <c r="EV67" s="3">
        <v>1E-3</v>
      </c>
      <c r="EW67" s="3">
        <v>1E-3</v>
      </c>
      <c r="EX67" s="3">
        <v>2E-3</v>
      </c>
      <c r="EY67" s="3">
        <v>2E-3</v>
      </c>
      <c r="EZ67" s="3">
        <v>0.19500000000000001</v>
      </c>
      <c r="FA67" s="3">
        <v>4.0000000000000001E-3</v>
      </c>
      <c r="FB67" s="3">
        <v>7.6999999999999999E-2</v>
      </c>
      <c r="FC67" s="3">
        <v>1.0469999999999999</v>
      </c>
      <c r="FD67" s="3">
        <v>1.9219999999999999</v>
      </c>
      <c r="FE67" s="3">
        <v>0</v>
      </c>
      <c r="FF67" s="3">
        <v>2.81</v>
      </c>
      <c r="FG67" s="3">
        <v>4.4829999999999997</v>
      </c>
      <c r="FH67" s="3">
        <v>3.4000000000000002E-2</v>
      </c>
      <c r="FI67" s="3">
        <v>1.2999999999999999E-2</v>
      </c>
      <c r="FJ67" s="3">
        <v>3.1E-2</v>
      </c>
      <c r="FK67" s="3">
        <v>4.5999999999999999E-2</v>
      </c>
      <c r="FL67" s="3">
        <v>5.3280000000000003</v>
      </c>
      <c r="FM67" s="3">
        <v>3.738</v>
      </c>
      <c r="FN67" s="3">
        <v>1E-3</v>
      </c>
      <c r="FO67" s="3">
        <v>1.974</v>
      </c>
      <c r="FP67" s="3">
        <v>0</v>
      </c>
      <c r="FQ67" s="3">
        <v>4.431</v>
      </c>
      <c r="FR67" s="3">
        <v>6.8239999999999998</v>
      </c>
      <c r="FS67" s="3">
        <v>1.8540000000000001</v>
      </c>
      <c r="FT67" s="3">
        <v>1.708</v>
      </c>
      <c r="FU67" s="3">
        <v>1.952</v>
      </c>
      <c r="FV67" s="3">
        <v>5.4119999999999999</v>
      </c>
      <c r="FW67" s="3">
        <v>4.601</v>
      </c>
      <c r="FX67" s="3">
        <v>7.952</v>
      </c>
      <c r="FY67" s="3">
        <v>7.702</v>
      </c>
      <c r="FZ67" s="3">
        <v>2.1240000000000001</v>
      </c>
      <c r="GA67" s="3">
        <v>3.1E-2</v>
      </c>
      <c r="GB67" s="3">
        <v>7.4669999999999996</v>
      </c>
      <c r="GC67" s="3">
        <v>9.0909999999999993</v>
      </c>
      <c r="GD67" s="3">
        <v>0</v>
      </c>
      <c r="GE67" s="3">
        <v>0.157</v>
      </c>
      <c r="GF67" s="3">
        <v>0</v>
      </c>
      <c r="GG67" s="3">
        <v>1.6E-2</v>
      </c>
      <c r="GH67" s="3">
        <v>1.6E-2</v>
      </c>
      <c r="GI67" s="3">
        <v>1.6E-2</v>
      </c>
      <c r="GJ67" s="3">
        <v>0.26600000000000001</v>
      </c>
      <c r="GK67" s="3">
        <v>0.79700000000000004</v>
      </c>
      <c r="GL67" s="3">
        <v>7.31</v>
      </c>
      <c r="GM67" s="3">
        <v>7.9980000000000002</v>
      </c>
      <c r="GN67" s="3">
        <v>27.431999999999999</v>
      </c>
      <c r="GO67" s="3">
        <v>23.37</v>
      </c>
      <c r="GP67" s="3">
        <v>0</v>
      </c>
      <c r="GQ67" s="3">
        <v>0</v>
      </c>
      <c r="GR67" s="3">
        <v>1.6E-2</v>
      </c>
      <c r="GS67" s="3">
        <v>0.32800000000000001</v>
      </c>
      <c r="GT67" s="3">
        <v>41.865000000000002</v>
      </c>
      <c r="GU67" s="3">
        <v>16.762</v>
      </c>
      <c r="GV67" s="3">
        <v>64.093999999999994</v>
      </c>
      <c r="GW67" s="3">
        <v>63.048000000000002</v>
      </c>
      <c r="GX67" s="3">
        <v>13.621</v>
      </c>
      <c r="GY67" s="3">
        <v>0</v>
      </c>
      <c r="GZ67" s="3">
        <v>0</v>
      </c>
      <c r="HA67" s="3">
        <v>35.100999999999999</v>
      </c>
      <c r="HB67" s="3">
        <v>51.424999999999997</v>
      </c>
      <c r="HC67" s="3">
        <v>0</v>
      </c>
      <c r="HD67" s="3">
        <v>21.103999999999999</v>
      </c>
      <c r="HE67" s="3">
        <v>25.556000000000001</v>
      </c>
      <c r="HF67" s="3">
        <v>48.738999999999997</v>
      </c>
      <c r="HG67" s="3">
        <v>53.018999999999998</v>
      </c>
      <c r="HH67" s="3">
        <v>68.882000000000005</v>
      </c>
      <c r="HI67" s="3">
        <v>76.263000000000005</v>
      </c>
      <c r="HJ67" s="3">
        <v>2.4E-2</v>
      </c>
      <c r="HK67" s="3">
        <v>0.112</v>
      </c>
      <c r="HL67" s="3">
        <v>0.90400000000000003</v>
      </c>
      <c r="HM67" s="3">
        <v>0.97599999999999998</v>
      </c>
      <c r="HN67" s="3">
        <v>1.02</v>
      </c>
      <c r="HO67" s="3">
        <v>1E-3</v>
      </c>
      <c r="HP67" s="3">
        <v>0</v>
      </c>
      <c r="HQ67" s="3">
        <v>2E-3</v>
      </c>
      <c r="HR67" s="3">
        <v>1E-3</v>
      </c>
      <c r="HS67" s="3">
        <v>4.0000000000000001E-3</v>
      </c>
      <c r="HT67" s="3">
        <v>4.0000000000000001E-3</v>
      </c>
      <c r="HU67" s="3">
        <v>5.0000000000000001E-3</v>
      </c>
      <c r="HV67" s="3">
        <v>0</v>
      </c>
      <c r="HW67" s="3">
        <v>1.0940000000000001</v>
      </c>
      <c r="HX67" s="3">
        <v>1.849</v>
      </c>
      <c r="HY67" s="3">
        <v>0</v>
      </c>
      <c r="HZ67" s="3">
        <v>2.7519999999999998</v>
      </c>
      <c r="IA67" s="3">
        <v>1E-3</v>
      </c>
      <c r="IB67" s="3">
        <v>2E-3</v>
      </c>
      <c r="IC67" s="3">
        <v>1E-3</v>
      </c>
      <c r="ID67" s="3">
        <v>0.16700000000000001</v>
      </c>
      <c r="IE67" s="3">
        <v>2.8530000000000002</v>
      </c>
      <c r="IF67" s="3">
        <v>4.6520000000000001</v>
      </c>
      <c r="IG67" s="3">
        <v>4.8410000000000002</v>
      </c>
      <c r="IH67" s="3">
        <v>1E-3</v>
      </c>
      <c r="II67" s="3">
        <v>3.5310000000000001</v>
      </c>
      <c r="IJ67" s="3">
        <v>4.6970000000000001</v>
      </c>
      <c r="IK67" s="3">
        <v>4.444</v>
      </c>
      <c r="IL67" s="3">
        <v>0</v>
      </c>
      <c r="IM67" s="3">
        <v>1E-3</v>
      </c>
      <c r="IN67" s="3">
        <v>2.8000000000000001E-2</v>
      </c>
      <c r="IO67" s="3">
        <v>0.11700000000000001</v>
      </c>
      <c r="IP67" s="3">
        <v>6.3869999999999996</v>
      </c>
      <c r="IQ67" s="3">
        <v>5.1849999999999996</v>
      </c>
      <c r="IR67" s="3">
        <v>7.069</v>
      </c>
      <c r="IS67" s="3">
        <v>9.84</v>
      </c>
      <c r="IT67" s="3">
        <v>1.6E-2</v>
      </c>
      <c r="IU67" s="3">
        <v>2.4359999999999999</v>
      </c>
      <c r="IV67" s="3">
        <v>7.5609999999999999</v>
      </c>
      <c r="IW67" s="3">
        <v>4.718</v>
      </c>
      <c r="IX67" s="3">
        <v>8.0139999999999993</v>
      </c>
      <c r="IY67" s="3">
        <v>0</v>
      </c>
      <c r="IZ67" s="3">
        <v>0</v>
      </c>
      <c r="JA67" s="3">
        <v>0</v>
      </c>
      <c r="JB67" s="3">
        <v>3.1E-2</v>
      </c>
      <c r="JC67" s="3">
        <v>1.6E-2</v>
      </c>
      <c r="JD67" s="3">
        <v>11.029</v>
      </c>
      <c r="JE67" s="3">
        <v>4.7E-2</v>
      </c>
      <c r="JF67" s="3">
        <v>8.4049999999999994</v>
      </c>
      <c r="JG67" s="3">
        <v>0</v>
      </c>
      <c r="JH67" s="3">
        <v>0</v>
      </c>
      <c r="JI67" s="3">
        <v>0</v>
      </c>
      <c r="JJ67" s="3">
        <v>0</v>
      </c>
      <c r="JK67" s="3">
        <v>26.041</v>
      </c>
      <c r="JL67" s="3">
        <v>1.6E-2</v>
      </c>
      <c r="JM67" s="3">
        <v>0</v>
      </c>
      <c r="JN67" s="3">
        <v>31.335999999999999</v>
      </c>
      <c r="JO67" s="3">
        <v>39.146999999999998</v>
      </c>
      <c r="JP67" s="3">
        <v>51.941000000000003</v>
      </c>
      <c r="JQ67" s="3">
        <v>50.91</v>
      </c>
      <c r="JR67" s="3">
        <v>1.4999999999999999E-2</v>
      </c>
      <c r="JS67" s="3">
        <v>19.542000000000002</v>
      </c>
      <c r="JT67" s="3">
        <v>31.164000000000001</v>
      </c>
      <c r="JU67" s="3">
        <v>0</v>
      </c>
      <c r="JV67" s="3">
        <v>52.753</v>
      </c>
      <c r="JW67" s="3">
        <v>2.3580000000000001</v>
      </c>
      <c r="JX67" s="3">
        <v>30.446000000000002</v>
      </c>
      <c r="JY67" s="3">
        <v>22.885999999999999</v>
      </c>
      <c r="JZ67" s="3">
        <v>48.317</v>
      </c>
      <c r="KA67" s="3">
        <v>55.003</v>
      </c>
      <c r="KB67" s="3">
        <v>76.668999999999997</v>
      </c>
      <c r="KC67" s="3">
        <v>80.2</v>
      </c>
      <c r="KD67" s="3">
        <v>0</v>
      </c>
      <c r="KE67" s="3">
        <v>0.495</v>
      </c>
      <c r="KF67" s="3">
        <v>1.0999999999999999E-2</v>
      </c>
      <c r="KG67" s="3">
        <v>0.73099999999999998</v>
      </c>
      <c r="KH67" s="3">
        <v>1.2450000000000001</v>
      </c>
      <c r="KI67" s="3">
        <v>1.923</v>
      </c>
      <c r="KJ67" s="3">
        <v>0</v>
      </c>
      <c r="KK67" s="3">
        <v>0</v>
      </c>
      <c r="KL67" s="3">
        <v>3.0000000000000001E-3</v>
      </c>
      <c r="KM67" s="3">
        <v>3.0000000000000001E-3</v>
      </c>
      <c r="KN67" s="3">
        <v>2.7E-2</v>
      </c>
      <c r="KO67" s="3">
        <v>5.0000000000000001E-3</v>
      </c>
      <c r="KP67" s="3">
        <v>0</v>
      </c>
      <c r="KQ67" s="3">
        <v>1.111</v>
      </c>
      <c r="KR67" s="3">
        <v>1.379</v>
      </c>
      <c r="KS67" s="3">
        <v>2.7589999999999999</v>
      </c>
      <c r="KT67" s="3">
        <v>0</v>
      </c>
      <c r="KU67" s="3">
        <v>1E-3</v>
      </c>
      <c r="KV67" s="3">
        <v>1E-3</v>
      </c>
      <c r="KW67" s="3">
        <v>2E-3</v>
      </c>
      <c r="KX67" s="3">
        <v>0.25900000000000001</v>
      </c>
      <c r="KY67" s="3">
        <v>0.10100000000000001</v>
      </c>
      <c r="KZ67" s="3">
        <v>5.2050000000000001</v>
      </c>
      <c r="LA67" s="3">
        <v>4.8659999999999997</v>
      </c>
      <c r="LB67" s="3">
        <v>1.6559999999999999</v>
      </c>
      <c r="LC67" s="3">
        <v>0</v>
      </c>
      <c r="LD67" s="3">
        <v>3.4340000000000002</v>
      </c>
      <c r="LE67" s="3">
        <v>3.9129999999999998</v>
      </c>
      <c r="LF67" s="3">
        <v>0</v>
      </c>
      <c r="LG67" s="3">
        <v>2E-3</v>
      </c>
      <c r="LH67" s="3">
        <v>2E-3</v>
      </c>
      <c r="LI67" s="3">
        <v>1.9670000000000001</v>
      </c>
      <c r="LJ67" s="3">
        <v>5.5220000000000002</v>
      </c>
      <c r="LK67" s="3">
        <v>5.819</v>
      </c>
      <c r="LL67" s="3">
        <v>7.99</v>
      </c>
      <c r="LM67" s="3">
        <v>9.5719999999999992</v>
      </c>
      <c r="LN67" s="3">
        <v>6.3E-2</v>
      </c>
      <c r="LO67" s="3">
        <v>1.6E-2</v>
      </c>
      <c r="LP67" s="3">
        <v>7.9660000000000002</v>
      </c>
      <c r="LQ67" s="3">
        <v>6.7169999999999996</v>
      </c>
      <c r="LR67" s="3">
        <v>8.9350000000000005</v>
      </c>
      <c r="LS67" s="3">
        <v>11.044</v>
      </c>
      <c r="LT67" s="3">
        <v>0</v>
      </c>
      <c r="LU67" s="3">
        <v>1.6E-2</v>
      </c>
      <c r="LV67" s="3">
        <v>3.1E-2</v>
      </c>
      <c r="LW67" s="3">
        <v>1.4999999999999999E-2</v>
      </c>
      <c r="LX67" s="3">
        <v>5.1079999999999997</v>
      </c>
      <c r="LY67" s="3">
        <v>1.8580000000000001</v>
      </c>
      <c r="LZ67" s="3">
        <v>8.7479999999999993</v>
      </c>
      <c r="MA67" s="3">
        <v>0</v>
      </c>
      <c r="MB67" s="3">
        <v>16.559000000000001</v>
      </c>
      <c r="MC67" s="3">
        <v>0</v>
      </c>
      <c r="MD67" s="3">
        <v>28.416</v>
      </c>
      <c r="ME67" s="3">
        <v>0</v>
      </c>
      <c r="MF67" s="3">
        <v>1.4999999999999999E-2</v>
      </c>
      <c r="MG67" s="3">
        <v>0.109</v>
      </c>
      <c r="MH67" s="3">
        <v>32.712000000000003</v>
      </c>
      <c r="MI67" s="3">
        <v>6.3E-2</v>
      </c>
      <c r="MJ67" s="3">
        <v>55.362000000000002</v>
      </c>
      <c r="MK67" s="3">
        <v>56.237000000000002</v>
      </c>
      <c r="ML67" s="3">
        <v>16.542999999999999</v>
      </c>
      <c r="MM67" s="3">
        <v>0</v>
      </c>
      <c r="MN67" s="3">
        <v>33.039000000000001</v>
      </c>
      <c r="MO67" s="3">
        <v>42.832999999999998</v>
      </c>
      <c r="MP67" s="3">
        <v>0</v>
      </c>
      <c r="MQ67" s="3">
        <v>0</v>
      </c>
      <c r="MR67" s="3">
        <v>18.808</v>
      </c>
      <c r="MS67" s="3">
        <v>2.234</v>
      </c>
      <c r="MT67" s="3">
        <v>55.204999999999998</v>
      </c>
      <c r="MU67" s="3">
        <v>43.99</v>
      </c>
      <c r="MV67" s="3">
        <v>91.477999999999994</v>
      </c>
      <c r="MW67" s="3">
        <v>92.082999999999998</v>
      </c>
    </row>
    <row r="68" spans="1:363" x14ac:dyDescent="0.3">
      <c r="A68" s="3">
        <v>26</v>
      </c>
      <c r="B68" s="3">
        <v>0.48799999999999999</v>
      </c>
      <c r="C68" s="3">
        <v>0</v>
      </c>
      <c r="D68" s="3">
        <v>0.74399999999999999</v>
      </c>
      <c r="E68" s="3">
        <v>1.018</v>
      </c>
      <c r="F68" s="3">
        <v>1E-3</v>
      </c>
      <c r="G68" s="3">
        <v>1.7929999999999999</v>
      </c>
      <c r="H68" s="3">
        <v>2E-3</v>
      </c>
      <c r="I68" s="3">
        <v>2E-3</v>
      </c>
      <c r="J68" s="3">
        <v>1.2E-2</v>
      </c>
      <c r="K68" s="3">
        <v>5.0000000000000001E-3</v>
      </c>
      <c r="L68" s="3">
        <v>2.4E-2</v>
      </c>
      <c r="M68" s="3">
        <v>3.2000000000000001E-2</v>
      </c>
      <c r="N68" s="3">
        <v>0.71499999999999997</v>
      </c>
      <c r="O68" s="3">
        <v>0.82399999999999995</v>
      </c>
      <c r="P68" s="3">
        <v>2.0150000000000001</v>
      </c>
      <c r="Q68" s="3">
        <v>0</v>
      </c>
      <c r="R68" s="3">
        <v>3.0649999999999999</v>
      </c>
      <c r="S68" s="3">
        <v>2.927</v>
      </c>
      <c r="T68" s="3">
        <v>1E-3</v>
      </c>
      <c r="U68" s="3">
        <v>3.0000000000000001E-3</v>
      </c>
      <c r="V68" s="3">
        <v>0.106</v>
      </c>
      <c r="W68" s="3">
        <v>2.7450000000000001</v>
      </c>
      <c r="X68" s="3">
        <v>4.2679999999999998</v>
      </c>
      <c r="Y68" s="3">
        <v>4.7709999999999999</v>
      </c>
      <c r="Z68" s="3">
        <v>1.607</v>
      </c>
      <c r="AA68" s="3">
        <v>3.3119999999999998</v>
      </c>
      <c r="AB68" s="3">
        <v>4.2649999999999997</v>
      </c>
      <c r="AC68" s="3">
        <v>3.8039999999999998</v>
      </c>
      <c r="AD68" s="3">
        <v>4.5019999999999998</v>
      </c>
      <c r="AE68" s="3">
        <v>0</v>
      </c>
      <c r="AF68" s="3">
        <v>2.1150000000000002</v>
      </c>
      <c r="AG68" s="3">
        <v>2.2000000000000002</v>
      </c>
      <c r="AH68" s="3">
        <v>5.3289999999999997</v>
      </c>
      <c r="AI68" s="3">
        <v>5.6680000000000001</v>
      </c>
      <c r="AJ68" s="3">
        <v>6.1920000000000002</v>
      </c>
      <c r="AK68" s="3">
        <v>8.1590000000000007</v>
      </c>
      <c r="AL68" s="3">
        <v>3.1E-2</v>
      </c>
      <c r="AM68" s="3">
        <v>0</v>
      </c>
      <c r="AN68" s="3">
        <v>7.42</v>
      </c>
      <c r="AO68" s="3">
        <v>9.4E-2</v>
      </c>
      <c r="AP68" s="3">
        <v>8.4039999999999999</v>
      </c>
      <c r="AQ68" s="3">
        <v>3.1E-2</v>
      </c>
      <c r="AR68" s="3">
        <v>0</v>
      </c>
      <c r="AS68" s="3">
        <v>0</v>
      </c>
      <c r="AT68" s="3">
        <v>0</v>
      </c>
      <c r="AU68" s="3">
        <v>0</v>
      </c>
      <c r="AV68" s="3">
        <v>2.702</v>
      </c>
      <c r="AW68" s="3">
        <v>0.11</v>
      </c>
      <c r="AX68" s="3">
        <v>0</v>
      </c>
      <c r="AY68" s="3">
        <v>8.1229999999999993</v>
      </c>
      <c r="AZ68" s="3">
        <v>21.573</v>
      </c>
      <c r="BA68" s="3">
        <v>0.65600000000000003</v>
      </c>
      <c r="BB68" s="3">
        <v>24.744</v>
      </c>
      <c r="BC68" s="3">
        <v>30.492999999999999</v>
      </c>
      <c r="BD68" s="3">
        <v>3.1E-2</v>
      </c>
      <c r="BE68" s="3">
        <v>1.4999999999999999E-2</v>
      </c>
      <c r="BF68" s="3">
        <v>0.39100000000000001</v>
      </c>
      <c r="BG68" s="3">
        <v>21.666</v>
      </c>
      <c r="BH68" s="3">
        <v>47.661000000000001</v>
      </c>
      <c r="BI68" s="3">
        <v>79.230999999999995</v>
      </c>
      <c r="BJ68" s="3">
        <v>11.185</v>
      </c>
      <c r="BK68" s="3">
        <v>22.573</v>
      </c>
      <c r="BL68" s="3">
        <v>0</v>
      </c>
      <c r="BM68" s="3">
        <v>40.834000000000003</v>
      </c>
      <c r="BN68" s="3">
        <v>54.923999999999999</v>
      </c>
      <c r="BO68" s="3">
        <v>52.564999999999998</v>
      </c>
      <c r="BP68" s="3">
        <v>27.494</v>
      </c>
      <c r="BQ68" s="3">
        <v>0.54700000000000004</v>
      </c>
      <c r="BR68" s="3">
        <v>51.676000000000002</v>
      </c>
      <c r="BS68" s="3">
        <v>53.018000000000001</v>
      </c>
      <c r="BT68" s="3">
        <v>76.355999999999995</v>
      </c>
      <c r="BU68" s="3">
        <v>79.465000000000003</v>
      </c>
      <c r="BV68" s="3">
        <v>0.107</v>
      </c>
      <c r="BW68" s="3">
        <v>0</v>
      </c>
      <c r="BX68" s="3">
        <v>0.68</v>
      </c>
      <c r="BY68" s="3">
        <v>0.96599999999999997</v>
      </c>
      <c r="BZ68" s="3">
        <v>1.0189999999999999</v>
      </c>
      <c r="CA68" s="3">
        <v>1.1220000000000001</v>
      </c>
      <c r="CB68" s="3">
        <v>3.0000000000000001E-3</v>
      </c>
      <c r="CC68" s="3">
        <v>5.0000000000000001E-3</v>
      </c>
      <c r="CD68" s="3">
        <v>1E-3</v>
      </c>
      <c r="CE68" s="3">
        <v>1E-3</v>
      </c>
      <c r="CF68" s="3">
        <v>0.04</v>
      </c>
      <c r="CG68" s="3">
        <v>1.2E-2</v>
      </c>
      <c r="CH68" s="3">
        <v>0.92100000000000004</v>
      </c>
      <c r="CI68" s="3">
        <v>1E-3</v>
      </c>
      <c r="CJ68" s="3">
        <v>1.9</v>
      </c>
      <c r="CK68" s="3">
        <v>2.0409999999999999</v>
      </c>
      <c r="CL68" s="3">
        <v>0</v>
      </c>
      <c r="CM68" s="3">
        <v>1E-3</v>
      </c>
      <c r="CN68" s="3">
        <v>1E-3</v>
      </c>
      <c r="CO68" s="3">
        <v>2.4E-2</v>
      </c>
      <c r="CP68" s="3">
        <v>1.0469999999999999</v>
      </c>
      <c r="CQ68" s="3">
        <v>5.7000000000000002E-2</v>
      </c>
      <c r="CR68" s="3">
        <v>5.1479999999999997</v>
      </c>
      <c r="CS68" s="3">
        <v>4.2439999999999998</v>
      </c>
      <c r="CT68" s="3">
        <v>0</v>
      </c>
      <c r="CU68" s="3">
        <v>0</v>
      </c>
      <c r="CV68" s="3">
        <v>1E-3</v>
      </c>
      <c r="CW68" s="3">
        <v>1E-3</v>
      </c>
      <c r="CX68" s="3">
        <v>0</v>
      </c>
      <c r="CY68" s="3">
        <v>0</v>
      </c>
      <c r="CZ68" s="3">
        <v>3.0000000000000001E-3</v>
      </c>
      <c r="DA68" s="3">
        <v>4.1000000000000002E-2</v>
      </c>
      <c r="DB68" s="3">
        <v>6.1840000000000002</v>
      </c>
      <c r="DC68" s="3">
        <v>6.875</v>
      </c>
      <c r="DD68" s="3">
        <v>8.7170000000000005</v>
      </c>
      <c r="DE68" s="3">
        <v>7.8869999999999996</v>
      </c>
      <c r="DF68" s="3">
        <v>0.28100000000000003</v>
      </c>
      <c r="DG68" s="3">
        <v>3.1560000000000001</v>
      </c>
      <c r="DH68" s="3">
        <v>0</v>
      </c>
      <c r="DI68" s="3">
        <v>9.4039999999999999</v>
      </c>
      <c r="DJ68" s="3">
        <v>0</v>
      </c>
      <c r="DK68" s="3">
        <v>9.8889999999999993</v>
      </c>
      <c r="DL68" s="3">
        <v>0</v>
      </c>
      <c r="DM68" s="3">
        <v>0</v>
      </c>
      <c r="DN68" s="3">
        <v>1.4999999999999999E-2</v>
      </c>
      <c r="DO68" s="3">
        <v>4.5999999999999999E-2</v>
      </c>
      <c r="DP68" s="3">
        <v>1.8740000000000001</v>
      </c>
      <c r="DQ68" s="3">
        <v>6.2E-2</v>
      </c>
      <c r="DR68" s="3">
        <v>0</v>
      </c>
      <c r="DS68" s="3">
        <v>0</v>
      </c>
      <c r="DT68" s="3">
        <v>22.698</v>
      </c>
      <c r="DU68" s="3">
        <v>15.635999999999999</v>
      </c>
      <c r="DV68" s="3">
        <v>0</v>
      </c>
      <c r="DW68" s="3">
        <v>0</v>
      </c>
      <c r="DX68" s="3">
        <v>1.4999999999999999E-2</v>
      </c>
      <c r="DY68" s="3">
        <v>1.6E-2</v>
      </c>
      <c r="DZ68" s="3">
        <v>35.616999999999997</v>
      </c>
      <c r="EA68" s="3">
        <v>55.673999999999999</v>
      </c>
      <c r="EB68" s="3">
        <v>67.483999999999995</v>
      </c>
      <c r="EC68" s="3">
        <v>73.42</v>
      </c>
      <c r="ED68" s="3">
        <v>14.856</v>
      </c>
      <c r="EE68" s="3">
        <v>0.17199999999999999</v>
      </c>
      <c r="EF68" s="3">
        <v>43.177</v>
      </c>
      <c r="EG68" s="3">
        <v>33.726999999999997</v>
      </c>
      <c r="EH68" s="3">
        <v>53.613</v>
      </c>
      <c r="EI68" s="3">
        <v>54.923999999999999</v>
      </c>
      <c r="EJ68" s="3">
        <v>22.745000000000001</v>
      </c>
      <c r="EK68" s="3">
        <v>26.728999999999999</v>
      </c>
      <c r="EL68" s="3">
        <v>46.488999999999997</v>
      </c>
      <c r="EM68" s="3">
        <v>59.209000000000003</v>
      </c>
      <c r="EN68" s="3">
        <v>80.403000000000006</v>
      </c>
      <c r="EO68" s="3">
        <v>75.186000000000007</v>
      </c>
      <c r="EP68" s="3">
        <v>0.219</v>
      </c>
      <c r="EQ68" s="3">
        <v>5.0000000000000001E-3</v>
      </c>
      <c r="ER68" s="3">
        <v>0.7</v>
      </c>
      <c r="ES68" s="3">
        <v>3.5999999999999997E-2</v>
      </c>
      <c r="ET68" s="3">
        <v>1.0349999999999999</v>
      </c>
      <c r="EU68" s="3">
        <v>1.208</v>
      </c>
      <c r="EV68" s="3">
        <v>0</v>
      </c>
      <c r="EW68" s="3">
        <v>2E-3</v>
      </c>
      <c r="EX68" s="3">
        <v>2E-3</v>
      </c>
      <c r="EY68" s="3">
        <v>2E-3</v>
      </c>
      <c r="EZ68" s="3">
        <v>0.21</v>
      </c>
      <c r="FA68" s="3">
        <v>1.7999999999999999E-2</v>
      </c>
      <c r="FB68" s="3">
        <v>1.2999999999999999E-2</v>
      </c>
      <c r="FC68" s="3">
        <v>1.079</v>
      </c>
      <c r="FD68" s="3">
        <v>1.915</v>
      </c>
      <c r="FE68" s="3">
        <v>0</v>
      </c>
      <c r="FF68" s="3">
        <v>3.0790000000000002</v>
      </c>
      <c r="FG68" s="3">
        <v>4.5</v>
      </c>
      <c r="FH68" s="3">
        <v>3.0000000000000001E-3</v>
      </c>
      <c r="FI68" s="3">
        <v>8.9999999999999993E-3</v>
      </c>
      <c r="FJ68" s="3">
        <v>6.7000000000000004E-2</v>
      </c>
      <c r="FK68" s="3">
        <v>8.5000000000000006E-2</v>
      </c>
      <c r="FL68" s="3">
        <v>5.46</v>
      </c>
      <c r="FM68" s="3">
        <v>3.84</v>
      </c>
      <c r="FN68" s="3">
        <v>0</v>
      </c>
      <c r="FO68" s="3">
        <v>1.708</v>
      </c>
      <c r="FP68" s="3">
        <v>0</v>
      </c>
      <c r="FQ68" s="3">
        <v>5.0170000000000003</v>
      </c>
      <c r="FR68" s="3">
        <v>6.649</v>
      </c>
      <c r="FS68" s="3">
        <v>0.23799999999999999</v>
      </c>
      <c r="FT68" s="3">
        <v>1.7569999999999999</v>
      </c>
      <c r="FU68" s="3">
        <v>2</v>
      </c>
      <c r="FV68" s="3">
        <v>4.8390000000000004</v>
      </c>
      <c r="FW68" s="3">
        <v>4.58</v>
      </c>
      <c r="FX68" s="3">
        <v>7.9649999999999999</v>
      </c>
      <c r="FY68" s="3">
        <v>7.8929999999999998</v>
      </c>
      <c r="FZ68" s="3">
        <v>2.25</v>
      </c>
      <c r="GA68" s="3">
        <v>0</v>
      </c>
      <c r="GB68" s="3">
        <v>7.3109999999999999</v>
      </c>
      <c r="GC68" s="3">
        <v>8.4039999999999999</v>
      </c>
      <c r="GD68" s="3">
        <v>0</v>
      </c>
      <c r="GE68" s="3">
        <v>0.64</v>
      </c>
      <c r="GF68" s="3">
        <v>1.6E-2</v>
      </c>
      <c r="GG68" s="3">
        <v>1.6E-2</v>
      </c>
      <c r="GH68" s="3">
        <v>0</v>
      </c>
      <c r="GI68" s="3">
        <v>1.4999999999999999E-2</v>
      </c>
      <c r="GJ68" s="3">
        <v>0.57799999999999996</v>
      </c>
      <c r="GK68" s="3">
        <v>7.8E-2</v>
      </c>
      <c r="GL68" s="3">
        <v>6.6859999999999999</v>
      </c>
      <c r="GM68" s="3">
        <v>8.6850000000000005</v>
      </c>
      <c r="GN68" s="3">
        <v>27.524999999999999</v>
      </c>
      <c r="GO68" s="3">
        <v>21.745000000000001</v>
      </c>
      <c r="GP68" s="3">
        <v>0</v>
      </c>
      <c r="GQ68" s="3">
        <v>0</v>
      </c>
      <c r="GR68" s="3">
        <v>1.6E-2</v>
      </c>
      <c r="GS68" s="3">
        <v>1.4990000000000001</v>
      </c>
      <c r="GT68" s="3">
        <v>45.38</v>
      </c>
      <c r="GU68" s="3">
        <v>1.1240000000000001</v>
      </c>
      <c r="GV68" s="3">
        <v>57.064999999999998</v>
      </c>
      <c r="GW68" s="3">
        <v>59.610999999999997</v>
      </c>
      <c r="GX68" s="3">
        <v>13.294</v>
      </c>
      <c r="GY68" s="3">
        <v>0</v>
      </c>
      <c r="GZ68" s="3">
        <v>0</v>
      </c>
      <c r="HA68" s="3">
        <v>35.273000000000003</v>
      </c>
      <c r="HB68" s="3">
        <v>51.284999999999997</v>
      </c>
      <c r="HC68" s="3">
        <v>0</v>
      </c>
      <c r="HD68" s="3">
        <v>19.698</v>
      </c>
      <c r="HE68" s="3">
        <v>24.838000000000001</v>
      </c>
      <c r="HF68" s="3">
        <v>46.488999999999997</v>
      </c>
      <c r="HG68" s="3">
        <v>50.738</v>
      </c>
      <c r="HH68" s="3">
        <v>70.811000000000007</v>
      </c>
      <c r="HI68" s="3">
        <v>78.653000000000006</v>
      </c>
      <c r="HJ68" s="3">
        <v>0.03</v>
      </c>
      <c r="HK68" s="3">
        <v>0.126</v>
      </c>
      <c r="HL68" s="3">
        <v>0.90900000000000003</v>
      </c>
      <c r="HM68" s="3">
        <v>1.01</v>
      </c>
      <c r="HN68" s="3">
        <v>1.012</v>
      </c>
      <c r="HO68" s="3">
        <v>1E-3</v>
      </c>
      <c r="HP68" s="3">
        <v>1E-3</v>
      </c>
      <c r="HQ68" s="3">
        <v>3.0000000000000001E-3</v>
      </c>
      <c r="HR68" s="3">
        <v>1E-3</v>
      </c>
      <c r="HS68" s="3">
        <v>1.7000000000000001E-2</v>
      </c>
      <c r="HT68" s="3">
        <v>1.0999999999999999E-2</v>
      </c>
      <c r="HU68" s="3">
        <v>5.0000000000000001E-3</v>
      </c>
      <c r="HV68" s="3">
        <v>0</v>
      </c>
      <c r="HW68" s="3">
        <v>1.032</v>
      </c>
      <c r="HX68" s="3">
        <v>1.833</v>
      </c>
      <c r="HY68" s="3">
        <v>1E-3</v>
      </c>
      <c r="HZ68" s="3">
        <v>2.9670000000000001</v>
      </c>
      <c r="IA68" s="3">
        <v>0</v>
      </c>
      <c r="IB68" s="3">
        <v>1E-3</v>
      </c>
      <c r="IC68" s="3">
        <v>1E-3</v>
      </c>
      <c r="ID68" s="3">
        <v>0.151</v>
      </c>
      <c r="IE68" s="3">
        <v>3.35</v>
      </c>
      <c r="IF68" s="3">
        <v>4.9260000000000002</v>
      </c>
      <c r="IG68" s="3">
        <v>5.0910000000000002</v>
      </c>
      <c r="IH68" s="3">
        <v>1E-3</v>
      </c>
      <c r="II68" s="3">
        <v>3.5430000000000001</v>
      </c>
      <c r="IJ68" s="3">
        <v>4.327</v>
      </c>
      <c r="IK68" s="3">
        <v>4.1369999999999996</v>
      </c>
      <c r="IL68" s="3">
        <v>0</v>
      </c>
      <c r="IM68" s="3">
        <v>1E-3</v>
      </c>
      <c r="IN68" s="3">
        <v>2.8000000000000001E-2</v>
      </c>
      <c r="IO68" s="3">
        <v>9.0999999999999998E-2</v>
      </c>
      <c r="IP68" s="3">
        <v>5.4880000000000004</v>
      </c>
      <c r="IQ68" s="3">
        <v>5.766</v>
      </c>
      <c r="IR68" s="3">
        <v>6.8630000000000004</v>
      </c>
      <c r="IS68" s="3">
        <v>8.4339999999999993</v>
      </c>
      <c r="IT68" s="3">
        <v>1.4999999999999999E-2</v>
      </c>
      <c r="IU68" s="3">
        <v>2.2970000000000002</v>
      </c>
      <c r="IV68" s="3">
        <v>7.7489999999999997</v>
      </c>
      <c r="IW68" s="3">
        <v>0.68799999999999994</v>
      </c>
      <c r="IX68" s="3">
        <v>7.9509999999999996</v>
      </c>
      <c r="IY68" s="3">
        <v>0.64100000000000001</v>
      </c>
      <c r="IZ68" s="3">
        <v>0</v>
      </c>
      <c r="JA68" s="3">
        <v>1.4999999999999999E-2</v>
      </c>
      <c r="JB68" s="3">
        <v>0</v>
      </c>
      <c r="JC68" s="3">
        <v>1.6E-2</v>
      </c>
      <c r="JD68" s="3">
        <v>2.25</v>
      </c>
      <c r="JE68" s="3">
        <v>0.71</v>
      </c>
      <c r="JF68" s="3">
        <v>7.8730000000000002</v>
      </c>
      <c r="JG68" s="3">
        <v>0</v>
      </c>
      <c r="JH68" s="3">
        <v>0</v>
      </c>
      <c r="JI68" s="3">
        <v>1.4999999999999999E-2</v>
      </c>
      <c r="JJ68" s="3">
        <v>0</v>
      </c>
      <c r="JK68" s="3">
        <v>26.571000000000002</v>
      </c>
      <c r="JL68" s="3">
        <v>0</v>
      </c>
      <c r="JM68" s="3">
        <v>1.4999999999999999E-2</v>
      </c>
      <c r="JN68" s="3">
        <v>24.931999999999999</v>
      </c>
      <c r="JO68" s="3">
        <v>41.271000000000001</v>
      </c>
      <c r="JP68" s="3">
        <v>45.005000000000003</v>
      </c>
      <c r="JQ68" s="3">
        <v>47.988999999999997</v>
      </c>
      <c r="JR68" s="3">
        <v>0</v>
      </c>
      <c r="JS68" s="3">
        <v>20.885999999999999</v>
      </c>
      <c r="JT68" s="3">
        <v>31.212</v>
      </c>
      <c r="JU68" s="3">
        <v>0</v>
      </c>
      <c r="JV68" s="3">
        <v>56.095999999999997</v>
      </c>
      <c r="JW68" s="3">
        <v>11.795</v>
      </c>
      <c r="JX68" s="3">
        <v>30.587</v>
      </c>
      <c r="JY68" s="3">
        <v>22.821999999999999</v>
      </c>
      <c r="JZ68" s="3">
        <v>45.332999999999998</v>
      </c>
      <c r="KA68" s="3">
        <v>56.627000000000002</v>
      </c>
      <c r="KB68" s="3">
        <v>74.591999999999999</v>
      </c>
      <c r="KC68" s="3">
        <v>75.983000000000004</v>
      </c>
      <c r="KD68" s="3">
        <v>1E-3</v>
      </c>
      <c r="KE68" s="3">
        <v>0.49399999999999999</v>
      </c>
      <c r="KF68" s="3">
        <v>0.05</v>
      </c>
      <c r="KG68" s="3">
        <v>0.78600000000000003</v>
      </c>
      <c r="KH68" s="3">
        <v>1.6459999999999999</v>
      </c>
      <c r="KI68" s="3">
        <v>2.0880000000000001</v>
      </c>
      <c r="KJ68" s="3">
        <v>1E-3</v>
      </c>
      <c r="KK68" s="3">
        <v>1E-3</v>
      </c>
      <c r="KL68" s="3">
        <v>2E-3</v>
      </c>
      <c r="KM68" s="3">
        <v>4.0000000000000001E-3</v>
      </c>
      <c r="KN68" s="3">
        <v>2.5000000000000001E-2</v>
      </c>
      <c r="KO68" s="3">
        <v>1.2999999999999999E-2</v>
      </c>
      <c r="KP68" s="3">
        <v>0</v>
      </c>
      <c r="KQ68" s="3">
        <v>1.2170000000000001</v>
      </c>
      <c r="KR68" s="3">
        <v>1.42</v>
      </c>
      <c r="KS68" s="3">
        <v>2.984</v>
      </c>
      <c r="KT68" s="3">
        <v>1E-3</v>
      </c>
      <c r="KU68" s="3">
        <v>1E-3</v>
      </c>
      <c r="KV68" s="3">
        <v>1E-3</v>
      </c>
      <c r="KW68" s="3">
        <v>4.0000000000000001E-3</v>
      </c>
      <c r="KX68" s="3">
        <v>3.0000000000000001E-3</v>
      </c>
      <c r="KY68" s="3">
        <v>7.8E-2</v>
      </c>
      <c r="KZ68" s="3">
        <v>5.2590000000000003</v>
      </c>
      <c r="LA68" s="3">
        <v>4.952</v>
      </c>
      <c r="LB68" s="3">
        <v>1.74</v>
      </c>
      <c r="LC68" s="3">
        <v>0</v>
      </c>
      <c r="LD68" s="3">
        <v>3.5510000000000002</v>
      </c>
      <c r="LE68" s="3">
        <v>3.86</v>
      </c>
      <c r="LF68" s="3">
        <v>1E-3</v>
      </c>
      <c r="LG68" s="3">
        <v>2E-3</v>
      </c>
      <c r="LH68" s="3">
        <v>2E-3</v>
      </c>
      <c r="LI68" s="3">
        <v>2.1080000000000001</v>
      </c>
      <c r="LJ68" s="3">
        <v>5.0890000000000004</v>
      </c>
      <c r="LK68" s="3">
        <v>5.4219999999999997</v>
      </c>
      <c r="LL68" s="3">
        <v>7.6349999999999998</v>
      </c>
      <c r="LM68" s="3">
        <v>9.3219999999999992</v>
      </c>
      <c r="LN68" s="3">
        <v>4.7E-2</v>
      </c>
      <c r="LO68" s="3">
        <v>1.6E-2</v>
      </c>
      <c r="LP68" s="3">
        <v>8.4359999999999999</v>
      </c>
      <c r="LQ68" s="3">
        <v>6.5140000000000002</v>
      </c>
      <c r="LR68" s="3">
        <v>9.3260000000000005</v>
      </c>
      <c r="LS68" s="3">
        <v>9.3260000000000005</v>
      </c>
      <c r="LT68" s="3">
        <v>1.6E-2</v>
      </c>
      <c r="LU68" s="3">
        <v>0</v>
      </c>
      <c r="LV68" s="3">
        <v>1.6E-2</v>
      </c>
      <c r="LW68" s="3">
        <v>0</v>
      </c>
      <c r="LX68" s="3">
        <v>10.465999999999999</v>
      </c>
      <c r="LY68" s="3">
        <v>2.89</v>
      </c>
      <c r="LZ68" s="3">
        <v>8.7479999999999993</v>
      </c>
      <c r="MA68" s="3">
        <v>0</v>
      </c>
      <c r="MB68" s="3">
        <v>17.574000000000002</v>
      </c>
      <c r="MC68" s="3">
        <v>0</v>
      </c>
      <c r="MD68" s="3">
        <v>28.181000000000001</v>
      </c>
      <c r="ME68" s="3">
        <v>0</v>
      </c>
      <c r="MF68" s="3">
        <v>0</v>
      </c>
      <c r="MG68" s="3">
        <v>9.4E-2</v>
      </c>
      <c r="MH68" s="3">
        <v>31.93</v>
      </c>
      <c r="MI68" s="3">
        <v>0.67100000000000004</v>
      </c>
      <c r="MJ68" s="3">
        <v>54.222000000000001</v>
      </c>
      <c r="MK68" s="3">
        <v>63.454000000000001</v>
      </c>
      <c r="ML68" s="3">
        <v>16.497</v>
      </c>
      <c r="MM68" s="3">
        <v>0</v>
      </c>
      <c r="MN68" s="3">
        <v>33.414000000000001</v>
      </c>
      <c r="MO68" s="3">
        <v>39.302999999999997</v>
      </c>
      <c r="MP68" s="3">
        <v>0</v>
      </c>
      <c r="MQ68" s="3">
        <v>1.6E-2</v>
      </c>
      <c r="MR68" s="3">
        <v>17.917999999999999</v>
      </c>
      <c r="MS68" s="3">
        <v>4.2329999999999997</v>
      </c>
      <c r="MT68" s="3">
        <v>47.271000000000001</v>
      </c>
      <c r="MU68" s="3">
        <v>49.863</v>
      </c>
      <c r="MV68" s="3">
        <v>82.075000000000003</v>
      </c>
      <c r="MW68" s="3">
        <v>83.745999999999995</v>
      </c>
    </row>
    <row r="69" spans="1:363" x14ac:dyDescent="0.3">
      <c r="A69" s="3">
        <v>27</v>
      </c>
      <c r="B69" s="3">
        <v>0.41199999999999998</v>
      </c>
      <c r="C69" s="3">
        <v>0</v>
      </c>
      <c r="D69" s="3">
        <v>0.77900000000000003</v>
      </c>
      <c r="E69" s="3">
        <v>0.94399999999999995</v>
      </c>
      <c r="F69" s="3">
        <v>2E-3</v>
      </c>
      <c r="G69" s="3">
        <v>1.915</v>
      </c>
      <c r="H69" s="3">
        <v>2E-3</v>
      </c>
      <c r="I69" s="3">
        <v>1E-3</v>
      </c>
      <c r="J69" s="3">
        <v>2E-3</v>
      </c>
      <c r="K69" s="3">
        <v>2.5000000000000001E-2</v>
      </c>
      <c r="L69" s="3">
        <v>4.2999999999999997E-2</v>
      </c>
      <c r="M69" s="3">
        <v>8.9999999999999993E-3</v>
      </c>
      <c r="N69" s="3">
        <v>0.70399999999999996</v>
      </c>
      <c r="O69" s="3">
        <v>0.89200000000000002</v>
      </c>
      <c r="P69" s="3">
        <v>1.9910000000000001</v>
      </c>
      <c r="Q69" s="3">
        <v>1E-3</v>
      </c>
      <c r="R69" s="3">
        <v>3.3130000000000002</v>
      </c>
      <c r="S69" s="3">
        <v>2.7839999999999998</v>
      </c>
      <c r="T69" s="3">
        <v>1E-3</v>
      </c>
      <c r="U69" s="3">
        <v>3.0000000000000001E-3</v>
      </c>
      <c r="V69" s="3">
        <v>0.32300000000000001</v>
      </c>
      <c r="W69" s="3">
        <v>2.5649999999999999</v>
      </c>
      <c r="X69" s="3">
        <v>3.5920000000000001</v>
      </c>
      <c r="Y69" s="3">
        <v>4.399</v>
      </c>
      <c r="Z69" s="3">
        <v>1.5429999999999999</v>
      </c>
      <c r="AA69" s="3">
        <v>3.347</v>
      </c>
      <c r="AB69" s="3">
        <v>4.3840000000000003</v>
      </c>
      <c r="AC69" s="3">
        <v>3.6110000000000002</v>
      </c>
      <c r="AD69" s="3">
        <v>4.569</v>
      </c>
      <c r="AE69" s="3">
        <v>1E-3</v>
      </c>
      <c r="AF69" s="3">
        <v>1.944</v>
      </c>
      <c r="AG69" s="3">
        <v>2.1989999999999998</v>
      </c>
      <c r="AH69" s="3">
        <v>5.149</v>
      </c>
      <c r="AI69" s="3">
        <v>5.5869999999999997</v>
      </c>
      <c r="AJ69" s="3">
        <v>6.2619999999999996</v>
      </c>
      <c r="AK69" s="3">
        <v>8.3840000000000003</v>
      </c>
      <c r="AL69" s="3">
        <v>0</v>
      </c>
      <c r="AM69" s="3">
        <v>1.4999999999999999E-2</v>
      </c>
      <c r="AN69" s="3">
        <v>7.5919999999999996</v>
      </c>
      <c r="AO69" s="3">
        <v>7.8E-2</v>
      </c>
      <c r="AP69" s="3">
        <v>8.4350000000000005</v>
      </c>
      <c r="AQ69" s="3">
        <v>0</v>
      </c>
      <c r="AR69" s="3">
        <v>0</v>
      </c>
      <c r="AS69" s="3">
        <v>1.6E-2</v>
      </c>
      <c r="AT69" s="3">
        <v>0</v>
      </c>
      <c r="AU69" s="3">
        <v>1.6E-2</v>
      </c>
      <c r="AV69" s="3">
        <v>2.234</v>
      </c>
      <c r="AW69" s="3">
        <v>0.54700000000000004</v>
      </c>
      <c r="AX69" s="3">
        <v>0</v>
      </c>
      <c r="AY69" s="3">
        <v>7.6849999999999996</v>
      </c>
      <c r="AZ69" s="3">
        <v>23.713000000000001</v>
      </c>
      <c r="BA69" s="3">
        <v>2.859</v>
      </c>
      <c r="BB69" s="3">
        <v>24.681999999999999</v>
      </c>
      <c r="BC69" s="3">
        <v>28.587</v>
      </c>
      <c r="BD69" s="3">
        <v>0</v>
      </c>
      <c r="BE69" s="3">
        <v>0</v>
      </c>
      <c r="BF69" s="3">
        <v>1.5149999999999999</v>
      </c>
      <c r="BG69" s="3">
        <v>3.827</v>
      </c>
      <c r="BH69" s="3">
        <v>47.207999999999998</v>
      </c>
      <c r="BI69" s="3">
        <v>79.540000000000006</v>
      </c>
      <c r="BJ69" s="3">
        <v>12.2</v>
      </c>
      <c r="BK69" s="3">
        <v>21.728999999999999</v>
      </c>
      <c r="BL69" s="3">
        <v>1.6E-2</v>
      </c>
      <c r="BM69" s="3">
        <v>45.645000000000003</v>
      </c>
      <c r="BN69" s="3">
        <v>53.66</v>
      </c>
      <c r="BO69" s="3">
        <v>52.534999999999997</v>
      </c>
      <c r="BP69" s="3">
        <v>25.196999999999999</v>
      </c>
      <c r="BQ69" s="3">
        <v>11.31</v>
      </c>
      <c r="BR69" s="3">
        <v>54.19</v>
      </c>
      <c r="BS69" s="3">
        <v>50.66</v>
      </c>
      <c r="BT69" s="3">
        <v>85.885999999999996</v>
      </c>
      <c r="BU69" s="3">
        <v>78.840999999999994</v>
      </c>
      <c r="BV69" s="3">
        <v>0.122</v>
      </c>
      <c r="BW69" s="3">
        <v>1E-3</v>
      </c>
      <c r="BX69" s="3">
        <v>0.68</v>
      </c>
      <c r="BY69" s="3">
        <v>0.88200000000000001</v>
      </c>
      <c r="BZ69" s="3">
        <v>1.014</v>
      </c>
      <c r="CA69" s="3">
        <v>1.0669999999999999</v>
      </c>
      <c r="CB69" s="3">
        <v>2E-3</v>
      </c>
      <c r="CC69" s="3">
        <v>3.0000000000000001E-3</v>
      </c>
      <c r="CD69" s="3">
        <v>1E-3</v>
      </c>
      <c r="CE69" s="3">
        <v>1E-3</v>
      </c>
      <c r="CF69" s="3">
        <v>4.4999999999999998E-2</v>
      </c>
      <c r="CG69" s="3">
        <v>0.01</v>
      </c>
      <c r="CH69" s="3">
        <v>0.91200000000000003</v>
      </c>
      <c r="CI69" s="3">
        <v>1E-3</v>
      </c>
      <c r="CJ69" s="3">
        <v>1.754</v>
      </c>
      <c r="CK69" s="3">
        <v>2.0489999999999999</v>
      </c>
      <c r="CL69" s="3">
        <v>0</v>
      </c>
      <c r="CM69" s="3">
        <v>0</v>
      </c>
      <c r="CN69" s="3">
        <v>1E-3</v>
      </c>
      <c r="CO69" s="3">
        <v>1.2999999999999999E-2</v>
      </c>
      <c r="CP69" s="3">
        <v>3.77</v>
      </c>
      <c r="CQ69" s="3">
        <v>6.4000000000000001E-2</v>
      </c>
      <c r="CR69" s="3">
        <v>5.0819999999999999</v>
      </c>
      <c r="CS69" s="3">
        <v>3.915</v>
      </c>
      <c r="CT69" s="3">
        <v>0</v>
      </c>
      <c r="CU69" s="3">
        <v>0</v>
      </c>
      <c r="CV69" s="3">
        <v>1E-3</v>
      </c>
      <c r="CW69" s="3">
        <v>3.5999999999999997E-2</v>
      </c>
      <c r="CX69" s="3">
        <v>0</v>
      </c>
      <c r="CY69" s="3">
        <v>2E-3</v>
      </c>
      <c r="CZ69" s="3">
        <v>4.7E-2</v>
      </c>
      <c r="DA69" s="3">
        <v>1.0999999999999999E-2</v>
      </c>
      <c r="DB69" s="3">
        <v>6.4850000000000003</v>
      </c>
      <c r="DC69" s="3">
        <v>7.7619999999999996</v>
      </c>
      <c r="DD69" s="3">
        <v>8.6029999999999998</v>
      </c>
      <c r="DE69" s="3">
        <v>8.5090000000000003</v>
      </c>
      <c r="DF69" s="3">
        <v>6.3E-2</v>
      </c>
      <c r="DG69" s="3">
        <v>3.1859999999999999</v>
      </c>
      <c r="DH69" s="3">
        <v>6.2E-2</v>
      </c>
      <c r="DI69" s="3">
        <v>9.1850000000000005</v>
      </c>
      <c r="DJ69" s="3">
        <v>0</v>
      </c>
      <c r="DK69" s="3">
        <v>11.06</v>
      </c>
      <c r="DL69" s="3">
        <v>1.6E-2</v>
      </c>
      <c r="DM69" s="3">
        <v>1.6E-2</v>
      </c>
      <c r="DN69" s="3">
        <v>0.17199999999999999</v>
      </c>
      <c r="DO69" s="3">
        <v>0.157</v>
      </c>
      <c r="DP69" s="3">
        <v>0.45300000000000001</v>
      </c>
      <c r="DQ69" s="3">
        <v>1.266</v>
      </c>
      <c r="DR69" s="3">
        <v>0</v>
      </c>
      <c r="DS69" s="3">
        <v>0</v>
      </c>
      <c r="DT69" s="3">
        <v>20.978999999999999</v>
      </c>
      <c r="DU69" s="3">
        <v>15.371</v>
      </c>
      <c r="DV69" s="3">
        <v>1.6E-2</v>
      </c>
      <c r="DW69" s="3">
        <v>1.6E-2</v>
      </c>
      <c r="DX69" s="3">
        <v>1.6E-2</v>
      </c>
      <c r="DY69" s="3">
        <v>9.2999999999999999E-2</v>
      </c>
      <c r="DZ69" s="3">
        <v>32.648000000000003</v>
      </c>
      <c r="EA69" s="3">
        <v>56.908000000000001</v>
      </c>
      <c r="EB69" s="3">
        <v>63.423000000000002</v>
      </c>
      <c r="EC69" s="3">
        <v>69.186999999999998</v>
      </c>
      <c r="ED69" s="3">
        <v>13.981</v>
      </c>
      <c r="EE69" s="3">
        <v>0</v>
      </c>
      <c r="EF69" s="3">
        <v>47.13</v>
      </c>
      <c r="EG69" s="3">
        <v>33.508000000000003</v>
      </c>
      <c r="EH69" s="3">
        <v>52.566000000000003</v>
      </c>
      <c r="EI69" s="3">
        <v>27.478999999999999</v>
      </c>
      <c r="EJ69" s="3">
        <v>24.556999999999999</v>
      </c>
      <c r="EK69" s="3">
        <v>27.742999999999999</v>
      </c>
      <c r="EL69" s="3">
        <v>51.222000000000001</v>
      </c>
      <c r="EM69" s="3">
        <v>57.220999999999997</v>
      </c>
      <c r="EN69" s="3">
        <v>82.963999999999999</v>
      </c>
      <c r="EO69" s="3">
        <v>85.245000000000005</v>
      </c>
      <c r="EP69" s="3">
        <v>0.24099999999999999</v>
      </c>
      <c r="EQ69" s="3">
        <v>0.02</v>
      </c>
      <c r="ER69" s="3">
        <v>0.69299999999999995</v>
      </c>
      <c r="ES69" s="3">
        <v>2.1000000000000001E-2</v>
      </c>
      <c r="ET69" s="3">
        <v>1.1060000000000001</v>
      </c>
      <c r="EU69" s="3">
        <v>1.1319999999999999</v>
      </c>
      <c r="EV69" s="3">
        <v>1E-3</v>
      </c>
      <c r="EW69" s="3">
        <v>2E-3</v>
      </c>
      <c r="EX69" s="3">
        <v>2E-3</v>
      </c>
      <c r="EY69" s="3">
        <v>2E-3</v>
      </c>
      <c r="EZ69" s="3">
        <v>2.4E-2</v>
      </c>
      <c r="FA69" s="3">
        <v>1.0999999999999999E-2</v>
      </c>
      <c r="FB69" s="3">
        <v>0.128</v>
      </c>
      <c r="FC69" s="3">
        <v>1.081</v>
      </c>
      <c r="FD69" s="3">
        <v>1.9279999999999999</v>
      </c>
      <c r="FE69" s="3">
        <v>0</v>
      </c>
      <c r="FF69" s="3">
        <v>2.9849999999999999</v>
      </c>
      <c r="FG69" s="3">
        <v>5.1360000000000001</v>
      </c>
      <c r="FH69" s="3">
        <v>1.7000000000000001E-2</v>
      </c>
      <c r="FI69" s="3">
        <v>1.0999999999999999E-2</v>
      </c>
      <c r="FJ69" s="3">
        <v>5.0999999999999997E-2</v>
      </c>
      <c r="FK69" s="3">
        <v>1.6E-2</v>
      </c>
      <c r="FL69" s="3">
        <v>5.5330000000000004</v>
      </c>
      <c r="FM69" s="3">
        <v>3.76</v>
      </c>
      <c r="FN69" s="3">
        <v>0</v>
      </c>
      <c r="FO69" s="3">
        <v>1.8759999999999999</v>
      </c>
      <c r="FP69" s="3">
        <v>0</v>
      </c>
      <c r="FQ69" s="3">
        <v>4.6890000000000001</v>
      </c>
      <c r="FR69" s="3">
        <v>6.3570000000000002</v>
      </c>
      <c r="FS69" s="3">
        <v>0.2</v>
      </c>
      <c r="FT69" s="3">
        <v>1.732</v>
      </c>
      <c r="FU69" s="3">
        <v>2.0609999999999999</v>
      </c>
      <c r="FV69" s="3">
        <v>5.2619999999999996</v>
      </c>
      <c r="FW69" s="3">
        <v>4.2759999999999998</v>
      </c>
      <c r="FX69" s="3">
        <v>7.9980000000000002</v>
      </c>
      <c r="FY69" s="3">
        <v>8.4440000000000008</v>
      </c>
      <c r="FZ69" s="3">
        <v>2.0150000000000001</v>
      </c>
      <c r="GA69" s="3">
        <v>0.14099999999999999</v>
      </c>
      <c r="GB69" s="3">
        <v>7.3890000000000002</v>
      </c>
      <c r="GC69" s="3">
        <v>9.5139999999999993</v>
      </c>
      <c r="GD69" s="3">
        <v>0</v>
      </c>
      <c r="GE69" s="3">
        <v>1.3280000000000001</v>
      </c>
      <c r="GF69" s="3">
        <v>0</v>
      </c>
      <c r="GG69" s="3">
        <v>1.4999999999999999E-2</v>
      </c>
      <c r="GH69" s="3">
        <v>1.4999999999999999E-2</v>
      </c>
      <c r="GI69" s="3">
        <v>0</v>
      </c>
      <c r="GJ69" s="3">
        <v>0.56299999999999994</v>
      </c>
      <c r="GK69" s="3">
        <v>0.45300000000000001</v>
      </c>
      <c r="GL69" s="3">
        <v>6.702</v>
      </c>
      <c r="GM69" s="3">
        <v>7.8890000000000002</v>
      </c>
      <c r="GN69" s="3">
        <v>24.103999999999999</v>
      </c>
      <c r="GO69" s="3">
        <v>21.558</v>
      </c>
      <c r="GP69" s="3">
        <v>0</v>
      </c>
      <c r="GQ69" s="3">
        <v>1.4999999999999999E-2</v>
      </c>
      <c r="GR69" s="3">
        <v>4.5999999999999999E-2</v>
      </c>
      <c r="GS69" s="3">
        <v>0.313</v>
      </c>
      <c r="GT69" s="3">
        <v>43.99</v>
      </c>
      <c r="GU69" s="3">
        <v>0.65700000000000003</v>
      </c>
      <c r="GV69" s="3">
        <v>53.502000000000002</v>
      </c>
      <c r="GW69" s="3">
        <v>60.094999999999999</v>
      </c>
      <c r="GX69" s="3">
        <v>14.122</v>
      </c>
      <c r="GY69" s="3">
        <v>0</v>
      </c>
      <c r="GZ69" s="3">
        <v>0</v>
      </c>
      <c r="HA69" s="3">
        <v>36.335999999999999</v>
      </c>
      <c r="HB69" s="3">
        <v>51.878</v>
      </c>
      <c r="HC69" s="3">
        <v>0</v>
      </c>
      <c r="HD69" s="3">
        <v>21.87</v>
      </c>
      <c r="HE69" s="3">
        <v>25.963000000000001</v>
      </c>
      <c r="HF69" s="3">
        <v>51.222000000000001</v>
      </c>
      <c r="HG69" s="3">
        <v>52.143999999999998</v>
      </c>
      <c r="HH69" s="3">
        <v>75.466999999999999</v>
      </c>
      <c r="HI69" s="3">
        <v>84.355999999999995</v>
      </c>
      <c r="HJ69" s="3">
        <v>0.03</v>
      </c>
      <c r="HK69" s="3">
        <v>0.122</v>
      </c>
      <c r="HL69" s="3">
        <v>0.84</v>
      </c>
      <c r="HM69" s="3">
        <v>0.77100000000000002</v>
      </c>
      <c r="HN69" s="3">
        <v>0.92700000000000005</v>
      </c>
      <c r="HO69" s="3">
        <v>1E-3</v>
      </c>
      <c r="HP69" s="3">
        <v>1E-3</v>
      </c>
      <c r="HQ69" s="3">
        <v>3.0000000000000001E-3</v>
      </c>
      <c r="HR69" s="3">
        <v>1E-3</v>
      </c>
      <c r="HS69" s="3">
        <v>1.2E-2</v>
      </c>
      <c r="HT69" s="3">
        <v>1.4999999999999999E-2</v>
      </c>
      <c r="HU69" s="3">
        <v>3.0000000000000001E-3</v>
      </c>
      <c r="HV69" s="3">
        <v>0</v>
      </c>
      <c r="HW69" s="3">
        <v>1.2150000000000001</v>
      </c>
      <c r="HX69" s="3">
        <v>1.7470000000000001</v>
      </c>
      <c r="HY69" s="3">
        <v>1E-3</v>
      </c>
      <c r="HZ69" s="3">
        <v>3.0169999999999999</v>
      </c>
      <c r="IA69" s="3">
        <v>0</v>
      </c>
      <c r="IB69" s="3">
        <v>8.0000000000000002E-3</v>
      </c>
      <c r="IC69" s="3">
        <v>2E-3</v>
      </c>
      <c r="ID69" s="3">
        <v>6.2E-2</v>
      </c>
      <c r="IE69" s="3">
        <v>3.2690000000000001</v>
      </c>
      <c r="IF69" s="3">
        <v>4.3410000000000002</v>
      </c>
      <c r="IG69" s="3">
        <v>5.18</v>
      </c>
      <c r="IH69" s="3">
        <v>1E-3</v>
      </c>
      <c r="II69" s="3">
        <v>3.65</v>
      </c>
      <c r="IJ69" s="3">
        <v>4.7480000000000002</v>
      </c>
      <c r="IK69" s="3">
        <v>4.1820000000000004</v>
      </c>
      <c r="IL69" s="3">
        <v>0</v>
      </c>
      <c r="IM69" s="3">
        <v>1E-3</v>
      </c>
      <c r="IN69" s="3">
        <v>5.6000000000000001E-2</v>
      </c>
      <c r="IO69" s="3">
        <v>0.02</v>
      </c>
      <c r="IP69" s="3">
        <v>5.9690000000000003</v>
      </c>
      <c r="IQ69" s="3">
        <v>5.4370000000000003</v>
      </c>
      <c r="IR69" s="3">
        <v>7.2539999999999996</v>
      </c>
      <c r="IS69" s="3">
        <v>8.7520000000000007</v>
      </c>
      <c r="IT69" s="3">
        <v>1.6E-2</v>
      </c>
      <c r="IU69" s="3">
        <v>2.5459999999999998</v>
      </c>
      <c r="IV69" s="3">
        <v>7.3570000000000002</v>
      </c>
      <c r="IW69" s="3">
        <v>3.5459999999999998</v>
      </c>
      <c r="IX69" s="3">
        <v>8.2949999999999999</v>
      </c>
      <c r="IY69" s="3">
        <v>0</v>
      </c>
      <c r="IZ69" s="3">
        <v>0</v>
      </c>
      <c r="JA69" s="3">
        <v>0</v>
      </c>
      <c r="JB69" s="3">
        <v>0</v>
      </c>
      <c r="JC69" s="3">
        <v>0.14000000000000001</v>
      </c>
      <c r="JD69" s="3">
        <v>4.7960000000000003</v>
      </c>
      <c r="JE69" s="3">
        <v>3.2000000000000001E-2</v>
      </c>
      <c r="JF69" s="3">
        <v>8.2789999999999999</v>
      </c>
      <c r="JG69" s="3">
        <v>0</v>
      </c>
      <c r="JH69" s="3">
        <v>1.6E-2</v>
      </c>
      <c r="JI69" s="3">
        <v>0</v>
      </c>
      <c r="JJ69" s="3">
        <v>1.6E-2</v>
      </c>
      <c r="JK69" s="3">
        <v>26.306999999999999</v>
      </c>
      <c r="JL69" s="3">
        <v>1.4999999999999999E-2</v>
      </c>
      <c r="JM69" s="3">
        <v>3.1E-2</v>
      </c>
      <c r="JN69" s="3">
        <v>34.835000000000001</v>
      </c>
      <c r="JO69" s="3">
        <v>42.052999999999997</v>
      </c>
      <c r="JP69" s="3">
        <v>56.283999999999999</v>
      </c>
      <c r="JQ69" s="3">
        <v>43.262</v>
      </c>
      <c r="JR69" s="3">
        <v>1.6E-2</v>
      </c>
      <c r="JS69" s="3">
        <v>19.995000000000001</v>
      </c>
      <c r="JT69" s="3">
        <v>31.007999999999999</v>
      </c>
      <c r="JU69" s="3">
        <v>0</v>
      </c>
      <c r="JV69" s="3">
        <v>53.566000000000003</v>
      </c>
      <c r="JW69" s="3">
        <v>51.908999999999999</v>
      </c>
      <c r="JX69" s="3">
        <v>30.399000000000001</v>
      </c>
      <c r="JY69" s="3">
        <v>23.417000000000002</v>
      </c>
      <c r="JZ69" s="3">
        <v>51.831000000000003</v>
      </c>
      <c r="KA69" s="3">
        <v>50.128999999999998</v>
      </c>
      <c r="KB69" s="3">
        <v>80.855999999999995</v>
      </c>
      <c r="KC69" s="3">
        <v>74.997</v>
      </c>
      <c r="KD69" s="3">
        <v>1E-3</v>
      </c>
      <c r="KE69" s="3">
        <v>0.49199999999999999</v>
      </c>
      <c r="KF69" s="3">
        <v>0.01</v>
      </c>
      <c r="KG69" s="3">
        <v>0.749</v>
      </c>
      <c r="KH69" s="3">
        <v>1.2999999999999999E-2</v>
      </c>
      <c r="KI69" s="3">
        <v>1.899</v>
      </c>
      <c r="KJ69" s="3">
        <v>1E-3</v>
      </c>
      <c r="KK69" s="3">
        <v>2E-3</v>
      </c>
      <c r="KL69" s="3">
        <v>1E-3</v>
      </c>
      <c r="KM69" s="3">
        <v>2E-3</v>
      </c>
      <c r="KN69" s="3">
        <v>0.01</v>
      </c>
      <c r="KO69" s="3">
        <v>5.0000000000000001E-3</v>
      </c>
      <c r="KP69" s="3">
        <v>0</v>
      </c>
      <c r="KQ69" s="3">
        <v>1.427</v>
      </c>
      <c r="KR69" s="3">
        <v>1.518</v>
      </c>
      <c r="KS69" s="3">
        <v>2.8849999999999998</v>
      </c>
      <c r="KT69" s="3">
        <v>0</v>
      </c>
      <c r="KU69" s="3">
        <v>2E-3</v>
      </c>
      <c r="KV69" s="3">
        <v>2E-3</v>
      </c>
      <c r="KW69" s="3">
        <v>2E-3</v>
      </c>
      <c r="KX69" s="3">
        <v>8.5999999999999993E-2</v>
      </c>
      <c r="KY69" s="3">
        <v>0.106</v>
      </c>
      <c r="KZ69" s="3">
        <v>6.3780000000000001</v>
      </c>
      <c r="LA69" s="3">
        <v>4.8659999999999997</v>
      </c>
      <c r="LB69" s="3">
        <v>1.8360000000000001</v>
      </c>
      <c r="LC69" s="3">
        <v>0</v>
      </c>
      <c r="LD69" s="3">
        <v>3.5409999999999999</v>
      </c>
      <c r="LE69" s="3">
        <v>3.907</v>
      </c>
      <c r="LF69" s="3">
        <v>1E-3</v>
      </c>
      <c r="LG69" s="3">
        <v>2E-3</v>
      </c>
      <c r="LH69" s="3">
        <v>2E-3</v>
      </c>
      <c r="LI69" s="3">
        <v>2.1640000000000001</v>
      </c>
      <c r="LJ69" s="3">
        <v>4.8529999999999998</v>
      </c>
      <c r="LK69" s="3">
        <v>5.5350000000000001</v>
      </c>
      <c r="LL69" s="3">
        <v>7.13</v>
      </c>
      <c r="LM69" s="3">
        <v>8.3610000000000007</v>
      </c>
      <c r="LN69" s="3">
        <v>3.1E-2</v>
      </c>
      <c r="LO69" s="3">
        <v>0</v>
      </c>
      <c r="LP69" s="3">
        <v>7.2169999999999996</v>
      </c>
      <c r="LQ69" s="3">
        <v>6.6230000000000002</v>
      </c>
      <c r="LR69" s="3">
        <v>8.2949999999999999</v>
      </c>
      <c r="LS69" s="3">
        <v>10.169</v>
      </c>
      <c r="LT69" s="3">
        <v>0</v>
      </c>
      <c r="LU69" s="3">
        <v>1.4999999999999999E-2</v>
      </c>
      <c r="LV69" s="3">
        <v>0</v>
      </c>
      <c r="LW69" s="3">
        <v>1.4999999999999999E-2</v>
      </c>
      <c r="LX69" s="3">
        <v>5.9989999999999997</v>
      </c>
      <c r="LY69" s="3">
        <v>1.891</v>
      </c>
      <c r="LZ69" s="3">
        <v>8.1069999999999993</v>
      </c>
      <c r="MA69" s="3">
        <v>0</v>
      </c>
      <c r="MB69" s="3">
        <v>18.183</v>
      </c>
      <c r="MC69" s="3">
        <v>0</v>
      </c>
      <c r="MD69" s="3">
        <v>27.806000000000001</v>
      </c>
      <c r="ME69" s="3">
        <v>0</v>
      </c>
      <c r="MF69" s="3">
        <v>0</v>
      </c>
      <c r="MG69" s="3">
        <v>0</v>
      </c>
      <c r="MH69" s="3">
        <v>34.914999999999999</v>
      </c>
      <c r="MI69" s="3">
        <v>1.6E-2</v>
      </c>
      <c r="MJ69" s="3">
        <v>51.081000000000003</v>
      </c>
      <c r="MK69" s="3">
        <v>62.250999999999998</v>
      </c>
      <c r="ML69" s="3">
        <v>16.495999999999999</v>
      </c>
      <c r="MM69" s="3">
        <v>0</v>
      </c>
      <c r="MN69" s="3">
        <v>33.164000000000001</v>
      </c>
      <c r="MO69" s="3">
        <v>41.447000000000003</v>
      </c>
      <c r="MP69" s="3">
        <v>1.4999999999999999E-2</v>
      </c>
      <c r="MQ69" s="3">
        <v>0</v>
      </c>
      <c r="MR69" s="3">
        <v>18.995000000000001</v>
      </c>
      <c r="MS69" s="3">
        <v>1.4379999999999999</v>
      </c>
      <c r="MT69" s="3">
        <v>54.454999999999998</v>
      </c>
      <c r="MU69" s="3">
        <v>51.3</v>
      </c>
      <c r="MV69" s="3">
        <v>98.320999999999998</v>
      </c>
      <c r="MW69" s="3">
        <v>80.168999999999997</v>
      </c>
    </row>
    <row r="70" spans="1:363" x14ac:dyDescent="0.3">
      <c r="A70" s="3">
        <v>28</v>
      </c>
      <c r="B70" s="3">
        <v>0.46400000000000002</v>
      </c>
      <c r="C70" s="3">
        <v>0</v>
      </c>
      <c r="D70" s="3">
        <v>0.70399999999999996</v>
      </c>
      <c r="E70" s="3">
        <v>1.046</v>
      </c>
      <c r="F70" s="3">
        <v>1E-3</v>
      </c>
      <c r="G70" s="3">
        <v>1.361</v>
      </c>
      <c r="H70" s="3">
        <v>1E-3</v>
      </c>
      <c r="I70" s="3">
        <v>1E-3</v>
      </c>
      <c r="J70" s="3">
        <v>5.0000000000000001E-3</v>
      </c>
      <c r="K70" s="3">
        <v>6.0000000000000001E-3</v>
      </c>
      <c r="L70" s="3">
        <v>6.0000000000000001E-3</v>
      </c>
      <c r="M70" s="3">
        <v>8.0000000000000002E-3</v>
      </c>
      <c r="N70" s="3">
        <v>0.77300000000000002</v>
      </c>
      <c r="O70" s="3">
        <v>0.871</v>
      </c>
      <c r="P70" s="3">
        <v>2.0190000000000001</v>
      </c>
      <c r="Q70" s="3">
        <v>0</v>
      </c>
      <c r="R70" s="3">
        <v>3.371</v>
      </c>
      <c r="S70" s="3">
        <v>3.0939999999999999</v>
      </c>
      <c r="T70" s="3">
        <v>1E-3</v>
      </c>
      <c r="U70" s="3">
        <v>4.0000000000000001E-3</v>
      </c>
      <c r="V70" s="3">
        <v>1.498</v>
      </c>
      <c r="W70" s="3">
        <v>2.5169999999999999</v>
      </c>
      <c r="X70" s="3">
        <v>3.5939999999999999</v>
      </c>
      <c r="Y70" s="3">
        <v>4.7670000000000003</v>
      </c>
      <c r="Z70" s="3">
        <v>1.6359999999999999</v>
      </c>
      <c r="AA70" s="3">
        <v>3.08</v>
      </c>
      <c r="AB70" s="3">
        <v>4.4050000000000002</v>
      </c>
      <c r="AC70" s="3">
        <v>3.9969999999999999</v>
      </c>
      <c r="AD70" s="3">
        <v>4.5030000000000001</v>
      </c>
      <c r="AE70" s="3">
        <v>1E-3</v>
      </c>
      <c r="AF70" s="3">
        <v>2.1309999999999998</v>
      </c>
      <c r="AG70" s="3">
        <v>2.2919999999999998</v>
      </c>
      <c r="AH70" s="3">
        <v>4.9349999999999996</v>
      </c>
      <c r="AI70" s="3">
        <v>5.5220000000000002</v>
      </c>
      <c r="AJ70" s="3">
        <v>6.0140000000000002</v>
      </c>
      <c r="AK70" s="3">
        <v>8.7539999999999996</v>
      </c>
      <c r="AL70" s="3">
        <v>1.4999999999999999E-2</v>
      </c>
      <c r="AM70" s="3">
        <v>0</v>
      </c>
      <c r="AN70" s="3">
        <v>7.6859999999999999</v>
      </c>
      <c r="AO70" s="3">
        <v>0.219</v>
      </c>
      <c r="AP70" s="3">
        <v>8.4830000000000005</v>
      </c>
      <c r="AQ70" s="3">
        <v>1.6E-2</v>
      </c>
      <c r="AR70" s="3">
        <v>0</v>
      </c>
      <c r="AS70" s="3">
        <v>0</v>
      </c>
      <c r="AT70" s="3">
        <v>1.6E-2</v>
      </c>
      <c r="AU70" s="3">
        <v>3.1E-2</v>
      </c>
      <c r="AV70" s="3">
        <v>0.65600000000000003</v>
      </c>
      <c r="AW70" s="3">
        <v>0.35899999999999999</v>
      </c>
      <c r="AX70" s="3">
        <v>0</v>
      </c>
      <c r="AY70" s="3">
        <v>8.4830000000000005</v>
      </c>
      <c r="AZ70" s="3">
        <v>19.777000000000001</v>
      </c>
      <c r="BA70" s="3">
        <v>2.6709999999999998</v>
      </c>
      <c r="BB70" s="3">
        <v>24.9</v>
      </c>
      <c r="BC70" s="3">
        <v>30.946000000000002</v>
      </c>
      <c r="BD70" s="3">
        <v>1.6E-2</v>
      </c>
      <c r="BE70" s="3">
        <v>0</v>
      </c>
      <c r="BF70" s="3">
        <v>2.9529999999999998</v>
      </c>
      <c r="BG70" s="3">
        <v>4.1870000000000003</v>
      </c>
      <c r="BH70" s="3">
        <v>46.755000000000003</v>
      </c>
      <c r="BI70" s="3">
        <v>77.340999999999994</v>
      </c>
      <c r="BJ70" s="3">
        <v>12.231</v>
      </c>
      <c r="BK70" s="3">
        <v>22.135000000000002</v>
      </c>
      <c r="BL70" s="3">
        <v>0</v>
      </c>
      <c r="BM70" s="3">
        <v>43.723999999999997</v>
      </c>
      <c r="BN70" s="3">
        <v>53.783999999999999</v>
      </c>
      <c r="BO70" s="3">
        <v>52.456000000000003</v>
      </c>
      <c r="BP70" s="3">
        <v>25.463000000000001</v>
      </c>
      <c r="BQ70" s="3">
        <v>4.3730000000000002</v>
      </c>
      <c r="BR70" s="3">
        <v>55.987000000000002</v>
      </c>
      <c r="BS70" s="3">
        <v>54.487000000000002</v>
      </c>
      <c r="BT70" s="3">
        <v>80.215999999999994</v>
      </c>
      <c r="BU70" s="3">
        <v>75.481999999999999</v>
      </c>
      <c r="BV70" s="3">
        <v>0.113</v>
      </c>
      <c r="BW70" s="3">
        <v>0</v>
      </c>
      <c r="BX70" s="3">
        <v>0.66100000000000003</v>
      </c>
      <c r="BY70" s="3">
        <v>1.073</v>
      </c>
      <c r="BZ70" s="3">
        <v>0.93899999999999995</v>
      </c>
      <c r="CA70" s="3">
        <v>1.0069999999999999</v>
      </c>
      <c r="CB70" s="3">
        <v>2E-3</v>
      </c>
      <c r="CC70" s="3">
        <v>2E-3</v>
      </c>
      <c r="CD70" s="3">
        <v>2E-3</v>
      </c>
      <c r="CE70" s="3">
        <v>1E-3</v>
      </c>
      <c r="CF70" s="3">
        <v>8.9999999999999993E-3</v>
      </c>
      <c r="CG70" s="3">
        <v>8.9999999999999993E-3</v>
      </c>
      <c r="CH70" s="3">
        <v>0.93500000000000005</v>
      </c>
      <c r="CI70" s="3">
        <v>1E-3</v>
      </c>
      <c r="CJ70" s="3">
        <v>2.032</v>
      </c>
      <c r="CK70" s="3">
        <v>2.0979999999999999</v>
      </c>
      <c r="CL70" s="3">
        <v>1E-3</v>
      </c>
      <c r="CM70" s="3">
        <v>0</v>
      </c>
      <c r="CN70" s="3">
        <v>1E-3</v>
      </c>
      <c r="CO70" s="3">
        <v>1.4E-2</v>
      </c>
      <c r="CP70" s="3">
        <v>3.8780000000000001</v>
      </c>
      <c r="CQ70" s="3">
        <v>2.8000000000000001E-2</v>
      </c>
      <c r="CR70" s="3">
        <v>5.0030000000000001</v>
      </c>
      <c r="CS70" s="3">
        <v>3.9159999999999999</v>
      </c>
      <c r="CT70" s="3">
        <v>0</v>
      </c>
      <c r="CU70" s="3">
        <v>0</v>
      </c>
      <c r="CV70" s="3">
        <v>1E-3</v>
      </c>
      <c r="CW70" s="3">
        <v>1E-3</v>
      </c>
      <c r="CX70" s="3">
        <v>0</v>
      </c>
      <c r="CY70" s="3">
        <v>0.40300000000000002</v>
      </c>
      <c r="CZ70" s="3">
        <v>2E-3</v>
      </c>
      <c r="DA70" s="3">
        <v>1.6E-2</v>
      </c>
      <c r="DB70" s="3">
        <v>6.01</v>
      </c>
      <c r="DC70" s="3">
        <v>6.8869999999999996</v>
      </c>
      <c r="DD70" s="3">
        <v>8.1620000000000008</v>
      </c>
      <c r="DE70" s="3">
        <v>8.4629999999999992</v>
      </c>
      <c r="DF70" s="3">
        <v>1.4999999999999999E-2</v>
      </c>
      <c r="DG70" s="3">
        <v>3.2810000000000001</v>
      </c>
      <c r="DH70" s="3">
        <v>0</v>
      </c>
      <c r="DI70" s="3">
        <v>8.4819999999999993</v>
      </c>
      <c r="DJ70" s="3">
        <v>0</v>
      </c>
      <c r="DK70" s="3">
        <v>9.9499999999999993</v>
      </c>
      <c r="DL70" s="3">
        <v>0</v>
      </c>
      <c r="DM70" s="3">
        <v>0</v>
      </c>
      <c r="DN70" s="3">
        <v>0</v>
      </c>
      <c r="DO70" s="3">
        <v>0.17100000000000001</v>
      </c>
      <c r="DP70" s="3">
        <v>1.3280000000000001</v>
      </c>
      <c r="DQ70" s="3">
        <v>9.4E-2</v>
      </c>
      <c r="DR70" s="3">
        <v>0</v>
      </c>
      <c r="DS70" s="3">
        <v>0</v>
      </c>
      <c r="DT70" s="3">
        <v>20.73</v>
      </c>
      <c r="DU70" s="3">
        <v>15.574999999999999</v>
      </c>
      <c r="DV70" s="3">
        <v>0</v>
      </c>
      <c r="DW70" s="3">
        <v>0</v>
      </c>
      <c r="DX70" s="3">
        <v>0</v>
      </c>
      <c r="DY70" s="3">
        <v>0</v>
      </c>
      <c r="DZ70" s="3">
        <v>32.914000000000001</v>
      </c>
      <c r="EA70" s="3">
        <v>53.128</v>
      </c>
      <c r="EB70" s="3">
        <v>73.284000000000006</v>
      </c>
      <c r="EC70" s="3">
        <v>68.968999999999994</v>
      </c>
      <c r="ED70" s="3">
        <v>13.872</v>
      </c>
      <c r="EE70" s="3">
        <v>0.23499999999999999</v>
      </c>
      <c r="EF70" s="3">
        <v>42.162999999999997</v>
      </c>
      <c r="EG70" s="3">
        <v>33.758000000000003</v>
      </c>
      <c r="EH70" s="3">
        <v>52.55</v>
      </c>
      <c r="EI70" s="3">
        <v>52.924999999999997</v>
      </c>
      <c r="EJ70" s="3">
        <v>22.901</v>
      </c>
      <c r="EK70" s="3">
        <v>27.119</v>
      </c>
      <c r="EL70" s="3">
        <v>50.082000000000001</v>
      </c>
      <c r="EM70" s="3">
        <v>57.692999999999998</v>
      </c>
      <c r="EN70" s="3">
        <v>78.466999999999999</v>
      </c>
      <c r="EO70" s="3">
        <v>74.013999999999996</v>
      </c>
      <c r="EP70" s="3">
        <v>0.214</v>
      </c>
      <c r="EQ70" s="3">
        <v>4.0000000000000001E-3</v>
      </c>
      <c r="ER70" s="3">
        <v>0.67300000000000004</v>
      </c>
      <c r="ES70" s="3">
        <v>3.1E-2</v>
      </c>
      <c r="ET70" s="3">
        <v>1.105</v>
      </c>
      <c r="EU70" s="3">
        <v>1.1739999999999999</v>
      </c>
      <c r="EV70" s="3">
        <v>1E-3</v>
      </c>
      <c r="EW70" s="3">
        <v>1E-3</v>
      </c>
      <c r="EX70" s="3">
        <v>2E-3</v>
      </c>
      <c r="EY70" s="3">
        <v>3.0000000000000001E-3</v>
      </c>
      <c r="EZ70" s="3">
        <v>0.189</v>
      </c>
      <c r="FA70" s="3">
        <v>1.0999999999999999E-2</v>
      </c>
      <c r="FB70" s="3">
        <v>7.0999999999999994E-2</v>
      </c>
      <c r="FC70" s="3">
        <v>1.056</v>
      </c>
      <c r="FD70" s="3">
        <v>1.911</v>
      </c>
      <c r="FE70" s="3">
        <v>0</v>
      </c>
      <c r="FF70" s="3">
        <v>3.0659999999999998</v>
      </c>
      <c r="FG70" s="3">
        <v>4.4829999999999997</v>
      </c>
      <c r="FH70" s="3">
        <v>1E-3</v>
      </c>
      <c r="FI70" s="3">
        <v>7.0000000000000001E-3</v>
      </c>
      <c r="FJ70" s="3">
        <v>0.65</v>
      </c>
      <c r="FK70" s="3">
        <v>3.1E-2</v>
      </c>
      <c r="FL70" s="3">
        <v>5.9160000000000004</v>
      </c>
      <c r="FM70" s="3">
        <v>3.8460000000000001</v>
      </c>
      <c r="FN70" s="3">
        <v>0</v>
      </c>
      <c r="FO70" s="3">
        <v>1.643</v>
      </c>
      <c r="FP70" s="3">
        <v>0</v>
      </c>
      <c r="FQ70" s="3">
        <v>4.83</v>
      </c>
      <c r="FR70" s="3">
        <v>6.1890000000000001</v>
      </c>
      <c r="FS70" s="3">
        <v>0.89700000000000002</v>
      </c>
      <c r="FT70" s="3">
        <v>1.7250000000000001</v>
      </c>
      <c r="FU70" s="3">
        <v>2.0670000000000002</v>
      </c>
      <c r="FV70" s="3">
        <v>5.423</v>
      </c>
      <c r="FW70" s="3">
        <v>4.5949999999999998</v>
      </c>
      <c r="FX70" s="3">
        <v>8.5969999999999995</v>
      </c>
      <c r="FY70" s="3">
        <v>8.1379999999999999</v>
      </c>
      <c r="FZ70" s="3">
        <v>2.0459999999999998</v>
      </c>
      <c r="GA70" s="3">
        <v>1.6E-2</v>
      </c>
      <c r="GB70" s="3">
        <v>7.7629999999999999</v>
      </c>
      <c r="GC70" s="3">
        <v>9.1539999999999999</v>
      </c>
      <c r="GD70" s="3">
        <v>0</v>
      </c>
      <c r="GE70" s="3">
        <v>2.0310000000000001</v>
      </c>
      <c r="GF70" s="3">
        <v>0</v>
      </c>
      <c r="GG70" s="3">
        <v>0</v>
      </c>
      <c r="GH70" s="3">
        <v>0</v>
      </c>
      <c r="GI70" s="3">
        <v>0</v>
      </c>
      <c r="GJ70" s="3">
        <v>0.39</v>
      </c>
      <c r="GK70" s="3">
        <v>0.14099999999999999</v>
      </c>
      <c r="GL70" s="3">
        <v>7.1230000000000002</v>
      </c>
      <c r="GM70" s="3">
        <v>8.6229999999999993</v>
      </c>
      <c r="GN70" s="3">
        <v>24.385000000000002</v>
      </c>
      <c r="GO70" s="3">
        <v>21.056999999999999</v>
      </c>
      <c r="GP70" s="3">
        <v>0</v>
      </c>
      <c r="GQ70" s="3">
        <v>0</v>
      </c>
      <c r="GR70" s="3">
        <v>0</v>
      </c>
      <c r="GS70" s="3">
        <v>0.109</v>
      </c>
      <c r="GT70" s="3">
        <v>44.786000000000001</v>
      </c>
      <c r="GU70" s="3">
        <v>5.4039999999999999</v>
      </c>
      <c r="GV70" s="3">
        <v>57.845999999999997</v>
      </c>
      <c r="GW70" s="3">
        <v>54.55</v>
      </c>
      <c r="GX70" s="3">
        <v>4.7960000000000003</v>
      </c>
      <c r="GY70" s="3">
        <v>0</v>
      </c>
      <c r="GZ70" s="3">
        <v>0</v>
      </c>
      <c r="HA70" s="3">
        <v>35.304000000000002</v>
      </c>
      <c r="HB70" s="3">
        <v>51.207000000000001</v>
      </c>
      <c r="HC70" s="3">
        <v>0</v>
      </c>
      <c r="HD70" s="3">
        <v>19.588999999999999</v>
      </c>
      <c r="HE70" s="3">
        <v>25.353000000000002</v>
      </c>
      <c r="HF70" s="3">
        <v>50.082000000000001</v>
      </c>
      <c r="HG70" s="3">
        <v>59.344999999999999</v>
      </c>
      <c r="HH70" s="3">
        <v>72.311000000000007</v>
      </c>
      <c r="HI70" s="3">
        <v>73.545000000000002</v>
      </c>
      <c r="HJ70" s="3">
        <v>2.9000000000000001E-2</v>
      </c>
      <c r="HK70" s="3">
        <v>0.14599999999999999</v>
      </c>
      <c r="HL70" s="3">
        <v>0.82</v>
      </c>
      <c r="HM70" s="3">
        <v>0.997</v>
      </c>
      <c r="HN70" s="3">
        <v>0.97299999999999998</v>
      </c>
      <c r="HO70" s="3">
        <v>1E-3</v>
      </c>
      <c r="HP70" s="3">
        <v>0</v>
      </c>
      <c r="HQ70" s="3">
        <v>3.0000000000000001E-3</v>
      </c>
      <c r="HR70" s="3">
        <v>1E-3</v>
      </c>
      <c r="HS70" s="3">
        <v>1.0999999999999999E-2</v>
      </c>
      <c r="HT70" s="3">
        <v>1.2999999999999999E-2</v>
      </c>
      <c r="HU70" s="3">
        <v>4.0000000000000001E-3</v>
      </c>
      <c r="HV70" s="3">
        <v>0</v>
      </c>
      <c r="HW70" s="3">
        <v>1.0129999999999999</v>
      </c>
      <c r="HX70" s="3">
        <v>1.9239999999999999</v>
      </c>
      <c r="HY70" s="3">
        <v>0</v>
      </c>
      <c r="HZ70" s="3">
        <v>2.7330000000000001</v>
      </c>
      <c r="IA70" s="3">
        <v>0</v>
      </c>
      <c r="IB70" s="3">
        <v>2E-3</v>
      </c>
      <c r="IC70" s="3">
        <v>2E-3</v>
      </c>
      <c r="ID70" s="3">
        <v>8.0000000000000002E-3</v>
      </c>
      <c r="IE70" s="3">
        <v>2.9910000000000001</v>
      </c>
      <c r="IF70" s="3">
        <v>4.9939999999999998</v>
      </c>
      <c r="IG70" s="3">
        <v>5.14</v>
      </c>
      <c r="IH70" s="3">
        <v>2E-3</v>
      </c>
      <c r="II70" s="3">
        <v>4.0739999999999998</v>
      </c>
      <c r="IJ70" s="3">
        <v>4.8460000000000001</v>
      </c>
      <c r="IK70" s="3">
        <v>4.617</v>
      </c>
      <c r="IL70" s="3">
        <v>1E-3</v>
      </c>
      <c r="IM70" s="3">
        <v>1E-3</v>
      </c>
      <c r="IN70" s="3">
        <v>3.0000000000000001E-3</v>
      </c>
      <c r="IO70" s="3">
        <v>1.0999999999999999E-2</v>
      </c>
      <c r="IP70" s="3">
        <v>6.274</v>
      </c>
      <c r="IQ70" s="3">
        <v>5.4859999999999998</v>
      </c>
      <c r="IR70" s="3">
        <v>7.016</v>
      </c>
      <c r="IS70" s="3">
        <v>9.56</v>
      </c>
      <c r="IT70" s="3">
        <v>0</v>
      </c>
      <c r="IU70" s="3">
        <v>2.484</v>
      </c>
      <c r="IV70" s="3">
        <v>7.6550000000000002</v>
      </c>
      <c r="IW70" s="3">
        <v>7.9039999999999999</v>
      </c>
      <c r="IX70" s="3">
        <v>8.17</v>
      </c>
      <c r="IY70" s="3">
        <v>1.4999999999999999E-2</v>
      </c>
      <c r="IZ70" s="3">
        <v>1.6E-2</v>
      </c>
      <c r="JA70" s="3">
        <v>0</v>
      </c>
      <c r="JB70" s="3">
        <v>1.6E-2</v>
      </c>
      <c r="JC70" s="3">
        <v>1.4999999999999999E-2</v>
      </c>
      <c r="JD70" s="3">
        <v>0.20300000000000001</v>
      </c>
      <c r="JE70" s="3">
        <v>0.25</v>
      </c>
      <c r="JF70" s="3">
        <v>8.8420000000000005</v>
      </c>
      <c r="JG70" s="3">
        <v>0</v>
      </c>
      <c r="JH70" s="3">
        <v>0</v>
      </c>
      <c r="JI70" s="3">
        <v>0</v>
      </c>
      <c r="JJ70" s="3">
        <v>0</v>
      </c>
      <c r="JK70" s="3">
        <v>26.259</v>
      </c>
      <c r="JL70" s="3">
        <v>1.6E-2</v>
      </c>
      <c r="JM70" s="3">
        <v>1.6E-2</v>
      </c>
      <c r="JN70" s="3">
        <v>37.396999999999998</v>
      </c>
      <c r="JO70" s="3">
        <v>41.709000000000003</v>
      </c>
      <c r="JP70" s="3">
        <v>52.597000000000001</v>
      </c>
      <c r="JQ70" s="3">
        <v>48.738</v>
      </c>
      <c r="JR70" s="3">
        <v>0</v>
      </c>
      <c r="JS70" s="3">
        <v>22.135000000000002</v>
      </c>
      <c r="JT70" s="3">
        <v>31.257999999999999</v>
      </c>
      <c r="JU70" s="3">
        <v>0</v>
      </c>
      <c r="JV70" s="3">
        <v>52.487000000000002</v>
      </c>
      <c r="JW70" s="3">
        <v>38.944000000000003</v>
      </c>
      <c r="JX70" s="3">
        <v>30.071000000000002</v>
      </c>
      <c r="JY70" s="3">
        <v>22.696999999999999</v>
      </c>
      <c r="JZ70" s="3">
        <v>49.097999999999999</v>
      </c>
      <c r="KA70" s="3">
        <v>54.487000000000002</v>
      </c>
      <c r="KB70" s="3">
        <v>80.278000000000006</v>
      </c>
      <c r="KC70" s="3">
        <v>77.231999999999999</v>
      </c>
      <c r="KD70" s="3">
        <v>0</v>
      </c>
      <c r="KE70" s="3">
        <v>0.53300000000000003</v>
      </c>
      <c r="KF70" s="3">
        <v>5.6000000000000001E-2</v>
      </c>
      <c r="KG70" s="3">
        <v>0.79800000000000004</v>
      </c>
      <c r="KH70" s="3">
        <v>1.0289999999999999</v>
      </c>
      <c r="KI70" s="3">
        <v>0.89</v>
      </c>
      <c r="KJ70" s="3">
        <v>5.0000000000000001E-3</v>
      </c>
      <c r="KK70" s="3">
        <v>2E-3</v>
      </c>
      <c r="KL70" s="3">
        <v>1E-3</v>
      </c>
      <c r="KM70" s="3">
        <v>3.0000000000000001E-3</v>
      </c>
      <c r="KN70" s="3">
        <v>1.7000000000000001E-2</v>
      </c>
      <c r="KO70" s="3">
        <v>8.0000000000000002E-3</v>
      </c>
      <c r="KP70" s="3">
        <v>0</v>
      </c>
      <c r="KQ70" s="3">
        <v>1.4430000000000001</v>
      </c>
      <c r="KR70" s="3">
        <v>1.4490000000000001</v>
      </c>
      <c r="KS70" s="3">
        <v>2.8479999999999999</v>
      </c>
      <c r="KT70" s="3">
        <v>0</v>
      </c>
      <c r="KU70" s="3">
        <v>1E-3</v>
      </c>
      <c r="KV70" s="3">
        <v>2E-3</v>
      </c>
      <c r="KW70" s="3">
        <v>2E-3</v>
      </c>
      <c r="KX70" s="3">
        <v>0.16400000000000001</v>
      </c>
      <c r="KY70" s="3">
        <v>5.7000000000000002E-2</v>
      </c>
      <c r="KZ70" s="3">
        <v>4.8869999999999996</v>
      </c>
      <c r="LA70" s="3">
        <v>5.593</v>
      </c>
      <c r="LB70" s="3">
        <v>1.7070000000000001</v>
      </c>
      <c r="LC70" s="3">
        <v>0</v>
      </c>
      <c r="LD70" s="3">
        <v>3.6440000000000001</v>
      </c>
      <c r="LE70" s="3">
        <v>3.766</v>
      </c>
      <c r="LF70" s="3">
        <v>1E-3</v>
      </c>
      <c r="LG70" s="3">
        <v>1E-3</v>
      </c>
      <c r="LH70" s="3">
        <v>3.0000000000000001E-3</v>
      </c>
      <c r="LI70" s="3">
        <v>1.9650000000000001</v>
      </c>
      <c r="LJ70" s="3">
        <v>5.202</v>
      </c>
      <c r="LK70" s="3">
        <v>6.1680000000000001</v>
      </c>
      <c r="LL70" s="3">
        <v>7.8550000000000004</v>
      </c>
      <c r="LM70" s="3">
        <v>8.7279999999999998</v>
      </c>
      <c r="LN70" s="3">
        <v>3.1E-2</v>
      </c>
      <c r="LO70" s="3">
        <v>1.4999999999999999E-2</v>
      </c>
      <c r="LP70" s="3">
        <v>7.3419999999999996</v>
      </c>
      <c r="LQ70" s="3">
        <v>6.6079999999999997</v>
      </c>
      <c r="LR70" s="3">
        <v>8.8260000000000005</v>
      </c>
      <c r="LS70" s="3">
        <v>9.4670000000000005</v>
      </c>
      <c r="LT70" s="3">
        <v>1.6E-2</v>
      </c>
      <c r="LU70" s="3">
        <v>0</v>
      </c>
      <c r="LV70" s="3">
        <v>1.6E-2</v>
      </c>
      <c r="LW70" s="3">
        <v>1.6E-2</v>
      </c>
      <c r="LX70" s="3">
        <v>2.734</v>
      </c>
      <c r="LY70" s="3">
        <v>3.6080000000000001</v>
      </c>
      <c r="LZ70" s="3">
        <v>8.5139999999999993</v>
      </c>
      <c r="MA70" s="3">
        <v>0</v>
      </c>
      <c r="MB70" s="3">
        <v>18.715</v>
      </c>
      <c r="MC70" s="3">
        <v>0</v>
      </c>
      <c r="MD70" s="3">
        <v>29.164999999999999</v>
      </c>
      <c r="ME70" s="3">
        <v>0</v>
      </c>
      <c r="MF70" s="3">
        <v>1.6E-2</v>
      </c>
      <c r="MG70" s="3">
        <v>4.7E-2</v>
      </c>
      <c r="MH70" s="3">
        <v>35.008000000000003</v>
      </c>
      <c r="MI70" s="3">
        <v>0.93700000000000006</v>
      </c>
      <c r="MJ70" s="3">
        <v>53.268999999999998</v>
      </c>
      <c r="MK70" s="3">
        <v>57.081000000000003</v>
      </c>
      <c r="ML70" s="3">
        <v>17.135999999999999</v>
      </c>
      <c r="MM70" s="3">
        <v>0</v>
      </c>
      <c r="MN70" s="3">
        <v>33.18</v>
      </c>
      <c r="MO70" s="3">
        <v>37.21</v>
      </c>
      <c r="MP70" s="3">
        <v>0</v>
      </c>
      <c r="MQ70" s="3">
        <v>0</v>
      </c>
      <c r="MR70" s="3">
        <v>19.370999999999999</v>
      </c>
      <c r="MS70" s="3">
        <v>3.3740000000000001</v>
      </c>
      <c r="MT70" s="3">
        <v>54.956000000000003</v>
      </c>
      <c r="MU70" s="3">
        <v>51.676000000000002</v>
      </c>
      <c r="MV70" s="3">
        <v>93.867999999999995</v>
      </c>
      <c r="MW70" s="3">
        <v>80.668000000000006</v>
      </c>
    </row>
    <row r="71" spans="1:363" x14ac:dyDescent="0.3">
      <c r="A71" s="3">
        <v>29</v>
      </c>
      <c r="B71" s="3">
        <v>0.42299999999999999</v>
      </c>
      <c r="C71" s="3">
        <v>0</v>
      </c>
      <c r="D71" s="3">
        <v>0.72899999999999998</v>
      </c>
      <c r="E71" s="3">
        <v>1.0409999999999999</v>
      </c>
      <c r="F71" s="3">
        <v>5.0000000000000001E-3</v>
      </c>
      <c r="G71" s="3">
        <v>0.70099999999999996</v>
      </c>
      <c r="H71" s="3">
        <v>2E-3</v>
      </c>
      <c r="I71" s="3">
        <v>1E-3</v>
      </c>
      <c r="J71" s="3">
        <v>1E-3</v>
      </c>
      <c r="K71" s="3">
        <v>1.7999999999999999E-2</v>
      </c>
      <c r="L71" s="3">
        <v>2.9000000000000001E-2</v>
      </c>
      <c r="M71" s="3">
        <v>1.4E-2</v>
      </c>
      <c r="N71" s="3">
        <v>0.7</v>
      </c>
      <c r="O71" s="3">
        <v>0.78400000000000003</v>
      </c>
      <c r="P71" s="3">
        <v>2.0310000000000001</v>
      </c>
      <c r="Q71" s="3">
        <v>0</v>
      </c>
      <c r="R71" s="3">
        <v>3.1110000000000002</v>
      </c>
      <c r="S71" s="3">
        <v>3.476</v>
      </c>
      <c r="T71" s="3">
        <v>1E-3</v>
      </c>
      <c r="U71" s="3">
        <v>3.0000000000000001E-3</v>
      </c>
      <c r="V71" s="3">
        <v>0.96599999999999997</v>
      </c>
      <c r="W71" s="3">
        <v>2.5779999999999998</v>
      </c>
      <c r="X71" s="3">
        <v>4.1479999999999997</v>
      </c>
      <c r="Y71" s="3">
        <v>4.6180000000000003</v>
      </c>
      <c r="Z71" s="3">
        <v>1.635</v>
      </c>
      <c r="AA71" s="3">
        <v>3.6040000000000001</v>
      </c>
      <c r="AB71" s="3">
        <v>4.1289999999999996</v>
      </c>
      <c r="AC71" s="3">
        <v>3.871</v>
      </c>
      <c r="AD71" s="3">
        <v>4.6369999999999996</v>
      </c>
      <c r="AE71" s="3">
        <v>1E-3</v>
      </c>
      <c r="AF71" s="3">
        <v>2.153</v>
      </c>
      <c r="AG71" s="3">
        <v>2.6030000000000002</v>
      </c>
      <c r="AH71" s="3">
        <v>5.1319999999999997</v>
      </c>
      <c r="AI71" s="3">
        <v>4.8529999999999998</v>
      </c>
      <c r="AJ71" s="3">
        <v>5.984</v>
      </c>
      <c r="AK71" s="3">
        <v>8.2050000000000001</v>
      </c>
      <c r="AL71" s="3">
        <v>0</v>
      </c>
      <c r="AM71" s="3">
        <v>1.6E-2</v>
      </c>
      <c r="AN71" s="3">
        <v>7.2009999999999996</v>
      </c>
      <c r="AO71" s="3">
        <v>0</v>
      </c>
      <c r="AP71" s="3">
        <v>8.4819999999999993</v>
      </c>
      <c r="AQ71" s="3">
        <v>0.218</v>
      </c>
      <c r="AR71" s="3">
        <v>1.4999999999999999E-2</v>
      </c>
      <c r="AS71" s="3">
        <v>0</v>
      </c>
      <c r="AT71" s="3">
        <v>0</v>
      </c>
      <c r="AU71" s="3">
        <v>0.14099999999999999</v>
      </c>
      <c r="AV71" s="3">
        <v>2.0150000000000001</v>
      </c>
      <c r="AW71" s="3">
        <v>1.4370000000000001</v>
      </c>
      <c r="AX71" s="3">
        <v>0</v>
      </c>
      <c r="AY71" s="3">
        <v>8.31</v>
      </c>
      <c r="AZ71" s="3">
        <v>21.073</v>
      </c>
      <c r="BA71" s="3">
        <v>0.57799999999999996</v>
      </c>
      <c r="BB71" s="3">
        <v>24.728999999999999</v>
      </c>
      <c r="BC71" s="3">
        <v>27.837</v>
      </c>
      <c r="BD71" s="3">
        <v>0</v>
      </c>
      <c r="BE71" s="3">
        <v>4.7E-2</v>
      </c>
      <c r="BF71" s="3">
        <v>2.4990000000000001</v>
      </c>
      <c r="BG71" s="3">
        <v>0.5</v>
      </c>
      <c r="BH71" s="3">
        <v>47.567</v>
      </c>
      <c r="BI71" s="3">
        <v>72.748999999999995</v>
      </c>
      <c r="BJ71" s="3">
        <v>12.435</v>
      </c>
      <c r="BK71" s="3">
        <v>23.166</v>
      </c>
      <c r="BL71" s="3">
        <v>0</v>
      </c>
      <c r="BM71" s="3">
        <v>40.835000000000001</v>
      </c>
      <c r="BN71" s="3">
        <v>53.268000000000001</v>
      </c>
      <c r="BO71" s="3">
        <v>52.424999999999997</v>
      </c>
      <c r="BP71" s="3">
        <v>30.102</v>
      </c>
      <c r="BQ71" s="3">
        <v>2.89</v>
      </c>
      <c r="BR71" s="3">
        <v>57.073999999999998</v>
      </c>
      <c r="BS71" s="3">
        <v>64.546999999999997</v>
      </c>
      <c r="BT71" s="3">
        <v>77.388000000000005</v>
      </c>
      <c r="BU71" s="3">
        <v>82.262</v>
      </c>
      <c r="BV71" s="3">
        <v>0.112</v>
      </c>
      <c r="BW71" s="3">
        <v>0</v>
      </c>
      <c r="BX71" s="3">
        <v>0.69699999999999995</v>
      </c>
      <c r="BY71" s="3">
        <v>1.0409999999999999</v>
      </c>
      <c r="BZ71" s="3">
        <v>1.0329999999999999</v>
      </c>
      <c r="CA71" s="3">
        <v>0.99399999999999999</v>
      </c>
      <c r="CB71" s="3">
        <v>1E-3</v>
      </c>
      <c r="CC71" s="3">
        <v>1E-3</v>
      </c>
      <c r="CD71" s="3">
        <v>1E-3</v>
      </c>
      <c r="CE71" s="3">
        <v>1E-3</v>
      </c>
      <c r="CF71" s="3">
        <v>1.4E-2</v>
      </c>
      <c r="CG71" s="3">
        <v>3.0000000000000001E-3</v>
      </c>
      <c r="CH71" s="3">
        <v>0.93600000000000005</v>
      </c>
      <c r="CI71" s="3">
        <v>1E-3</v>
      </c>
      <c r="CJ71" s="3">
        <v>1.766</v>
      </c>
      <c r="CK71" s="3">
        <v>1.919</v>
      </c>
      <c r="CL71" s="3">
        <v>0</v>
      </c>
      <c r="CM71" s="3">
        <v>0</v>
      </c>
      <c r="CN71" s="3">
        <v>3.0000000000000001E-3</v>
      </c>
      <c r="CO71" s="3">
        <v>4.8000000000000001E-2</v>
      </c>
      <c r="CP71" s="3">
        <v>2.516</v>
      </c>
      <c r="CQ71" s="3">
        <v>4.0000000000000001E-3</v>
      </c>
      <c r="CR71" s="3">
        <v>4.9950000000000001</v>
      </c>
      <c r="CS71" s="3">
        <v>4.1340000000000003</v>
      </c>
      <c r="CT71" s="3">
        <v>0</v>
      </c>
      <c r="CU71" s="3">
        <v>0</v>
      </c>
      <c r="CV71" s="3">
        <v>1E-3</v>
      </c>
      <c r="CW71" s="3">
        <v>1E-3</v>
      </c>
      <c r="CX71" s="3">
        <v>0</v>
      </c>
      <c r="CY71" s="3">
        <v>2E-3</v>
      </c>
      <c r="CZ71" s="3">
        <v>2E-3</v>
      </c>
      <c r="DA71" s="3">
        <v>4.5999999999999999E-2</v>
      </c>
      <c r="DB71" s="3">
        <v>6.226</v>
      </c>
      <c r="DC71" s="3">
        <v>7.3220000000000001</v>
      </c>
      <c r="DD71" s="3">
        <v>7.9320000000000004</v>
      </c>
      <c r="DE71" s="3">
        <v>8.7059999999999995</v>
      </c>
      <c r="DF71" s="3">
        <v>0</v>
      </c>
      <c r="DG71" s="3">
        <v>3.3740000000000001</v>
      </c>
      <c r="DH71" s="3">
        <v>1.6E-2</v>
      </c>
      <c r="DI71" s="3">
        <v>8.8580000000000005</v>
      </c>
      <c r="DJ71" s="3">
        <v>0</v>
      </c>
      <c r="DK71" s="3">
        <v>10.67</v>
      </c>
      <c r="DL71" s="3">
        <v>0</v>
      </c>
      <c r="DM71" s="3">
        <v>1.4999999999999999E-2</v>
      </c>
      <c r="DN71" s="3">
        <v>0</v>
      </c>
      <c r="DO71" s="3">
        <v>0.188</v>
      </c>
      <c r="DP71" s="3">
        <v>3.1E-2</v>
      </c>
      <c r="DQ71" s="3">
        <v>0.625</v>
      </c>
      <c r="DR71" s="3">
        <v>0</v>
      </c>
      <c r="DS71" s="3">
        <v>0</v>
      </c>
      <c r="DT71" s="3">
        <v>20.73</v>
      </c>
      <c r="DU71" s="3">
        <v>16.199000000000002</v>
      </c>
      <c r="DV71" s="3">
        <v>0</v>
      </c>
      <c r="DW71" s="3">
        <v>0</v>
      </c>
      <c r="DX71" s="3">
        <v>3.1E-2</v>
      </c>
      <c r="DY71" s="3">
        <v>1.6E-2</v>
      </c>
      <c r="DZ71" s="3">
        <v>33.32</v>
      </c>
      <c r="EA71" s="3">
        <v>55.643999999999998</v>
      </c>
      <c r="EB71" s="3">
        <v>66.688000000000002</v>
      </c>
      <c r="EC71" s="3">
        <v>68.561999999999998</v>
      </c>
      <c r="ED71" s="3">
        <v>14.45</v>
      </c>
      <c r="EE71" s="3">
        <v>1.6E-2</v>
      </c>
      <c r="EF71" s="3">
        <v>49.957000000000001</v>
      </c>
      <c r="EG71" s="3">
        <v>33.305</v>
      </c>
      <c r="EH71" s="3">
        <v>52.581000000000003</v>
      </c>
      <c r="EI71" s="3">
        <v>53.671999999999997</v>
      </c>
      <c r="EJ71" s="3">
        <v>22.603999999999999</v>
      </c>
      <c r="EK71" s="3">
        <v>30.102</v>
      </c>
      <c r="EL71" s="3">
        <v>49.91</v>
      </c>
      <c r="EM71" s="3">
        <v>60.72</v>
      </c>
      <c r="EN71" s="3">
        <v>88.728999999999999</v>
      </c>
      <c r="EO71" s="3">
        <v>77.2</v>
      </c>
      <c r="EP71" s="3">
        <v>0.19500000000000001</v>
      </c>
      <c r="EQ71" s="3">
        <v>4.0000000000000001E-3</v>
      </c>
      <c r="ER71" s="3">
        <v>0.67400000000000004</v>
      </c>
      <c r="ES71" s="3">
        <v>8.9999999999999993E-3</v>
      </c>
      <c r="ET71" s="3">
        <v>1.0980000000000001</v>
      </c>
      <c r="EU71" s="3">
        <v>1.216</v>
      </c>
      <c r="EV71" s="3">
        <v>0</v>
      </c>
      <c r="EW71" s="3">
        <v>2E-3</v>
      </c>
      <c r="EX71" s="3">
        <v>2E-3</v>
      </c>
      <c r="EY71" s="3">
        <v>3.0000000000000001E-3</v>
      </c>
      <c r="EZ71" s="3">
        <v>5.7000000000000002E-2</v>
      </c>
      <c r="FA71" s="3">
        <v>4.0000000000000001E-3</v>
      </c>
      <c r="FB71" s="3">
        <v>0.12</v>
      </c>
      <c r="FC71" s="3">
        <v>1.069</v>
      </c>
      <c r="FD71" s="3">
        <v>1.9670000000000001</v>
      </c>
      <c r="FE71" s="3">
        <v>0</v>
      </c>
      <c r="FF71" s="3">
        <v>3.294</v>
      </c>
      <c r="FG71" s="3">
        <v>4.4210000000000003</v>
      </c>
      <c r="FH71" s="3">
        <v>1.4E-2</v>
      </c>
      <c r="FI71" s="3">
        <v>1.7000000000000001E-2</v>
      </c>
      <c r="FJ71" s="3">
        <v>6.8000000000000005E-2</v>
      </c>
      <c r="FK71" s="3">
        <v>1.4E-2</v>
      </c>
      <c r="FL71" s="3">
        <v>5.5229999999999997</v>
      </c>
      <c r="FM71" s="3">
        <v>4.18</v>
      </c>
      <c r="FN71" s="3">
        <v>0</v>
      </c>
      <c r="FO71" s="3">
        <v>1.8640000000000001</v>
      </c>
      <c r="FP71" s="3">
        <v>0</v>
      </c>
      <c r="FQ71" s="3">
        <v>4.6120000000000001</v>
      </c>
      <c r="FR71" s="3">
        <v>6.0549999999999997</v>
      </c>
      <c r="FS71" s="3">
        <v>8.4000000000000005E-2</v>
      </c>
      <c r="FT71" s="3">
        <v>1.6379999999999999</v>
      </c>
      <c r="FU71" s="3">
        <v>2.077</v>
      </c>
      <c r="FV71" s="3">
        <v>5.2910000000000004</v>
      </c>
      <c r="FW71" s="3">
        <v>5.0679999999999996</v>
      </c>
      <c r="FX71" s="3">
        <v>8.843</v>
      </c>
      <c r="FY71" s="3">
        <v>8.3040000000000003</v>
      </c>
      <c r="FZ71" s="3">
        <v>2.2970000000000002</v>
      </c>
      <c r="GA71" s="3">
        <v>1.4999999999999999E-2</v>
      </c>
      <c r="GB71" s="3">
        <v>7.5919999999999996</v>
      </c>
      <c r="GC71" s="3">
        <v>9.1690000000000005</v>
      </c>
      <c r="GD71" s="3">
        <v>0</v>
      </c>
      <c r="GE71" s="3">
        <v>0.48399999999999999</v>
      </c>
      <c r="GF71" s="3">
        <v>0</v>
      </c>
      <c r="GG71" s="3">
        <v>0</v>
      </c>
      <c r="GH71" s="3">
        <v>1.6E-2</v>
      </c>
      <c r="GI71" s="3">
        <v>1.6E-2</v>
      </c>
      <c r="GJ71" s="3">
        <v>0.81200000000000006</v>
      </c>
      <c r="GK71" s="3">
        <v>0.999</v>
      </c>
      <c r="GL71" s="3">
        <v>6.8890000000000002</v>
      </c>
      <c r="GM71" s="3">
        <v>7.7640000000000002</v>
      </c>
      <c r="GN71" s="3">
        <v>24.916</v>
      </c>
      <c r="GO71" s="3">
        <v>24.088000000000001</v>
      </c>
      <c r="GP71" s="3">
        <v>1.4999999999999999E-2</v>
      </c>
      <c r="GQ71" s="3">
        <v>0</v>
      </c>
      <c r="GR71" s="3">
        <v>1.6E-2</v>
      </c>
      <c r="GS71" s="3">
        <v>0.46899999999999997</v>
      </c>
      <c r="GT71" s="3">
        <v>43.192999999999998</v>
      </c>
      <c r="GU71" s="3">
        <v>1.36</v>
      </c>
      <c r="GV71" s="3">
        <v>57.220999999999997</v>
      </c>
      <c r="GW71" s="3">
        <v>61.204000000000001</v>
      </c>
      <c r="GX71" s="3">
        <v>12.872999999999999</v>
      </c>
      <c r="GY71" s="3">
        <v>0</v>
      </c>
      <c r="GZ71" s="3">
        <v>0</v>
      </c>
      <c r="HA71" s="3">
        <v>35.210999999999999</v>
      </c>
      <c r="HB71" s="3">
        <v>51.753</v>
      </c>
      <c r="HC71" s="3">
        <v>1.6E-2</v>
      </c>
      <c r="HD71" s="3">
        <v>22.010999999999999</v>
      </c>
      <c r="HE71" s="3">
        <v>25.885000000000002</v>
      </c>
      <c r="HF71" s="3">
        <v>49.91</v>
      </c>
      <c r="HG71" s="3">
        <v>49.784999999999997</v>
      </c>
      <c r="HH71" s="3">
        <v>75.888999999999996</v>
      </c>
      <c r="HI71" s="3">
        <v>76.388000000000005</v>
      </c>
      <c r="HJ71" s="3">
        <v>2.7E-2</v>
      </c>
      <c r="HK71" s="3">
        <v>0.104</v>
      </c>
      <c r="HL71" s="3">
        <v>0.80900000000000005</v>
      </c>
      <c r="HM71" s="3">
        <v>1.0069999999999999</v>
      </c>
      <c r="HN71" s="3">
        <v>1.042</v>
      </c>
      <c r="HO71" s="3">
        <v>1E-3</v>
      </c>
      <c r="HP71" s="3">
        <v>1E-3</v>
      </c>
      <c r="HQ71" s="3">
        <v>2E-3</v>
      </c>
      <c r="HR71" s="3">
        <v>1E-3</v>
      </c>
      <c r="HS71" s="3">
        <v>0.01</v>
      </c>
      <c r="HT71" s="3">
        <v>1.7999999999999999E-2</v>
      </c>
      <c r="HU71" s="3">
        <v>4.0000000000000001E-3</v>
      </c>
      <c r="HV71" s="3">
        <v>0</v>
      </c>
      <c r="HW71" s="3">
        <v>1.1399999999999999</v>
      </c>
      <c r="HX71" s="3">
        <v>1.7909999999999999</v>
      </c>
      <c r="HY71" s="3">
        <v>0</v>
      </c>
      <c r="HZ71" s="3">
        <v>2.9279999999999999</v>
      </c>
      <c r="IA71" s="3">
        <v>1E-3</v>
      </c>
      <c r="IB71" s="3">
        <v>2E-3</v>
      </c>
      <c r="IC71" s="3">
        <v>2E-3</v>
      </c>
      <c r="ID71" s="3">
        <v>8.9999999999999993E-3</v>
      </c>
      <c r="IE71" s="3">
        <v>2.9470000000000001</v>
      </c>
      <c r="IF71" s="3">
        <v>5.0380000000000003</v>
      </c>
      <c r="IG71" s="3">
        <v>5.43</v>
      </c>
      <c r="IH71" s="3">
        <v>2E-3</v>
      </c>
      <c r="II71" s="3">
        <v>3.5910000000000002</v>
      </c>
      <c r="IJ71" s="3">
        <v>4.8120000000000003</v>
      </c>
      <c r="IK71" s="3">
        <v>4.093</v>
      </c>
      <c r="IL71" s="3">
        <v>1E-3</v>
      </c>
      <c r="IM71" s="3">
        <v>1E-3</v>
      </c>
      <c r="IN71" s="3">
        <v>6.0000000000000001E-3</v>
      </c>
      <c r="IO71" s="3">
        <v>4.2999999999999997E-2</v>
      </c>
      <c r="IP71" s="3">
        <v>6.1219999999999999</v>
      </c>
      <c r="IQ71" s="3">
        <v>5.0650000000000004</v>
      </c>
      <c r="IR71" s="3">
        <v>6.8739999999999997</v>
      </c>
      <c r="IS71" s="3">
        <v>9.1329999999999991</v>
      </c>
      <c r="IT71" s="3">
        <v>0.14099999999999999</v>
      </c>
      <c r="IU71" s="3">
        <v>2.234</v>
      </c>
      <c r="IV71" s="3">
        <v>7.2320000000000002</v>
      </c>
      <c r="IW71" s="3">
        <v>0.56299999999999994</v>
      </c>
      <c r="IX71" s="3">
        <v>7.9459999999999997</v>
      </c>
      <c r="IY71" s="3">
        <v>0.23499999999999999</v>
      </c>
      <c r="IZ71" s="3">
        <v>0</v>
      </c>
      <c r="JA71" s="3">
        <v>1.6E-2</v>
      </c>
      <c r="JB71" s="3">
        <v>0</v>
      </c>
      <c r="JC71" s="3">
        <v>6.3E-2</v>
      </c>
      <c r="JD71" s="3">
        <v>10.701000000000001</v>
      </c>
      <c r="JE71" s="3">
        <v>0.109</v>
      </c>
      <c r="JF71" s="3">
        <v>8.5139999999999993</v>
      </c>
      <c r="JG71" s="3">
        <v>0</v>
      </c>
      <c r="JH71" s="3">
        <v>0</v>
      </c>
      <c r="JI71" s="3">
        <v>0</v>
      </c>
      <c r="JJ71" s="3">
        <v>0</v>
      </c>
      <c r="JK71" s="3">
        <v>25.571999999999999</v>
      </c>
      <c r="JL71" s="3">
        <v>1.6E-2</v>
      </c>
      <c r="JM71" s="3">
        <v>1.6E-2</v>
      </c>
      <c r="JN71" s="3">
        <v>33.914000000000001</v>
      </c>
      <c r="JO71" s="3">
        <v>43.256</v>
      </c>
      <c r="JP71" s="3">
        <v>49.972000000000001</v>
      </c>
      <c r="JQ71" s="3">
        <v>50.738</v>
      </c>
      <c r="JR71" s="3">
        <v>0</v>
      </c>
      <c r="JS71" s="3">
        <v>20.933</v>
      </c>
      <c r="JT71" s="3">
        <v>31.102</v>
      </c>
      <c r="JU71" s="3">
        <v>0</v>
      </c>
      <c r="JV71" s="3">
        <v>52.753999999999998</v>
      </c>
      <c r="JW71" s="3">
        <v>3.9209999999999998</v>
      </c>
      <c r="JX71" s="3">
        <v>30.367999999999999</v>
      </c>
      <c r="JY71" s="3">
        <v>23.37</v>
      </c>
      <c r="JZ71" s="3">
        <v>46.738999999999997</v>
      </c>
      <c r="KA71" s="3">
        <v>51.658999999999999</v>
      </c>
      <c r="KB71" s="3">
        <v>90.384</v>
      </c>
      <c r="KC71" s="3">
        <v>74.03</v>
      </c>
      <c r="KD71" s="3">
        <v>0</v>
      </c>
      <c r="KE71" s="3">
        <v>0.49199999999999999</v>
      </c>
      <c r="KF71" s="3">
        <v>3.0000000000000001E-3</v>
      </c>
      <c r="KG71" s="3">
        <v>0.80700000000000005</v>
      </c>
      <c r="KH71" s="3">
        <v>1.3839999999999999</v>
      </c>
      <c r="KI71" s="3">
        <v>1.802</v>
      </c>
      <c r="KJ71" s="3">
        <v>5.0000000000000001E-3</v>
      </c>
      <c r="KK71" s="3">
        <v>1E-3</v>
      </c>
      <c r="KL71" s="3">
        <v>4.0000000000000001E-3</v>
      </c>
      <c r="KM71" s="3">
        <v>5.0000000000000001E-3</v>
      </c>
      <c r="KN71" s="3">
        <v>1.2E-2</v>
      </c>
      <c r="KO71" s="3">
        <v>7.0000000000000001E-3</v>
      </c>
      <c r="KP71" s="3">
        <v>0</v>
      </c>
      <c r="KQ71" s="3">
        <v>1.35</v>
      </c>
      <c r="KR71" s="3">
        <v>1.3360000000000001</v>
      </c>
      <c r="KS71" s="3">
        <v>2.9430000000000001</v>
      </c>
      <c r="KT71" s="3">
        <v>0</v>
      </c>
      <c r="KU71" s="3">
        <v>3.0000000000000001E-3</v>
      </c>
      <c r="KV71" s="3">
        <v>2E-3</v>
      </c>
      <c r="KW71" s="3">
        <v>2E-3</v>
      </c>
      <c r="KX71" s="3">
        <v>0.13200000000000001</v>
      </c>
      <c r="KY71" s="3">
        <v>1.6E-2</v>
      </c>
      <c r="KZ71" s="3">
        <v>5.46</v>
      </c>
      <c r="LA71" s="3">
        <v>5.2469999999999999</v>
      </c>
      <c r="LB71" s="3">
        <v>1.6950000000000001</v>
      </c>
      <c r="LC71" s="3">
        <v>0</v>
      </c>
      <c r="LD71" s="3">
        <v>3.3980000000000001</v>
      </c>
      <c r="LE71" s="3">
        <v>4.2030000000000003</v>
      </c>
      <c r="LF71" s="3">
        <v>1E-3</v>
      </c>
      <c r="LG71" s="3">
        <v>2E-3</v>
      </c>
      <c r="LH71" s="3">
        <v>2E-3</v>
      </c>
      <c r="LI71" s="3">
        <v>1.9550000000000001</v>
      </c>
      <c r="LJ71" s="3">
        <v>4.7480000000000002</v>
      </c>
      <c r="LK71" s="3">
        <v>5.4619999999999997</v>
      </c>
      <c r="LL71" s="3">
        <v>8.4830000000000005</v>
      </c>
      <c r="LM71" s="3">
        <v>8.7210000000000001</v>
      </c>
      <c r="LN71" s="3">
        <v>1.6E-2</v>
      </c>
      <c r="LO71" s="3">
        <v>1.6E-2</v>
      </c>
      <c r="LP71" s="3">
        <v>7.2480000000000002</v>
      </c>
      <c r="LQ71" s="3">
        <v>6.67</v>
      </c>
      <c r="LR71" s="3">
        <v>9.1539999999999999</v>
      </c>
      <c r="LS71" s="3">
        <v>8.952</v>
      </c>
      <c r="LT71" s="3">
        <v>0</v>
      </c>
      <c r="LU71" s="3">
        <v>1.6E-2</v>
      </c>
      <c r="LV71" s="3">
        <v>1.4999999999999999E-2</v>
      </c>
      <c r="LW71" s="3">
        <v>1.6E-2</v>
      </c>
      <c r="LX71" s="3">
        <v>0.375</v>
      </c>
      <c r="LY71" s="3">
        <v>0.54700000000000004</v>
      </c>
      <c r="LZ71" s="3">
        <v>8.0289999999999999</v>
      </c>
      <c r="MA71" s="3">
        <v>0</v>
      </c>
      <c r="MB71" s="3">
        <v>17.777999999999999</v>
      </c>
      <c r="MC71" s="3">
        <v>0</v>
      </c>
      <c r="MD71" s="3">
        <v>29.055</v>
      </c>
      <c r="ME71" s="3">
        <v>0</v>
      </c>
      <c r="MF71" s="3">
        <v>0</v>
      </c>
      <c r="MG71" s="3">
        <v>4.7E-2</v>
      </c>
      <c r="MH71" s="3">
        <v>37.677999999999997</v>
      </c>
      <c r="MI71" s="3">
        <v>0.28100000000000003</v>
      </c>
      <c r="MJ71" s="3">
        <v>54.158999999999999</v>
      </c>
      <c r="MK71" s="3">
        <v>65.125</v>
      </c>
      <c r="ML71" s="3">
        <v>17.777000000000001</v>
      </c>
      <c r="MM71" s="3">
        <v>1.6E-2</v>
      </c>
      <c r="MN71" s="3">
        <v>33.100999999999999</v>
      </c>
      <c r="MO71" s="3">
        <v>34.927999999999997</v>
      </c>
      <c r="MP71" s="3">
        <v>1.6E-2</v>
      </c>
      <c r="MQ71" s="3">
        <v>0</v>
      </c>
      <c r="MR71" s="3">
        <v>18.73</v>
      </c>
      <c r="MS71" s="3">
        <v>2.2810000000000001</v>
      </c>
      <c r="MT71" s="3">
        <v>52.003</v>
      </c>
      <c r="MU71" s="3">
        <v>49.77</v>
      </c>
      <c r="MV71" s="3">
        <v>85.215000000000003</v>
      </c>
      <c r="MW71" s="3">
        <v>77.748000000000005</v>
      </c>
    </row>
    <row r="72" spans="1:363" x14ac:dyDescent="0.3">
      <c r="A72" s="3">
        <v>30</v>
      </c>
      <c r="B72" s="3">
        <v>0.42599999999999999</v>
      </c>
      <c r="C72" s="3">
        <v>0</v>
      </c>
      <c r="D72" s="3">
        <v>0.72099999999999997</v>
      </c>
      <c r="E72" s="3">
        <v>0.98499999999999999</v>
      </c>
      <c r="F72" s="3">
        <v>1E-3</v>
      </c>
      <c r="G72" s="3">
        <v>1.5189999999999999</v>
      </c>
      <c r="H72" s="3">
        <v>1E-3</v>
      </c>
      <c r="I72" s="3">
        <v>2E-3</v>
      </c>
      <c r="J72" s="3">
        <v>0.01</v>
      </c>
      <c r="K72" s="3">
        <v>6.0000000000000001E-3</v>
      </c>
      <c r="L72" s="3">
        <v>4.2000000000000003E-2</v>
      </c>
      <c r="M72" s="3">
        <v>1.2E-2</v>
      </c>
      <c r="N72" s="3">
        <v>0.72899999999999998</v>
      </c>
      <c r="O72" s="3">
        <v>0.82</v>
      </c>
      <c r="P72" s="3">
        <v>2.0609999999999999</v>
      </c>
      <c r="Q72" s="3">
        <v>0</v>
      </c>
      <c r="R72" s="3">
        <v>3.2509999999999999</v>
      </c>
      <c r="S72" s="3">
        <v>2.9590000000000001</v>
      </c>
      <c r="T72" s="3">
        <v>1E-3</v>
      </c>
      <c r="U72" s="3">
        <v>4.0000000000000001E-3</v>
      </c>
      <c r="V72" s="3">
        <v>1.0209999999999999</v>
      </c>
      <c r="W72" s="3">
        <v>2.4950000000000001</v>
      </c>
      <c r="X72" s="3">
        <v>3.6749999999999998</v>
      </c>
      <c r="Y72" s="3">
        <v>5.0460000000000003</v>
      </c>
      <c r="Z72" s="3">
        <v>1.7829999999999999</v>
      </c>
      <c r="AA72" s="3">
        <v>2.0979999999999999</v>
      </c>
      <c r="AB72" s="3">
        <v>4.3010000000000002</v>
      </c>
      <c r="AC72" s="3">
        <v>3.7759999999999998</v>
      </c>
      <c r="AD72" s="3">
        <v>4.7279999999999998</v>
      </c>
      <c r="AE72" s="3">
        <v>1E-3</v>
      </c>
      <c r="AF72" s="3">
        <v>2.1440000000000001</v>
      </c>
      <c r="AG72" s="3">
        <v>2.2570000000000001</v>
      </c>
      <c r="AH72" s="3">
        <v>5.1260000000000003</v>
      </c>
      <c r="AI72" s="3">
        <v>5.5529999999999999</v>
      </c>
      <c r="AJ72" s="3">
        <v>5.9039999999999999</v>
      </c>
      <c r="AK72" s="3">
        <v>8.4280000000000008</v>
      </c>
      <c r="AL72" s="3">
        <v>0</v>
      </c>
      <c r="AM72" s="3">
        <v>1.4999999999999999E-2</v>
      </c>
      <c r="AN72" s="3">
        <v>7.1550000000000002</v>
      </c>
      <c r="AO72" s="3">
        <v>9.2999999999999999E-2</v>
      </c>
      <c r="AP72" s="3">
        <v>8.9039999999999999</v>
      </c>
      <c r="AQ72" s="3">
        <v>3.2000000000000001E-2</v>
      </c>
      <c r="AR72" s="3">
        <v>0</v>
      </c>
      <c r="AS72" s="3">
        <v>0</v>
      </c>
      <c r="AT72" s="3">
        <v>0.29699999999999999</v>
      </c>
      <c r="AU72" s="3">
        <v>1.4999999999999999E-2</v>
      </c>
      <c r="AV72" s="3">
        <v>1.4370000000000001</v>
      </c>
      <c r="AW72" s="3">
        <v>0.79700000000000004</v>
      </c>
      <c r="AX72" s="3">
        <v>0</v>
      </c>
      <c r="AY72" s="3">
        <v>7.7480000000000002</v>
      </c>
      <c r="AZ72" s="3">
        <v>22.87</v>
      </c>
      <c r="BA72" s="3">
        <v>3.1240000000000001</v>
      </c>
      <c r="BB72" s="3">
        <v>31.305</v>
      </c>
      <c r="BC72" s="3">
        <v>28.727</v>
      </c>
      <c r="BD72" s="3">
        <v>7.8E-2</v>
      </c>
      <c r="BE72" s="3">
        <v>0.14000000000000001</v>
      </c>
      <c r="BF72" s="3">
        <v>4.03</v>
      </c>
      <c r="BG72" s="3">
        <v>12.731</v>
      </c>
      <c r="BH72" s="3">
        <v>44.645000000000003</v>
      </c>
      <c r="BI72" s="3">
        <v>76.260999999999996</v>
      </c>
      <c r="BJ72" s="3">
        <v>11.919</v>
      </c>
      <c r="BK72" s="3">
        <v>21.355</v>
      </c>
      <c r="BL72" s="3">
        <v>1.4999999999999999E-2</v>
      </c>
      <c r="BM72" s="3">
        <v>40.241</v>
      </c>
      <c r="BN72" s="3">
        <v>54.222000000000001</v>
      </c>
      <c r="BO72" s="3">
        <v>52.488</v>
      </c>
      <c r="BP72" s="3">
        <v>25.509</v>
      </c>
      <c r="BQ72" s="3">
        <v>4.734</v>
      </c>
      <c r="BR72" s="3">
        <v>53.924999999999997</v>
      </c>
      <c r="BS72" s="3">
        <v>53.643000000000001</v>
      </c>
      <c r="BT72" s="3">
        <v>76.888000000000005</v>
      </c>
      <c r="BU72" s="3">
        <v>79.528000000000006</v>
      </c>
      <c r="BV72" s="3">
        <v>0.10199999999999999</v>
      </c>
      <c r="BW72" s="3">
        <v>1E-3</v>
      </c>
      <c r="BX72" s="3">
        <v>0.68700000000000006</v>
      </c>
      <c r="BY72" s="3">
        <v>1.028</v>
      </c>
      <c r="BZ72" s="3">
        <v>1.123</v>
      </c>
      <c r="CA72" s="3">
        <v>1.1519999999999999</v>
      </c>
      <c r="CB72" s="3">
        <v>2E-3</v>
      </c>
      <c r="CC72" s="3">
        <v>3.0000000000000001E-3</v>
      </c>
      <c r="CD72" s="3">
        <v>1E-3</v>
      </c>
      <c r="CE72" s="3">
        <v>1E-3</v>
      </c>
      <c r="CF72" s="3">
        <v>0.13</v>
      </c>
      <c r="CG72" s="3">
        <v>5.0000000000000001E-3</v>
      </c>
      <c r="CH72" s="3">
        <v>0.95699999999999996</v>
      </c>
      <c r="CI72" s="3">
        <v>0</v>
      </c>
      <c r="CJ72" s="3">
        <v>1.792</v>
      </c>
      <c r="CK72" s="3">
        <v>2.234</v>
      </c>
      <c r="CL72" s="3">
        <v>0</v>
      </c>
      <c r="CM72" s="3">
        <v>0</v>
      </c>
      <c r="CN72" s="3">
        <v>1E-3</v>
      </c>
      <c r="CO72" s="3">
        <v>1.4999999999999999E-2</v>
      </c>
      <c r="CP72" s="3">
        <v>3.6070000000000002</v>
      </c>
      <c r="CQ72" s="3">
        <v>3.9E-2</v>
      </c>
      <c r="CR72" s="3">
        <v>4.9489999999999998</v>
      </c>
      <c r="CS72" s="3">
        <v>3.92</v>
      </c>
      <c r="CT72" s="3">
        <v>0</v>
      </c>
      <c r="CU72" s="3">
        <v>0</v>
      </c>
      <c r="CV72" s="3">
        <v>0</v>
      </c>
      <c r="CW72" s="3">
        <v>0.01</v>
      </c>
      <c r="CX72" s="3">
        <v>1E-3</v>
      </c>
      <c r="CY72" s="3">
        <v>0.443</v>
      </c>
      <c r="CZ72" s="3">
        <v>3.0000000000000001E-3</v>
      </c>
      <c r="DA72" s="3">
        <v>3.1E-2</v>
      </c>
      <c r="DB72" s="3">
        <v>7.2290000000000001</v>
      </c>
      <c r="DC72" s="3">
        <v>7.4980000000000002</v>
      </c>
      <c r="DD72" s="3">
        <v>7.9779999999999998</v>
      </c>
      <c r="DE72" s="3">
        <v>8.76</v>
      </c>
      <c r="DF72" s="3">
        <v>7.8E-2</v>
      </c>
      <c r="DG72" s="3">
        <v>3.1709999999999998</v>
      </c>
      <c r="DH72" s="3">
        <v>6.2E-2</v>
      </c>
      <c r="DI72" s="3">
        <v>8.8260000000000005</v>
      </c>
      <c r="DJ72" s="3">
        <v>1.4999999999999999E-2</v>
      </c>
      <c r="DK72" s="3">
        <v>10.779</v>
      </c>
      <c r="DL72" s="3">
        <v>0</v>
      </c>
      <c r="DM72" s="3">
        <v>0</v>
      </c>
      <c r="DN72" s="3">
        <v>0</v>
      </c>
      <c r="DO72" s="3">
        <v>0.14000000000000001</v>
      </c>
      <c r="DP72" s="3">
        <v>0.40600000000000003</v>
      </c>
      <c r="DQ72" s="3">
        <v>6.2E-2</v>
      </c>
      <c r="DR72" s="3">
        <v>0</v>
      </c>
      <c r="DS72" s="3">
        <v>0</v>
      </c>
      <c r="DT72" s="3">
        <v>22.198</v>
      </c>
      <c r="DU72" s="3">
        <v>15.637</v>
      </c>
      <c r="DV72" s="3">
        <v>0</v>
      </c>
      <c r="DW72" s="3">
        <v>0</v>
      </c>
      <c r="DX72" s="3">
        <v>0.109</v>
      </c>
      <c r="DY72" s="3">
        <v>0</v>
      </c>
      <c r="DZ72" s="3">
        <v>36.57</v>
      </c>
      <c r="EA72" s="3">
        <v>59.33</v>
      </c>
      <c r="EB72" s="3">
        <v>71.123999999999995</v>
      </c>
      <c r="EC72" s="3">
        <v>69.498999999999995</v>
      </c>
      <c r="ED72" s="3">
        <v>13.824999999999999</v>
      </c>
      <c r="EE72" s="3">
        <v>0.157</v>
      </c>
      <c r="EF72" s="3">
        <v>45.927</v>
      </c>
      <c r="EG72" s="3">
        <v>33.616999999999997</v>
      </c>
      <c r="EH72" s="3">
        <v>52.456000000000003</v>
      </c>
      <c r="EI72" s="3">
        <v>53.832000000000001</v>
      </c>
      <c r="EJ72" s="3">
        <v>24.01</v>
      </c>
      <c r="EK72" s="3">
        <v>30.867999999999999</v>
      </c>
      <c r="EL72" s="3">
        <v>49.097000000000001</v>
      </c>
      <c r="EM72" s="3">
        <v>59.377000000000002</v>
      </c>
      <c r="EN72" s="3">
        <v>90.587999999999994</v>
      </c>
      <c r="EO72" s="3">
        <v>84.34</v>
      </c>
      <c r="EP72" s="3">
        <v>0.217</v>
      </c>
      <c r="EQ72" s="3">
        <v>4.0000000000000001E-3</v>
      </c>
      <c r="ER72" s="3">
        <v>0.68500000000000005</v>
      </c>
      <c r="ES72" s="3">
        <v>5.6000000000000001E-2</v>
      </c>
      <c r="ET72" s="3">
        <v>0.95</v>
      </c>
      <c r="EU72" s="3">
        <v>1.456</v>
      </c>
      <c r="EV72" s="3">
        <v>1E-3</v>
      </c>
      <c r="EW72" s="3">
        <v>2E-3</v>
      </c>
      <c r="EX72" s="3">
        <v>2E-3</v>
      </c>
      <c r="EY72" s="3">
        <v>2E-3</v>
      </c>
      <c r="EZ72" s="3">
        <v>0.26100000000000001</v>
      </c>
      <c r="FA72" s="3">
        <v>4.0000000000000001E-3</v>
      </c>
      <c r="FB72" s="3">
        <v>3.3000000000000002E-2</v>
      </c>
      <c r="FC72" s="3">
        <v>1.2450000000000001</v>
      </c>
      <c r="FD72" s="3">
        <v>1.9390000000000001</v>
      </c>
      <c r="FE72" s="3">
        <v>0</v>
      </c>
      <c r="FF72" s="3">
        <v>2.879</v>
      </c>
      <c r="FG72" s="3">
        <v>4.8449999999999998</v>
      </c>
      <c r="FH72" s="3">
        <v>2E-3</v>
      </c>
      <c r="FI72" s="3">
        <v>5.0000000000000001E-3</v>
      </c>
      <c r="FJ72" s="3">
        <v>4.7E-2</v>
      </c>
      <c r="FK72" s="3">
        <v>0.02</v>
      </c>
      <c r="FL72" s="3">
        <v>5.6379999999999999</v>
      </c>
      <c r="FM72" s="3">
        <v>4.4649999999999999</v>
      </c>
      <c r="FN72" s="3">
        <v>0</v>
      </c>
      <c r="FO72" s="3">
        <v>1.5089999999999999</v>
      </c>
      <c r="FP72" s="3">
        <v>0</v>
      </c>
      <c r="FQ72" s="3">
        <v>5.2430000000000003</v>
      </c>
      <c r="FR72" s="3">
        <v>6.6059999999999999</v>
      </c>
      <c r="FS72" s="3">
        <v>2.3340000000000001</v>
      </c>
      <c r="FT72" s="3">
        <v>1.7709999999999999</v>
      </c>
      <c r="FU72" s="3">
        <v>1.885</v>
      </c>
      <c r="FV72" s="3">
        <v>5.4889999999999999</v>
      </c>
      <c r="FW72" s="3">
        <v>4.6100000000000003</v>
      </c>
      <c r="FX72" s="3">
        <v>8.5709999999999997</v>
      </c>
      <c r="FY72" s="3">
        <v>7.9859999999999998</v>
      </c>
      <c r="FZ72" s="3">
        <v>2.2970000000000002</v>
      </c>
      <c r="GA72" s="3">
        <v>4.7E-2</v>
      </c>
      <c r="GB72" s="3">
        <v>8.2639999999999993</v>
      </c>
      <c r="GC72" s="3">
        <v>8.92</v>
      </c>
      <c r="GD72" s="3">
        <v>0</v>
      </c>
      <c r="GE72" s="3">
        <v>0.109</v>
      </c>
      <c r="GF72" s="3">
        <v>0</v>
      </c>
      <c r="GG72" s="3">
        <v>0</v>
      </c>
      <c r="GH72" s="3">
        <v>1.4999999999999999E-2</v>
      </c>
      <c r="GI72" s="3">
        <v>3.1E-2</v>
      </c>
      <c r="GJ72" s="3">
        <v>2.4529999999999998</v>
      </c>
      <c r="GK72" s="3">
        <v>9.4E-2</v>
      </c>
      <c r="GL72" s="3">
        <v>7.17</v>
      </c>
      <c r="GM72" s="3">
        <v>8.3729999999999993</v>
      </c>
      <c r="GN72" s="3">
        <v>23.869</v>
      </c>
      <c r="GO72" s="3">
        <v>22.292000000000002</v>
      </c>
      <c r="GP72" s="3">
        <v>0</v>
      </c>
      <c r="GQ72" s="3">
        <v>0</v>
      </c>
      <c r="GR72" s="3">
        <v>0</v>
      </c>
      <c r="GS72" s="3">
        <v>4.7E-2</v>
      </c>
      <c r="GT72" s="3">
        <v>44.161999999999999</v>
      </c>
      <c r="GU72" s="3">
        <v>3.4049999999999998</v>
      </c>
      <c r="GV72" s="3">
        <v>57.345999999999997</v>
      </c>
      <c r="GW72" s="3">
        <v>62.984999999999999</v>
      </c>
      <c r="GX72" s="3">
        <v>13.06</v>
      </c>
      <c r="GY72" s="3">
        <v>0</v>
      </c>
      <c r="GZ72" s="3">
        <v>0</v>
      </c>
      <c r="HA72" s="3">
        <v>34.975999999999999</v>
      </c>
      <c r="HB72" s="3">
        <v>51.41</v>
      </c>
      <c r="HC72" s="3">
        <v>0</v>
      </c>
      <c r="HD72" s="3">
        <v>20.088999999999999</v>
      </c>
      <c r="HE72" s="3">
        <v>25.759</v>
      </c>
      <c r="HF72" s="3">
        <v>49.097000000000001</v>
      </c>
      <c r="HG72" s="3">
        <v>55.456000000000003</v>
      </c>
      <c r="HH72" s="3">
        <v>74.106999999999999</v>
      </c>
      <c r="HI72" s="3">
        <v>79.840999999999994</v>
      </c>
      <c r="HJ72" s="3">
        <v>2.7E-2</v>
      </c>
      <c r="HK72" s="3">
        <v>0.126</v>
      </c>
      <c r="HL72" s="3">
        <v>0.84</v>
      </c>
      <c r="HM72" s="3">
        <v>0.78400000000000003</v>
      </c>
      <c r="HN72" s="3">
        <v>0.99199999999999999</v>
      </c>
      <c r="HO72" s="3">
        <v>1E-3</v>
      </c>
      <c r="HP72" s="3">
        <v>1E-3</v>
      </c>
      <c r="HQ72" s="3">
        <v>2E-3</v>
      </c>
      <c r="HR72" s="3">
        <v>4.0000000000000001E-3</v>
      </c>
      <c r="HS72" s="3">
        <v>8.9999999999999993E-3</v>
      </c>
      <c r="HT72" s="3">
        <v>6.0000000000000001E-3</v>
      </c>
      <c r="HU72" s="3">
        <v>5.0000000000000001E-3</v>
      </c>
      <c r="HV72" s="3">
        <v>0</v>
      </c>
      <c r="HW72" s="3">
        <v>1.0289999999999999</v>
      </c>
      <c r="HX72" s="3">
        <v>1.8009999999999999</v>
      </c>
      <c r="HY72" s="3">
        <v>0</v>
      </c>
      <c r="HZ72" s="3">
        <v>2.8250000000000002</v>
      </c>
      <c r="IA72" s="3">
        <v>1E-3</v>
      </c>
      <c r="IB72" s="3">
        <v>4.0000000000000001E-3</v>
      </c>
      <c r="IC72" s="3">
        <v>2E-3</v>
      </c>
      <c r="ID72" s="3">
        <v>3.0000000000000001E-3</v>
      </c>
      <c r="IE72" s="3">
        <v>3.0150000000000001</v>
      </c>
      <c r="IF72" s="3">
        <v>4.6070000000000002</v>
      </c>
      <c r="IG72" s="3">
        <v>4.7110000000000003</v>
      </c>
      <c r="IH72" s="3">
        <v>5.0000000000000001E-3</v>
      </c>
      <c r="II72" s="3">
        <v>3.363</v>
      </c>
      <c r="IJ72" s="3">
        <v>5.1680000000000001</v>
      </c>
      <c r="IK72" s="3">
        <v>4.226</v>
      </c>
      <c r="IL72" s="3">
        <v>1E-3</v>
      </c>
      <c r="IM72" s="3">
        <v>1E-3</v>
      </c>
      <c r="IN72" s="3">
        <v>2E-3</v>
      </c>
      <c r="IO72" s="3">
        <v>0.34399999999999997</v>
      </c>
      <c r="IP72" s="3">
        <v>6.218</v>
      </c>
      <c r="IQ72" s="3">
        <v>5.5259999999999998</v>
      </c>
      <c r="IR72" s="3">
        <v>7.3470000000000004</v>
      </c>
      <c r="IS72" s="3">
        <v>8.6189999999999998</v>
      </c>
      <c r="IT72" s="3">
        <v>3.1E-2</v>
      </c>
      <c r="IU72" s="3">
        <v>2.468</v>
      </c>
      <c r="IV72" s="3">
        <v>7.2640000000000002</v>
      </c>
      <c r="IW72" s="3">
        <v>0.109</v>
      </c>
      <c r="IX72" s="3">
        <v>7.7009999999999996</v>
      </c>
      <c r="IY72" s="3">
        <v>1.4999999999999999E-2</v>
      </c>
      <c r="IZ72" s="3">
        <v>0</v>
      </c>
      <c r="JA72" s="3">
        <v>0</v>
      </c>
      <c r="JB72" s="3">
        <v>0</v>
      </c>
      <c r="JC72" s="3">
        <v>1.4999999999999999E-2</v>
      </c>
      <c r="JD72" s="3">
        <v>6.9980000000000002</v>
      </c>
      <c r="JE72" s="3">
        <v>0.20300000000000001</v>
      </c>
      <c r="JF72" s="3">
        <v>8.2479999999999993</v>
      </c>
      <c r="JG72" s="3">
        <v>0</v>
      </c>
      <c r="JH72" s="3">
        <v>0</v>
      </c>
      <c r="JI72" s="3">
        <v>0</v>
      </c>
      <c r="JJ72" s="3">
        <v>1.4999999999999999E-2</v>
      </c>
      <c r="JK72" s="3">
        <v>27.306000000000001</v>
      </c>
      <c r="JL72" s="3">
        <v>0</v>
      </c>
      <c r="JM72" s="3">
        <v>4.5999999999999999E-2</v>
      </c>
      <c r="JN72" s="3">
        <v>35.289000000000001</v>
      </c>
      <c r="JO72" s="3">
        <v>43.802</v>
      </c>
      <c r="JP72" s="3">
        <v>45.957999999999998</v>
      </c>
      <c r="JQ72" s="3">
        <v>45.52</v>
      </c>
      <c r="JR72" s="3">
        <v>0</v>
      </c>
      <c r="JS72" s="3">
        <v>19.088999999999999</v>
      </c>
      <c r="JT72" s="3">
        <v>31.210999999999999</v>
      </c>
      <c r="JU72" s="3">
        <v>0</v>
      </c>
      <c r="JV72" s="3">
        <v>52.472000000000001</v>
      </c>
      <c r="JW72" s="3">
        <v>7.8730000000000002</v>
      </c>
      <c r="JX72" s="3">
        <v>28.821000000000002</v>
      </c>
      <c r="JY72" s="3">
        <v>22.885000000000002</v>
      </c>
      <c r="JZ72" s="3">
        <v>49.768999999999998</v>
      </c>
      <c r="KA72" s="3">
        <v>53.862000000000002</v>
      </c>
      <c r="KB72" s="3">
        <v>79.311999999999998</v>
      </c>
      <c r="KC72" s="3">
        <v>77.513000000000005</v>
      </c>
      <c r="KD72" s="3">
        <v>0</v>
      </c>
      <c r="KE72" s="3">
        <v>0.47699999999999998</v>
      </c>
      <c r="KF72" s="3">
        <v>1.4999999999999999E-2</v>
      </c>
      <c r="KG72" s="3">
        <v>0.73899999999999999</v>
      </c>
      <c r="KH72" s="3">
        <v>1.573</v>
      </c>
      <c r="KI72" s="3">
        <v>1.798</v>
      </c>
      <c r="KJ72" s="3">
        <v>2E-3</v>
      </c>
      <c r="KK72" s="3">
        <v>1E-3</v>
      </c>
      <c r="KL72" s="3">
        <v>2E-3</v>
      </c>
      <c r="KM72" s="3">
        <v>3.0000000000000001E-3</v>
      </c>
      <c r="KN72" s="3">
        <v>0.14599999999999999</v>
      </c>
      <c r="KO72" s="3">
        <v>8.0000000000000002E-3</v>
      </c>
      <c r="KP72" s="3">
        <v>0</v>
      </c>
      <c r="KQ72" s="3">
        <v>1.613</v>
      </c>
      <c r="KR72" s="3">
        <v>1.4950000000000001</v>
      </c>
      <c r="KS72" s="3">
        <v>3.6219999999999999</v>
      </c>
      <c r="KT72" s="3">
        <v>0</v>
      </c>
      <c r="KU72" s="3">
        <v>0</v>
      </c>
      <c r="KV72" s="3">
        <v>1E-3</v>
      </c>
      <c r="KW72" s="3">
        <v>2E-3</v>
      </c>
      <c r="KX72" s="3">
        <v>0.05</v>
      </c>
      <c r="KY72" s="3">
        <v>1.2999999999999999E-2</v>
      </c>
      <c r="KZ72" s="3">
        <v>5.1449999999999996</v>
      </c>
      <c r="LA72" s="3">
        <v>5.2649999999999997</v>
      </c>
      <c r="LB72" s="3">
        <v>1.5960000000000001</v>
      </c>
      <c r="LC72" s="3">
        <v>0</v>
      </c>
      <c r="LD72" s="3">
        <v>3.4140000000000001</v>
      </c>
      <c r="LE72" s="3">
        <v>4.0069999999999997</v>
      </c>
      <c r="LF72" s="3">
        <v>0</v>
      </c>
      <c r="LG72" s="3">
        <v>0</v>
      </c>
      <c r="LH72" s="3">
        <v>5.0000000000000001E-3</v>
      </c>
      <c r="LI72" s="3">
        <v>2.234</v>
      </c>
      <c r="LJ72" s="3">
        <v>5.1139999999999999</v>
      </c>
      <c r="LK72" s="3">
        <v>5.3789999999999996</v>
      </c>
      <c r="LL72" s="3">
        <v>8.1180000000000003</v>
      </c>
      <c r="LM72" s="3">
        <v>8.7390000000000008</v>
      </c>
      <c r="LN72" s="3">
        <v>3.1E-2</v>
      </c>
      <c r="LO72" s="3">
        <v>1.4999999999999999E-2</v>
      </c>
      <c r="LP72" s="3">
        <v>8.0299999999999994</v>
      </c>
      <c r="LQ72" s="3">
        <v>6.077</v>
      </c>
      <c r="LR72" s="3">
        <v>9.2789999999999999</v>
      </c>
      <c r="LS72" s="3">
        <v>9.2010000000000005</v>
      </c>
      <c r="LT72" s="3">
        <v>1.4999999999999999E-2</v>
      </c>
      <c r="LU72" s="3">
        <v>0</v>
      </c>
      <c r="LV72" s="3">
        <v>7.8E-2</v>
      </c>
      <c r="LW72" s="3">
        <v>1.4999999999999999E-2</v>
      </c>
      <c r="LX72" s="3">
        <v>5.577</v>
      </c>
      <c r="LY72" s="3">
        <v>0.29599999999999999</v>
      </c>
      <c r="LZ72" s="3">
        <v>8.4979999999999993</v>
      </c>
      <c r="MA72" s="3">
        <v>0</v>
      </c>
      <c r="MB72" s="3">
        <v>18.635999999999999</v>
      </c>
      <c r="MC72" s="3">
        <v>1.6E-2</v>
      </c>
      <c r="MD72" s="3">
        <v>25.056999999999999</v>
      </c>
      <c r="ME72" s="3">
        <v>0</v>
      </c>
      <c r="MF72" s="3">
        <v>0</v>
      </c>
      <c r="MG72" s="3">
        <v>0</v>
      </c>
      <c r="MH72" s="3">
        <v>35.429000000000002</v>
      </c>
      <c r="MI72" s="3">
        <v>0.20300000000000001</v>
      </c>
      <c r="MJ72" s="3">
        <v>50.988</v>
      </c>
      <c r="MK72" s="3">
        <v>56.064999999999998</v>
      </c>
      <c r="ML72" s="3">
        <v>15.778</v>
      </c>
      <c r="MM72" s="3">
        <v>0</v>
      </c>
      <c r="MN72" s="3">
        <v>33.039000000000001</v>
      </c>
      <c r="MO72" s="3">
        <v>38.569000000000003</v>
      </c>
      <c r="MP72" s="3">
        <v>0</v>
      </c>
      <c r="MQ72" s="3">
        <v>0</v>
      </c>
      <c r="MR72" s="3">
        <v>19.37</v>
      </c>
      <c r="MS72" s="3">
        <v>1.9059999999999999</v>
      </c>
      <c r="MT72" s="3">
        <v>47.395000000000003</v>
      </c>
      <c r="MU72" s="3">
        <v>52.941000000000003</v>
      </c>
      <c r="MV72" s="3">
        <v>90.807000000000002</v>
      </c>
      <c r="MW72" s="3">
        <v>89.087999999999994</v>
      </c>
    </row>
    <row r="74" spans="1:363" x14ac:dyDescent="0.3">
      <c r="A74" s="3" t="s">
        <v>6</v>
      </c>
    </row>
    <row r="75" spans="1:363" x14ac:dyDescent="0.3">
      <c r="A75" s="3">
        <v>1</v>
      </c>
      <c r="B75" s="3">
        <f>(B12-B$11)/B$11*100</f>
        <v>1.1494252873563218</v>
      </c>
      <c r="C75" s="3">
        <f t="shared" ref="C75:BN76" si="27">(C12-C$11)/C$11*100</f>
        <v>0</v>
      </c>
      <c r="D75" s="3">
        <f t="shared" si="27"/>
        <v>0.21186440677966101</v>
      </c>
      <c r="E75" s="3">
        <f t="shared" si="27"/>
        <v>6.6513761467889916</v>
      </c>
      <c r="F75" s="3">
        <f t="shared" si="27"/>
        <v>0</v>
      </c>
      <c r="G75" s="3">
        <f t="shared" si="27"/>
        <v>2.1032504780114722</v>
      </c>
      <c r="H75" s="3">
        <f t="shared" si="27"/>
        <v>0</v>
      </c>
      <c r="I75" s="3">
        <f t="shared" si="27"/>
        <v>0</v>
      </c>
      <c r="J75" s="3">
        <f t="shared" si="27"/>
        <v>0</v>
      </c>
      <c r="K75" s="3">
        <f t="shared" si="27"/>
        <v>0</v>
      </c>
      <c r="L75" s="3">
        <f t="shared" si="27"/>
        <v>0</v>
      </c>
      <c r="M75" s="3">
        <f t="shared" si="27"/>
        <v>0</v>
      </c>
      <c r="N75" s="3">
        <f t="shared" si="27"/>
        <v>1.4678899082568808</v>
      </c>
      <c r="O75" s="3">
        <f t="shared" si="27"/>
        <v>1.0373443983402488</v>
      </c>
      <c r="P75" s="3">
        <f t="shared" si="27"/>
        <v>1.6569200779727096</v>
      </c>
      <c r="Q75" s="3">
        <f t="shared" si="27"/>
        <v>0</v>
      </c>
      <c r="R75" s="3">
        <f t="shared" si="27"/>
        <v>0.58027079303675055</v>
      </c>
      <c r="S75" s="3">
        <f t="shared" si="27"/>
        <v>2.8280542986425341</v>
      </c>
      <c r="T75" s="3">
        <f t="shared" si="27"/>
        <v>0</v>
      </c>
      <c r="U75" s="3">
        <f t="shared" si="27"/>
        <v>0</v>
      </c>
      <c r="V75" s="3">
        <f t="shared" si="27"/>
        <v>0</v>
      </c>
      <c r="W75" s="3">
        <f t="shared" si="27"/>
        <v>3.7962962962962963</v>
      </c>
      <c r="X75" s="3">
        <f t="shared" si="27"/>
        <v>0.15503875968992248</v>
      </c>
      <c r="Y75" s="3">
        <f t="shared" si="27"/>
        <v>8.5869565217391308</v>
      </c>
      <c r="Z75" s="3">
        <f t="shared" si="27"/>
        <v>0.28490028490028491</v>
      </c>
      <c r="AA75" s="3">
        <f t="shared" si="27"/>
        <v>0.66152149944873206</v>
      </c>
      <c r="AB75" s="3">
        <f t="shared" si="27"/>
        <v>1.8103448275862071</v>
      </c>
      <c r="AC75" s="3">
        <f t="shared" si="27"/>
        <v>1.0510510510510511</v>
      </c>
      <c r="AD75" s="3">
        <f t="shared" si="27"/>
        <v>0.43620501635768816</v>
      </c>
      <c r="AE75" s="3">
        <f t="shared" si="27"/>
        <v>0</v>
      </c>
      <c r="AF75" s="3">
        <f t="shared" si="27"/>
        <v>0.46511627906976744</v>
      </c>
      <c r="AG75" s="3">
        <f t="shared" si="27"/>
        <v>3.9814814814814818</v>
      </c>
      <c r="AH75" s="3">
        <f t="shared" si="27"/>
        <v>1.2021857923497268</v>
      </c>
      <c r="AI75" s="3">
        <f t="shared" si="27"/>
        <v>4.8892988929889292</v>
      </c>
      <c r="AJ75" s="3">
        <f t="shared" si="27"/>
        <v>0.64870259481037917</v>
      </c>
      <c r="AK75" s="3">
        <f t="shared" si="27"/>
        <v>6.4227642276422765</v>
      </c>
      <c r="AL75" s="3">
        <f t="shared" si="27"/>
        <v>0</v>
      </c>
      <c r="AM75" s="3">
        <f t="shared" si="27"/>
        <v>0</v>
      </c>
      <c r="AN75" s="3">
        <f t="shared" si="27"/>
        <v>2.7829313543599259</v>
      </c>
      <c r="AO75" s="3">
        <f t="shared" si="27"/>
        <v>0</v>
      </c>
      <c r="AP75" s="3">
        <f t="shared" si="27"/>
        <v>0.43795620437956206</v>
      </c>
      <c r="AQ75" s="3">
        <f t="shared" si="27"/>
        <v>0</v>
      </c>
      <c r="AR75" s="3">
        <f t="shared" si="27"/>
        <v>0</v>
      </c>
      <c r="AS75" s="3">
        <f t="shared" si="27"/>
        <v>0</v>
      </c>
      <c r="AT75" s="3">
        <f t="shared" si="27"/>
        <v>0</v>
      </c>
      <c r="AU75" s="3">
        <f t="shared" si="27"/>
        <v>0</v>
      </c>
      <c r="AV75" s="3">
        <f t="shared" si="27"/>
        <v>0</v>
      </c>
      <c r="AW75" s="3">
        <f t="shared" si="27"/>
        <v>0</v>
      </c>
      <c r="AX75" s="3">
        <f t="shared" si="27"/>
        <v>0</v>
      </c>
      <c r="AY75" s="3">
        <f t="shared" si="27"/>
        <v>1.0973936899862824</v>
      </c>
      <c r="AZ75" s="3">
        <f t="shared" si="27"/>
        <v>2.7549824150058617</v>
      </c>
      <c r="BA75" s="3">
        <f t="shared" si="27"/>
        <v>0</v>
      </c>
      <c r="BB75" s="3">
        <f t="shared" si="27"/>
        <v>1.957831325301205</v>
      </c>
      <c r="BC75" s="3">
        <f t="shared" si="27"/>
        <v>2.3480662983425415</v>
      </c>
      <c r="BD75" s="3">
        <f t="shared" si="27"/>
        <v>0</v>
      </c>
      <c r="BE75" s="3">
        <f t="shared" si="27"/>
        <v>0</v>
      </c>
      <c r="BF75" s="3">
        <f t="shared" si="27"/>
        <v>0</v>
      </c>
      <c r="BG75" s="3">
        <f t="shared" si="27"/>
        <v>0</v>
      </c>
      <c r="BH75" s="3">
        <f t="shared" si="27"/>
        <v>4.1884816753926701</v>
      </c>
      <c r="BI75" s="3">
        <f t="shared" si="27"/>
        <v>6.9747539580658966</v>
      </c>
      <c r="BJ75" s="3">
        <f t="shared" si="27"/>
        <v>0.25526483726866628</v>
      </c>
      <c r="BK75" s="3">
        <f t="shared" si="27"/>
        <v>4.3410041841004183</v>
      </c>
      <c r="BL75" s="3">
        <f t="shared" si="27"/>
        <v>0</v>
      </c>
      <c r="BM75" s="3">
        <f t="shared" si="27"/>
        <v>3.5454545454545454</v>
      </c>
      <c r="BN75" s="3">
        <f t="shared" si="27"/>
        <v>1.9519915589554206</v>
      </c>
      <c r="BO75" s="3">
        <f t="shared" ref="BO75:DZ78" si="28">(BO12-BO$11)/BO$11*100</f>
        <v>1.7368266117162201</v>
      </c>
      <c r="BP75" s="3">
        <f t="shared" si="28"/>
        <v>2.0337301587301586</v>
      </c>
      <c r="BQ75" s="3">
        <f t="shared" si="28"/>
        <v>0</v>
      </c>
      <c r="BR75" s="3">
        <f t="shared" si="28"/>
        <v>2.5263951734539969</v>
      </c>
      <c r="BS75" s="3">
        <f t="shared" si="28"/>
        <v>5.0316957210776545</v>
      </c>
      <c r="BT75" s="3">
        <f t="shared" si="28"/>
        <v>2.3909145248057384</v>
      </c>
      <c r="BU75" s="3">
        <f t="shared" si="28"/>
        <v>4.8247136410968414</v>
      </c>
      <c r="BV75" s="3">
        <f t="shared" si="28"/>
        <v>1.3297872340425532</v>
      </c>
      <c r="BW75" s="3">
        <f t="shared" si="28"/>
        <v>0</v>
      </c>
      <c r="BX75" s="3">
        <f t="shared" si="28"/>
        <v>1.2254901960784315</v>
      </c>
      <c r="BY75" s="3">
        <f t="shared" si="28"/>
        <v>2.358490566037736</v>
      </c>
      <c r="BZ75" s="3">
        <f t="shared" si="28"/>
        <v>0.33613445378151263</v>
      </c>
      <c r="CA75" s="3">
        <f t="shared" si="28"/>
        <v>4.562043795620438</v>
      </c>
      <c r="CB75" s="3">
        <f t="shared" si="28"/>
        <v>0</v>
      </c>
      <c r="CC75" s="3">
        <f t="shared" si="28"/>
        <v>0</v>
      </c>
      <c r="CD75" s="3">
        <f t="shared" si="28"/>
        <v>0</v>
      </c>
      <c r="CE75" s="3">
        <f t="shared" si="28"/>
        <v>0</v>
      </c>
      <c r="CF75" s="3">
        <f t="shared" si="28"/>
        <v>0</v>
      </c>
      <c r="CG75" s="3">
        <f t="shared" si="28"/>
        <v>0</v>
      </c>
      <c r="CH75" s="3">
        <f t="shared" si="28"/>
        <v>0.92165898617511521</v>
      </c>
      <c r="CI75" s="3">
        <f t="shared" si="28"/>
        <v>0</v>
      </c>
      <c r="CJ75" s="3">
        <f t="shared" si="28"/>
        <v>2.4324324324324325</v>
      </c>
      <c r="CK75" s="3">
        <f t="shared" si="28"/>
        <v>4.7058823529411766</v>
      </c>
      <c r="CL75" s="3">
        <f t="shared" si="28"/>
        <v>0</v>
      </c>
      <c r="CM75" s="3">
        <f t="shared" si="28"/>
        <v>0</v>
      </c>
      <c r="CN75" s="3">
        <f t="shared" si="28"/>
        <v>0</v>
      </c>
      <c r="CO75" s="3">
        <f t="shared" si="28"/>
        <v>0</v>
      </c>
      <c r="CP75" s="3">
        <f t="shared" si="28"/>
        <v>0</v>
      </c>
      <c r="CQ75" s="3">
        <f t="shared" si="28"/>
        <v>0</v>
      </c>
      <c r="CR75" s="3">
        <f t="shared" si="28"/>
        <v>2.0071684587813619</v>
      </c>
      <c r="CS75" s="3">
        <f t="shared" si="28"/>
        <v>6.4245810055865924</v>
      </c>
      <c r="CT75" s="3">
        <f t="shared" si="28"/>
        <v>0</v>
      </c>
      <c r="CU75" s="3">
        <f t="shared" si="28"/>
        <v>0</v>
      </c>
      <c r="CV75" s="3">
        <f t="shared" si="28"/>
        <v>0</v>
      </c>
      <c r="CW75" s="3">
        <f t="shared" si="28"/>
        <v>0</v>
      </c>
      <c r="CX75" s="3">
        <f t="shared" si="28"/>
        <v>0</v>
      </c>
      <c r="CY75" s="3">
        <f t="shared" si="28"/>
        <v>0</v>
      </c>
      <c r="CZ75" s="3">
        <f t="shared" si="28"/>
        <v>0</v>
      </c>
      <c r="DA75" s="3">
        <f t="shared" si="28"/>
        <v>0</v>
      </c>
      <c r="DB75" s="3">
        <f t="shared" si="28"/>
        <v>1.4197530864197532</v>
      </c>
      <c r="DC75" s="3">
        <f t="shared" si="28"/>
        <v>4.0444091990483741</v>
      </c>
      <c r="DD75" s="3">
        <f t="shared" si="28"/>
        <v>0.8045977011494253</v>
      </c>
      <c r="DE75" s="3">
        <f t="shared" si="28"/>
        <v>7.4943224829674486</v>
      </c>
      <c r="DF75" s="3">
        <f t="shared" si="28"/>
        <v>0</v>
      </c>
      <c r="DG75" s="3">
        <f t="shared" si="28"/>
        <v>0.46875</v>
      </c>
      <c r="DH75" s="3">
        <f t="shared" si="28"/>
        <v>0</v>
      </c>
      <c r="DI75" s="3">
        <f t="shared" si="28"/>
        <v>0.73597056117755288</v>
      </c>
      <c r="DJ75" s="3">
        <f t="shared" si="28"/>
        <v>0</v>
      </c>
      <c r="DK75" s="3">
        <f t="shared" si="28"/>
        <v>3.0206677265500796</v>
      </c>
      <c r="DL75" s="3">
        <f t="shared" si="28"/>
        <v>0</v>
      </c>
      <c r="DM75" s="3">
        <f t="shared" si="28"/>
        <v>0</v>
      </c>
      <c r="DN75" s="3">
        <f t="shared" si="28"/>
        <v>0</v>
      </c>
      <c r="DO75" s="3">
        <f t="shared" si="28"/>
        <v>0</v>
      </c>
      <c r="DP75" s="3">
        <f t="shared" si="28"/>
        <v>0</v>
      </c>
      <c r="DQ75" s="3">
        <f t="shared" si="28"/>
        <v>0</v>
      </c>
      <c r="DR75" s="3">
        <f t="shared" si="28"/>
        <v>0</v>
      </c>
      <c r="DS75" s="3">
        <f t="shared" si="28"/>
        <v>0</v>
      </c>
      <c r="DT75" s="3">
        <f t="shared" si="28"/>
        <v>1.4412416851441241</v>
      </c>
      <c r="DU75" s="3">
        <f t="shared" si="28"/>
        <v>1.8709995076317085</v>
      </c>
      <c r="DV75" s="3">
        <f t="shared" si="28"/>
        <v>0</v>
      </c>
      <c r="DW75" s="3">
        <f t="shared" si="28"/>
        <v>0</v>
      </c>
      <c r="DX75" s="3">
        <f t="shared" si="28"/>
        <v>0</v>
      </c>
      <c r="DY75" s="3">
        <f t="shared" si="28"/>
        <v>0</v>
      </c>
      <c r="DZ75" s="3">
        <f t="shared" si="28"/>
        <v>0.13163668275559456</v>
      </c>
      <c r="EA75" s="3">
        <f t="shared" ref="EA75:GL81" si="29">(EA12-EA$11)/EA$11*100</f>
        <v>3.2924107142857144</v>
      </c>
      <c r="EB75" s="3">
        <f t="shared" si="29"/>
        <v>3.6296296296296298</v>
      </c>
      <c r="EC75" s="3">
        <f t="shared" si="29"/>
        <v>7.7054794520547949</v>
      </c>
      <c r="ED75" s="3">
        <f t="shared" si="29"/>
        <v>2.268041237113402</v>
      </c>
      <c r="EE75" s="3">
        <f t="shared" si="29"/>
        <v>0</v>
      </c>
      <c r="EF75" s="3">
        <f t="shared" si="29"/>
        <v>2.6748971193415638</v>
      </c>
      <c r="EG75" s="3">
        <f t="shared" si="29"/>
        <v>2.1048744460856721</v>
      </c>
      <c r="EH75" s="3">
        <f t="shared" si="29"/>
        <v>1.7186673717609731</v>
      </c>
      <c r="EI75" s="3">
        <f t="shared" si="29"/>
        <v>0.29522275899087497</v>
      </c>
      <c r="EJ75" s="3">
        <f t="shared" si="29"/>
        <v>0.86050724637681164</v>
      </c>
      <c r="EK75" s="3">
        <f t="shared" si="29"/>
        <v>3.8539553752535496</v>
      </c>
      <c r="EL75" s="3">
        <f t="shared" si="29"/>
        <v>1.4970059880239521</v>
      </c>
      <c r="EM75" s="3">
        <f t="shared" si="29"/>
        <v>8.3022000830220009</v>
      </c>
      <c r="EN75" s="3">
        <f t="shared" si="29"/>
        <v>1.2433862433862435</v>
      </c>
      <c r="EO75" s="3">
        <f t="shared" si="29"/>
        <v>7.4690150032615783</v>
      </c>
      <c r="EP75" s="3">
        <f t="shared" si="29"/>
        <v>2.083333333333333</v>
      </c>
      <c r="EQ75" s="3">
        <f t="shared" si="29"/>
        <v>0</v>
      </c>
      <c r="ER75" s="3">
        <f t="shared" si="29"/>
        <v>1.7391304347826086</v>
      </c>
      <c r="ES75" s="3">
        <f t="shared" si="29"/>
        <v>0</v>
      </c>
      <c r="ET75" s="3">
        <f t="shared" si="29"/>
        <v>1.2658227848101267</v>
      </c>
      <c r="EU75" s="3">
        <f t="shared" si="29"/>
        <v>1.0189228529839884</v>
      </c>
      <c r="EV75" s="3">
        <f t="shared" si="29"/>
        <v>0</v>
      </c>
      <c r="EW75" s="3">
        <f t="shared" si="29"/>
        <v>0</v>
      </c>
      <c r="EX75" s="3">
        <f t="shared" si="29"/>
        <v>0</v>
      </c>
      <c r="EY75" s="3">
        <f t="shared" si="29"/>
        <v>0</v>
      </c>
      <c r="EZ75" s="3">
        <f t="shared" si="29"/>
        <v>0</v>
      </c>
      <c r="FA75" s="3">
        <f t="shared" si="29"/>
        <v>0</v>
      </c>
      <c r="FB75" s="3">
        <f t="shared" si="29"/>
        <v>0</v>
      </c>
      <c r="FC75" s="3">
        <f t="shared" si="29"/>
        <v>3.070175438596491</v>
      </c>
      <c r="FD75" s="3">
        <f t="shared" si="29"/>
        <v>1.984126984126984</v>
      </c>
      <c r="FE75" s="3">
        <f t="shared" si="29"/>
        <v>0</v>
      </c>
      <c r="FF75" s="3">
        <f t="shared" si="29"/>
        <v>1.7241379310344827</v>
      </c>
      <c r="FG75" s="3">
        <f t="shared" si="29"/>
        <v>2.2346368715083798</v>
      </c>
      <c r="FH75" s="3">
        <f t="shared" si="29"/>
        <v>0</v>
      </c>
      <c r="FI75" s="3">
        <f t="shared" si="29"/>
        <v>0</v>
      </c>
      <c r="FJ75" s="3">
        <f t="shared" si="29"/>
        <v>0</v>
      </c>
      <c r="FK75" s="3">
        <f t="shared" si="29"/>
        <v>0</v>
      </c>
      <c r="FL75" s="3">
        <f t="shared" si="29"/>
        <v>1.7500000000000002</v>
      </c>
      <c r="FM75" s="3">
        <f t="shared" si="29"/>
        <v>2.218570254724733</v>
      </c>
      <c r="FN75" s="3">
        <f t="shared" si="29"/>
        <v>0</v>
      </c>
      <c r="FO75" s="3">
        <f t="shared" si="29"/>
        <v>5.0373134328358207</v>
      </c>
      <c r="FP75" s="3">
        <f t="shared" si="29"/>
        <v>0</v>
      </c>
      <c r="FQ75" s="3">
        <f t="shared" si="29"/>
        <v>0.75642965204236012</v>
      </c>
      <c r="FR75" s="3">
        <f t="shared" si="29"/>
        <v>2.9545454545454546</v>
      </c>
      <c r="FS75" s="3">
        <f t="shared" si="29"/>
        <v>0</v>
      </c>
      <c r="FT75" s="3">
        <f t="shared" si="29"/>
        <v>1.7068273092369479</v>
      </c>
      <c r="FU75" s="3">
        <f t="shared" si="29"/>
        <v>4.6814044213263983</v>
      </c>
      <c r="FV75" s="3">
        <f t="shared" si="29"/>
        <v>1.6793893129770994</v>
      </c>
      <c r="FW75" s="3">
        <f t="shared" si="29"/>
        <v>5.4771784232365146</v>
      </c>
      <c r="FX75" s="3">
        <f t="shared" si="29"/>
        <v>1.8867924528301887</v>
      </c>
      <c r="FY75" s="3">
        <f t="shared" si="29"/>
        <v>8.1730769230769234</v>
      </c>
      <c r="FZ75" s="3">
        <f t="shared" si="29"/>
        <v>1.6304347826086956</v>
      </c>
      <c r="GA75" s="3">
        <f t="shared" si="29"/>
        <v>0</v>
      </c>
      <c r="GB75" s="3">
        <f t="shared" si="29"/>
        <v>1.6652059596844873</v>
      </c>
      <c r="GC75" s="3">
        <f t="shared" si="29"/>
        <v>4.0380047505938244</v>
      </c>
      <c r="GD75" s="3">
        <f t="shared" si="29"/>
        <v>0</v>
      </c>
      <c r="GE75" s="3">
        <f t="shared" si="29"/>
        <v>0</v>
      </c>
      <c r="GF75" s="3">
        <f t="shared" si="29"/>
        <v>0</v>
      </c>
      <c r="GG75" s="3">
        <f t="shared" si="29"/>
        <v>0</v>
      </c>
      <c r="GH75" s="3">
        <f t="shared" si="29"/>
        <v>0</v>
      </c>
      <c r="GI75" s="3">
        <f t="shared" si="29"/>
        <v>0</v>
      </c>
      <c r="GJ75" s="3">
        <f t="shared" si="29"/>
        <v>0</v>
      </c>
      <c r="GK75" s="3">
        <f t="shared" si="29"/>
        <v>0</v>
      </c>
      <c r="GL75" s="3">
        <f t="shared" si="29"/>
        <v>0.50167224080267558</v>
      </c>
      <c r="GM75" s="3">
        <f t="shared" ref="GM75:IX78" si="30">(GM12-GM$11)/GM$11*100</f>
        <v>3.2573289902280131</v>
      </c>
      <c r="GN75" s="3">
        <f t="shared" si="30"/>
        <v>2.4914509037616024</v>
      </c>
      <c r="GO75" s="3">
        <f t="shared" si="30"/>
        <v>2.2245214692188311</v>
      </c>
      <c r="GP75" s="3">
        <f t="shared" si="30"/>
        <v>0</v>
      </c>
      <c r="GQ75" s="3">
        <f t="shared" si="30"/>
        <v>0</v>
      </c>
      <c r="GR75" s="3">
        <f t="shared" si="30"/>
        <v>0</v>
      </c>
      <c r="GS75" s="3">
        <f t="shared" si="30"/>
        <v>0</v>
      </c>
      <c r="GT75" s="3">
        <f t="shared" si="30"/>
        <v>1.2080536912751678</v>
      </c>
      <c r="GU75" s="3">
        <f t="shared" si="30"/>
        <v>0</v>
      </c>
      <c r="GV75" s="3">
        <f t="shared" si="30"/>
        <v>4.9382716049382713</v>
      </c>
      <c r="GW75" s="3">
        <f t="shared" si="30"/>
        <v>5.6351039260969982</v>
      </c>
      <c r="GX75" s="3">
        <f t="shared" si="30"/>
        <v>0.11415525114155251</v>
      </c>
      <c r="GY75" s="3">
        <f t="shared" si="30"/>
        <v>0</v>
      </c>
      <c r="GZ75" s="3">
        <f t="shared" si="30"/>
        <v>0</v>
      </c>
      <c r="HA75" s="3">
        <f t="shared" si="30"/>
        <v>1.4757554462403373</v>
      </c>
      <c r="HB75" s="3">
        <f t="shared" si="30"/>
        <v>1.4024041213508873</v>
      </c>
      <c r="HC75" s="3">
        <f t="shared" si="30"/>
        <v>0</v>
      </c>
      <c r="HD75" s="3">
        <f t="shared" si="30"/>
        <v>0.49751243781094528</v>
      </c>
      <c r="HE75" s="3">
        <f t="shared" si="30"/>
        <v>5.8468957203134417</v>
      </c>
      <c r="HF75" s="3">
        <f t="shared" si="30"/>
        <v>1.680672268907563</v>
      </c>
      <c r="HG75" s="3">
        <f t="shared" si="30"/>
        <v>6.3932002956393204</v>
      </c>
      <c r="HH75" s="3">
        <f t="shared" si="30"/>
        <v>1.3472292831723438</v>
      </c>
      <c r="HI75" s="3">
        <f t="shared" si="30"/>
        <v>4.4315403422982884</v>
      </c>
      <c r="HJ75" s="3">
        <f t="shared" si="30"/>
        <v>1.3953488372093024</v>
      </c>
      <c r="HK75" s="3">
        <f t="shared" si="30"/>
        <v>0.8875739644970414</v>
      </c>
      <c r="HL75" s="3">
        <f t="shared" si="30"/>
        <v>1.7543859649122806</v>
      </c>
      <c r="HM75" s="3">
        <f t="shared" si="30"/>
        <v>1.4732965009208103</v>
      </c>
      <c r="HN75" s="3">
        <f t="shared" si="30"/>
        <v>2.2865853658536586</v>
      </c>
      <c r="HO75" s="3">
        <f t="shared" si="30"/>
        <v>0</v>
      </c>
      <c r="HP75" s="3">
        <f t="shared" si="30"/>
        <v>0</v>
      </c>
      <c r="HQ75" s="3">
        <f t="shared" si="30"/>
        <v>0</v>
      </c>
      <c r="HR75" s="3">
        <f t="shared" si="30"/>
        <v>0</v>
      </c>
      <c r="HS75" s="3">
        <f t="shared" si="30"/>
        <v>0</v>
      </c>
      <c r="HT75" s="3">
        <f t="shared" si="30"/>
        <v>0</v>
      </c>
      <c r="HU75" s="3">
        <f t="shared" si="30"/>
        <v>0</v>
      </c>
      <c r="HV75" s="3">
        <f t="shared" si="30"/>
        <v>0</v>
      </c>
      <c r="HW75" s="3">
        <f t="shared" si="30"/>
        <v>2</v>
      </c>
      <c r="HX75" s="3">
        <f t="shared" si="30"/>
        <v>2.147239263803681</v>
      </c>
      <c r="HY75" s="3">
        <f t="shared" si="30"/>
        <v>0</v>
      </c>
      <c r="HZ75" s="3">
        <f t="shared" si="30"/>
        <v>0.57971014492753625</v>
      </c>
      <c r="IA75" s="3">
        <f t="shared" si="30"/>
        <v>0</v>
      </c>
      <c r="IB75" s="3">
        <f t="shared" si="30"/>
        <v>0</v>
      </c>
      <c r="IC75" s="3">
        <f t="shared" si="30"/>
        <v>0</v>
      </c>
      <c r="ID75" s="3">
        <f t="shared" si="30"/>
        <v>0</v>
      </c>
      <c r="IE75" s="3">
        <f t="shared" si="30"/>
        <v>0.71856287425149701</v>
      </c>
      <c r="IF75" s="3">
        <f t="shared" si="30"/>
        <v>2.1994134897360706</v>
      </c>
      <c r="IG75" s="3">
        <f t="shared" si="30"/>
        <v>3.1135531135531136</v>
      </c>
      <c r="IH75" s="3">
        <f t="shared" si="30"/>
        <v>0</v>
      </c>
      <c r="II75" s="3">
        <f t="shared" si="30"/>
        <v>3.6257309941520468</v>
      </c>
      <c r="IJ75" s="3">
        <f t="shared" si="30"/>
        <v>0.6294256490952006</v>
      </c>
      <c r="IK75" s="3">
        <f t="shared" si="30"/>
        <v>2.34375</v>
      </c>
      <c r="IL75" s="3">
        <f t="shared" si="30"/>
        <v>0</v>
      </c>
      <c r="IM75" s="3">
        <f t="shared" si="30"/>
        <v>0</v>
      </c>
      <c r="IN75" s="3">
        <f t="shared" si="30"/>
        <v>0</v>
      </c>
      <c r="IO75" s="3">
        <f t="shared" si="30"/>
        <v>0</v>
      </c>
      <c r="IP75" s="3">
        <f t="shared" si="30"/>
        <v>2.1238938053097343</v>
      </c>
      <c r="IQ75" s="3">
        <f t="shared" si="30"/>
        <v>8.2383873794916731</v>
      </c>
      <c r="IR75" s="3">
        <f t="shared" si="30"/>
        <v>0.81018518518518512</v>
      </c>
      <c r="IS75" s="3">
        <f t="shared" si="30"/>
        <v>9.5516569200779724</v>
      </c>
      <c r="IT75" s="3">
        <f t="shared" si="30"/>
        <v>0</v>
      </c>
      <c r="IU75" s="3">
        <f t="shared" si="30"/>
        <v>1.7825311942959003</v>
      </c>
      <c r="IV75" s="3">
        <f t="shared" si="30"/>
        <v>2.4137931034482758</v>
      </c>
      <c r="IW75" s="3">
        <f t="shared" si="30"/>
        <v>0</v>
      </c>
      <c r="IX75" s="3">
        <f t="shared" si="30"/>
        <v>0.55910543130990409</v>
      </c>
      <c r="IY75" s="3">
        <f t="shared" ref="IY75:LJ81" si="31">(IY12-IY$11)/IY$11*100</f>
        <v>0</v>
      </c>
      <c r="IZ75" s="3">
        <f t="shared" si="31"/>
        <v>0</v>
      </c>
      <c r="JA75" s="3">
        <f t="shared" si="31"/>
        <v>0</v>
      </c>
      <c r="JB75" s="3">
        <f t="shared" si="31"/>
        <v>0</v>
      </c>
      <c r="JC75" s="3">
        <f t="shared" si="31"/>
        <v>0</v>
      </c>
      <c r="JD75" s="3">
        <f t="shared" si="31"/>
        <v>4.9529470034670627E-2</v>
      </c>
      <c r="JE75" s="3">
        <f t="shared" si="31"/>
        <v>0</v>
      </c>
      <c r="JF75" s="3">
        <f t="shared" si="31"/>
        <v>1.0416666666666665</v>
      </c>
      <c r="JG75" s="3">
        <f t="shared" si="31"/>
        <v>0</v>
      </c>
      <c r="JH75" s="3">
        <f t="shared" si="31"/>
        <v>0</v>
      </c>
      <c r="JI75" s="3">
        <f t="shared" si="31"/>
        <v>0</v>
      </c>
      <c r="JJ75" s="3">
        <f t="shared" si="31"/>
        <v>0</v>
      </c>
      <c r="JK75" s="3">
        <f t="shared" si="31"/>
        <v>1.2232415902140672</v>
      </c>
      <c r="JL75" s="3">
        <f t="shared" si="31"/>
        <v>0</v>
      </c>
      <c r="JM75" s="3">
        <f t="shared" si="31"/>
        <v>0</v>
      </c>
      <c r="JN75" s="3">
        <f t="shared" si="31"/>
        <v>0</v>
      </c>
      <c r="JO75" s="3">
        <f t="shared" si="31"/>
        <v>2.2380467955239061</v>
      </c>
      <c r="JP75" s="3">
        <f t="shared" si="31"/>
        <v>4.3856332703213612</v>
      </c>
      <c r="JQ75" s="3">
        <f t="shared" si="31"/>
        <v>10.239549084077032</v>
      </c>
      <c r="JR75" s="3">
        <f t="shared" si="31"/>
        <v>0</v>
      </c>
      <c r="JS75" s="3">
        <f t="shared" si="31"/>
        <v>4.2262678803641087</v>
      </c>
      <c r="JT75" s="3">
        <f t="shared" si="31"/>
        <v>0.57961131946812139</v>
      </c>
      <c r="JU75" s="3">
        <f t="shared" si="31"/>
        <v>0</v>
      </c>
      <c r="JV75" s="3">
        <f t="shared" si="31"/>
        <v>2.2591534666320436</v>
      </c>
      <c r="JW75" s="3">
        <f t="shared" si="31"/>
        <v>2.9239766081871347E-2</v>
      </c>
      <c r="JX75" s="3">
        <f t="shared" si="31"/>
        <v>0.85616438356164382</v>
      </c>
      <c r="JY75" s="3">
        <f t="shared" si="31"/>
        <v>1.9066403681788298</v>
      </c>
      <c r="JZ75" s="3">
        <f t="shared" si="31"/>
        <v>1.3694054776219104</v>
      </c>
      <c r="KA75" s="3">
        <f t="shared" si="31"/>
        <v>4.0419161676646702</v>
      </c>
      <c r="KB75" s="3">
        <f t="shared" si="31"/>
        <v>2.8301886792452833</v>
      </c>
      <c r="KC75" s="3">
        <f t="shared" si="31"/>
        <v>5.8003888528839918</v>
      </c>
      <c r="KD75" s="3">
        <f t="shared" si="31"/>
        <v>0</v>
      </c>
      <c r="KE75" s="3">
        <f t="shared" si="31"/>
        <v>5.1428571428571423</v>
      </c>
      <c r="KF75" s="3">
        <f t="shared" si="31"/>
        <v>0</v>
      </c>
      <c r="KG75" s="3">
        <f t="shared" si="31"/>
        <v>3.6529680365296802</v>
      </c>
      <c r="KH75" s="3">
        <f t="shared" si="31"/>
        <v>0</v>
      </c>
      <c r="KI75" s="3">
        <f t="shared" si="31"/>
        <v>3.0201342281879198</v>
      </c>
      <c r="KJ75" s="3">
        <f t="shared" si="31"/>
        <v>0</v>
      </c>
      <c r="KK75" s="3">
        <f t="shared" si="31"/>
        <v>0</v>
      </c>
      <c r="KL75" s="3">
        <f t="shared" si="31"/>
        <v>0</v>
      </c>
      <c r="KM75" s="3">
        <f t="shared" si="31"/>
        <v>0</v>
      </c>
      <c r="KN75" s="3">
        <f t="shared" si="31"/>
        <v>0</v>
      </c>
      <c r="KO75" s="3">
        <f t="shared" si="31"/>
        <v>0</v>
      </c>
      <c r="KP75" s="3">
        <f t="shared" si="31"/>
        <v>0</v>
      </c>
      <c r="KQ75" s="3">
        <f t="shared" si="31"/>
        <v>5.4545454545454541</v>
      </c>
      <c r="KR75" s="3">
        <f t="shared" si="31"/>
        <v>0.25510204081632654</v>
      </c>
      <c r="KS75" s="3">
        <f t="shared" si="31"/>
        <v>1.6797312430011198</v>
      </c>
      <c r="KT75" s="3">
        <f t="shared" si="31"/>
        <v>0</v>
      </c>
      <c r="KU75" s="3">
        <f t="shared" si="31"/>
        <v>0</v>
      </c>
      <c r="KV75" s="3">
        <f t="shared" si="31"/>
        <v>0</v>
      </c>
      <c r="KW75" s="3">
        <f t="shared" si="31"/>
        <v>0</v>
      </c>
      <c r="KX75" s="3">
        <f t="shared" si="31"/>
        <v>0</v>
      </c>
      <c r="KY75" s="3">
        <f t="shared" si="31"/>
        <v>0</v>
      </c>
      <c r="KZ75" s="3">
        <f t="shared" si="31"/>
        <v>2.197802197802198</v>
      </c>
      <c r="LA75" s="3">
        <f t="shared" si="31"/>
        <v>8.3333333333333321</v>
      </c>
      <c r="LB75" s="3">
        <f t="shared" si="31"/>
        <v>2.4096385542168677</v>
      </c>
      <c r="LC75" s="3">
        <f t="shared" si="31"/>
        <v>0</v>
      </c>
      <c r="LD75" s="3">
        <f t="shared" si="31"/>
        <v>0.39215686274509803</v>
      </c>
      <c r="LE75" s="3">
        <f t="shared" si="31"/>
        <v>0.67283431455004206</v>
      </c>
      <c r="LF75" s="3">
        <f t="shared" si="31"/>
        <v>0</v>
      </c>
      <c r="LG75" s="3">
        <f t="shared" si="31"/>
        <v>0</v>
      </c>
      <c r="LH75" s="3">
        <f t="shared" si="31"/>
        <v>0</v>
      </c>
      <c r="LI75" s="3">
        <f t="shared" si="31"/>
        <v>2.7878787878787876</v>
      </c>
      <c r="LJ75" s="3">
        <f t="shared" si="31"/>
        <v>2.0516717325227964</v>
      </c>
      <c r="LK75" s="3">
        <f t="shared" ref="LK75:MW75" si="32">(LK12-LK$11)/LK$11*100</f>
        <v>3.306451612903226</v>
      </c>
      <c r="LL75" s="3">
        <f t="shared" si="32"/>
        <v>1.6064257028112447</v>
      </c>
      <c r="LM75" s="3">
        <f t="shared" si="32"/>
        <v>5.5455093429776978</v>
      </c>
      <c r="LN75" s="3">
        <f t="shared" si="32"/>
        <v>0</v>
      </c>
      <c r="LO75" s="3">
        <f t="shared" si="32"/>
        <v>0</v>
      </c>
      <c r="LP75" s="3">
        <f t="shared" si="32"/>
        <v>3.0864197530864197</v>
      </c>
      <c r="LQ75" s="3">
        <f t="shared" si="32"/>
        <v>0.40941658137154557</v>
      </c>
      <c r="LR75" s="3">
        <f t="shared" si="32"/>
        <v>0.92905405405405406</v>
      </c>
      <c r="LS75" s="3">
        <f t="shared" si="32"/>
        <v>3.1775700934579438</v>
      </c>
      <c r="LT75" s="3">
        <f t="shared" si="32"/>
        <v>0</v>
      </c>
      <c r="LU75" s="3">
        <f t="shared" si="32"/>
        <v>0</v>
      </c>
      <c r="LV75" s="3">
        <f t="shared" si="32"/>
        <v>0</v>
      </c>
      <c r="LW75" s="3">
        <f t="shared" si="32"/>
        <v>0</v>
      </c>
      <c r="LX75" s="3">
        <f t="shared" si="32"/>
        <v>0</v>
      </c>
      <c r="LY75" s="3">
        <f t="shared" si="32"/>
        <v>0</v>
      </c>
      <c r="LZ75" s="3">
        <f t="shared" si="32"/>
        <v>1.7746228926353149</v>
      </c>
      <c r="MA75" s="3">
        <f t="shared" si="32"/>
        <v>0</v>
      </c>
      <c r="MB75" s="3">
        <f t="shared" si="32"/>
        <v>2.2848808945065628</v>
      </c>
      <c r="MC75" s="3">
        <f t="shared" si="32"/>
        <v>0</v>
      </c>
      <c r="MD75" s="3">
        <f t="shared" si="32"/>
        <v>0.97674418604651159</v>
      </c>
      <c r="ME75" s="3">
        <f t="shared" si="32"/>
        <v>0</v>
      </c>
      <c r="MF75" s="3">
        <f t="shared" si="32"/>
        <v>0</v>
      </c>
      <c r="MG75" s="3">
        <f t="shared" si="32"/>
        <v>0</v>
      </c>
      <c r="MH75" s="3">
        <f t="shared" si="32"/>
        <v>1.7105263157894739</v>
      </c>
      <c r="MI75" s="3">
        <f t="shared" si="32"/>
        <v>0</v>
      </c>
      <c r="MJ75" s="3">
        <f t="shared" si="32"/>
        <v>4.9127080795777509</v>
      </c>
      <c r="MK75" s="3">
        <f t="shared" si="32"/>
        <v>3.523884103367267</v>
      </c>
      <c r="ML75" s="3">
        <f t="shared" si="32"/>
        <v>1.6075388026607538</v>
      </c>
      <c r="MM75" s="3">
        <f t="shared" si="32"/>
        <v>0</v>
      </c>
      <c r="MN75" s="3">
        <f t="shared" si="32"/>
        <v>0.73235685752330226</v>
      </c>
      <c r="MO75" s="3">
        <f t="shared" si="32"/>
        <v>3.6036036036036037</v>
      </c>
      <c r="MP75" s="3">
        <f t="shared" si="32"/>
        <v>0</v>
      </c>
      <c r="MQ75" s="3">
        <f t="shared" si="32"/>
        <v>0</v>
      </c>
      <c r="MR75" s="3">
        <f t="shared" si="32"/>
        <v>1.4684287812041115</v>
      </c>
      <c r="MS75" s="3">
        <f t="shared" si="32"/>
        <v>0</v>
      </c>
      <c r="MT75" s="3">
        <f t="shared" si="32"/>
        <v>2.0086083213773311</v>
      </c>
      <c r="MU75" s="3">
        <f t="shared" si="32"/>
        <v>4.0638055450056969</v>
      </c>
      <c r="MV75" s="3">
        <f t="shared" si="32"/>
        <v>1.8479958355023425</v>
      </c>
      <c r="MW75" s="3">
        <f t="shared" si="32"/>
        <v>6.1495673671199018</v>
      </c>
      <c r="MX75" s="3"/>
      <c r="MY75" s="3"/>
    </row>
    <row r="76" spans="1:363" x14ac:dyDescent="0.3">
      <c r="A76" s="3">
        <v>2</v>
      </c>
      <c r="B76" s="3">
        <f t="shared" ref="B76:Q104" si="33">(B13-B$11)/B$11*100</f>
        <v>1.1494252873563218</v>
      </c>
      <c r="C76" s="3">
        <f t="shared" si="33"/>
        <v>0</v>
      </c>
      <c r="D76" s="3">
        <f t="shared" si="33"/>
        <v>0.21186440677966101</v>
      </c>
      <c r="E76" s="3">
        <f t="shared" si="33"/>
        <v>7.7981651376146797</v>
      </c>
      <c r="F76" s="3">
        <f t="shared" si="33"/>
        <v>0</v>
      </c>
      <c r="G76" s="3">
        <f t="shared" si="33"/>
        <v>2.1032504780114722</v>
      </c>
      <c r="H76" s="3">
        <f t="shared" si="33"/>
        <v>0</v>
      </c>
      <c r="I76" s="3">
        <f t="shared" si="33"/>
        <v>0</v>
      </c>
      <c r="J76" s="3">
        <f t="shared" si="33"/>
        <v>0</v>
      </c>
      <c r="K76" s="3">
        <f t="shared" si="33"/>
        <v>0</v>
      </c>
      <c r="L76" s="3">
        <f t="shared" si="33"/>
        <v>0</v>
      </c>
      <c r="M76" s="3">
        <f t="shared" si="33"/>
        <v>0</v>
      </c>
      <c r="N76" s="3">
        <f t="shared" si="33"/>
        <v>1.4678899082568808</v>
      </c>
      <c r="O76" s="3">
        <f t="shared" si="33"/>
        <v>1.0373443983402488</v>
      </c>
      <c r="P76" s="3">
        <f t="shared" si="33"/>
        <v>1.6569200779727096</v>
      </c>
      <c r="Q76" s="3">
        <f t="shared" si="33"/>
        <v>0</v>
      </c>
      <c r="R76" s="3">
        <f t="shared" si="27"/>
        <v>0.67698259187620891</v>
      </c>
      <c r="S76" s="3">
        <f t="shared" si="27"/>
        <v>2.6018099547511313</v>
      </c>
      <c r="T76" s="3">
        <f t="shared" si="27"/>
        <v>0</v>
      </c>
      <c r="U76" s="3">
        <f t="shared" si="27"/>
        <v>0</v>
      </c>
      <c r="V76" s="3">
        <f t="shared" si="27"/>
        <v>0</v>
      </c>
      <c r="W76" s="3">
        <f t="shared" si="27"/>
        <v>2.7777777777777777</v>
      </c>
      <c r="X76" s="3">
        <f t="shared" si="27"/>
        <v>0.38759689922480622</v>
      </c>
      <c r="Y76" s="3">
        <f t="shared" si="27"/>
        <v>8.695652173913043</v>
      </c>
      <c r="Z76" s="3">
        <f t="shared" si="27"/>
        <v>0.28490028490028491</v>
      </c>
      <c r="AA76" s="3">
        <f t="shared" si="27"/>
        <v>0.66152149944873206</v>
      </c>
      <c r="AB76" s="3">
        <f t="shared" si="27"/>
        <v>1.7241379310344827</v>
      </c>
      <c r="AC76" s="3">
        <f t="shared" si="27"/>
        <v>0.37537537537537535</v>
      </c>
      <c r="AD76" s="3">
        <f t="shared" si="27"/>
        <v>0.5997818974918212</v>
      </c>
      <c r="AE76" s="3">
        <f t="shared" si="27"/>
        <v>0</v>
      </c>
      <c r="AF76" s="3">
        <f t="shared" si="27"/>
        <v>0.46511627906976744</v>
      </c>
      <c r="AG76" s="3">
        <f t="shared" si="27"/>
        <v>3.9814814814814818</v>
      </c>
      <c r="AH76" s="3">
        <f t="shared" si="27"/>
        <v>1.2568306010928962</v>
      </c>
      <c r="AI76" s="3">
        <f t="shared" si="27"/>
        <v>5.9963099630996313</v>
      </c>
      <c r="AJ76" s="3">
        <f t="shared" si="27"/>
        <v>0.64870259481037917</v>
      </c>
      <c r="AK76" s="3">
        <f t="shared" si="27"/>
        <v>5.7723577235772359</v>
      </c>
      <c r="AL76" s="3">
        <f t="shared" si="27"/>
        <v>0</v>
      </c>
      <c r="AM76" s="3">
        <f t="shared" si="27"/>
        <v>0</v>
      </c>
      <c r="AN76" s="3">
        <f t="shared" si="27"/>
        <v>2.8756957328385901</v>
      </c>
      <c r="AO76" s="3">
        <f t="shared" si="27"/>
        <v>0</v>
      </c>
      <c r="AP76" s="3">
        <f t="shared" si="27"/>
        <v>0.43795620437956206</v>
      </c>
      <c r="AQ76" s="3">
        <f t="shared" si="27"/>
        <v>0</v>
      </c>
      <c r="AR76" s="3">
        <f t="shared" si="27"/>
        <v>0</v>
      </c>
      <c r="AS76" s="3">
        <f t="shared" si="27"/>
        <v>0</v>
      </c>
      <c r="AT76" s="3">
        <f t="shared" si="27"/>
        <v>0</v>
      </c>
      <c r="AU76" s="3">
        <f t="shared" si="27"/>
        <v>0</v>
      </c>
      <c r="AV76" s="3">
        <f t="shared" si="27"/>
        <v>0</v>
      </c>
      <c r="AW76" s="3">
        <f t="shared" si="27"/>
        <v>0</v>
      </c>
      <c r="AX76" s="3">
        <f t="shared" si="27"/>
        <v>0</v>
      </c>
      <c r="AY76" s="3">
        <f t="shared" si="27"/>
        <v>1.3717421124828533</v>
      </c>
      <c r="AZ76" s="3">
        <f t="shared" si="27"/>
        <v>2.6377491207502932</v>
      </c>
      <c r="BA76" s="3">
        <f t="shared" si="27"/>
        <v>0</v>
      </c>
      <c r="BB76" s="3">
        <f t="shared" si="27"/>
        <v>1.7319277108433735</v>
      </c>
      <c r="BC76" s="3">
        <f t="shared" si="27"/>
        <v>2.8084714548802947</v>
      </c>
      <c r="BD76" s="3">
        <f t="shared" si="27"/>
        <v>0</v>
      </c>
      <c r="BE76" s="3">
        <f t="shared" si="27"/>
        <v>0</v>
      </c>
      <c r="BF76" s="3">
        <f t="shared" si="27"/>
        <v>0</v>
      </c>
      <c r="BG76" s="3">
        <f t="shared" si="27"/>
        <v>0</v>
      </c>
      <c r="BH76" s="3">
        <f t="shared" si="27"/>
        <v>4.1884816753926701</v>
      </c>
      <c r="BI76" s="3">
        <f t="shared" si="27"/>
        <v>6.5896448438168598</v>
      </c>
      <c r="BJ76" s="3">
        <f t="shared" si="27"/>
        <v>0.31908104658583281</v>
      </c>
      <c r="BK76" s="3">
        <f t="shared" si="27"/>
        <v>3.1380753138075312</v>
      </c>
      <c r="BL76" s="3">
        <f t="shared" si="27"/>
        <v>0</v>
      </c>
      <c r="BM76" s="3">
        <f t="shared" si="27"/>
        <v>4</v>
      </c>
      <c r="BN76" s="3">
        <f t="shared" si="27"/>
        <v>1.9783698232656293</v>
      </c>
      <c r="BO76" s="3">
        <f t="shared" si="28"/>
        <v>1.9134530468060054</v>
      </c>
      <c r="BP76" s="3">
        <f t="shared" si="28"/>
        <v>2.1825396825396823</v>
      </c>
      <c r="BQ76" s="3">
        <f t="shared" si="28"/>
        <v>0</v>
      </c>
      <c r="BR76" s="3">
        <f t="shared" si="28"/>
        <v>2.2624434389140271</v>
      </c>
      <c r="BS76" s="3">
        <f t="shared" si="28"/>
        <v>5.2694136291600637</v>
      </c>
      <c r="BT76" s="3">
        <f t="shared" si="28"/>
        <v>2.7196652719665275</v>
      </c>
      <c r="BU76" s="3">
        <f t="shared" si="28"/>
        <v>5.9007289135716761</v>
      </c>
      <c r="BV76" s="3">
        <f t="shared" si="28"/>
        <v>1.3297872340425532</v>
      </c>
      <c r="BW76" s="3">
        <f t="shared" si="28"/>
        <v>0</v>
      </c>
      <c r="BX76" s="3">
        <f t="shared" si="28"/>
        <v>1.2254901960784315</v>
      </c>
      <c r="BY76" s="3">
        <f t="shared" si="28"/>
        <v>2.358490566037736</v>
      </c>
      <c r="BZ76" s="3">
        <f t="shared" si="28"/>
        <v>0.33613445378151263</v>
      </c>
      <c r="CA76" s="3">
        <f t="shared" si="28"/>
        <v>4.562043795620438</v>
      </c>
      <c r="CB76" s="3">
        <f t="shared" si="28"/>
        <v>0</v>
      </c>
      <c r="CC76" s="3">
        <f t="shared" si="28"/>
        <v>0</v>
      </c>
      <c r="CD76" s="3">
        <f t="shared" si="28"/>
        <v>0</v>
      </c>
      <c r="CE76" s="3">
        <f t="shared" si="28"/>
        <v>0</v>
      </c>
      <c r="CF76" s="3">
        <f t="shared" si="28"/>
        <v>0</v>
      </c>
      <c r="CG76" s="3">
        <f t="shared" si="28"/>
        <v>0</v>
      </c>
      <c r="CH76" s="3">
        <f t="shared" si="28"/>
        <v>0.76804915514592931</v>
      </c>
      <c r="CI76" s="3">
        <f t="shared" si="28"/>
        <v>0</v>
      </c>
      <c r="CJ76" s="3">
        <f t="shared" si="28"/>
        <v>2.4324324324324325</v>
      </c>
      <c r="CK76" s="3">
        <f t="shared" si="28"/>
        <v>3.8502673796791447</v>
      </c>
      <c r="CL76" s="3">
        <f t="shared" si="28"/>
        <v>0</v>
      </c>
      <c r="CM76" s="3">
        <f t="shared" si="28"/>
        <v>0</v>
      </c>
      <c r="CN76" s="3">
        <f t="shared" si="28"/>
        <v>0</v>
      </c>
      <c r="CO76" s="3">
        <f t="shared" si="28"/>
        <v>0</v>
      </c>
      <c r="CP76" s="3">
        <f t="shared" si="28"/>
        <v>0</v>
      </c>
      <c r="CQ76" s="3">
        <f t="shared" si="28"/>
        <v>0</v>
      </c>
      <c r="CR76" s="3">
        <f t="shared" si="28"/>
        <v>2.2939068100358422</v>
      </c>
      <c r="CS76" s="3">
        <f t="shared" si="28"/>
        <v>4.655493482309125</v>
      </c>
      <c r="CT76" s="3">
        <f t="shared" si="28"/>
        <v>0</v>
      </c>
      <c r="CU76" s="3">
        <f t="shared" si="28"/>
        <v>0</v>
      </c>
      <c r="CV76" s="3">
        <f t="shared" si="28"/>
        <v>0</v>
      </c>
      <c r="CW76" s="3">
        <f t="shared" si="28"/>
        <v>0</v>
      </c>
      <c r="CX76" s="3">
        <f t="shared" si="28"/>
        <v>0</v>
      </c>
      <c r="CY76" s="3">
        <f t="shared" si="28"/>
        <v>0</v>
      </c>
      <c r="CZ76" s="3">
        <f t="shared" si="28"/>
        <v>0</v>
      </c>
      <c r="DA76" s="3">
        <f t="shared" si="28"/>
        <v>0</v>
      </c>
      <c r="DB76" s="3">
        <f t="shared" si="28"/>
        <v>1.2962962962962963</v>
      </c>
      <c r="DC76" s="3">
        <f t="shared" si="28"/>
        <v>5.1546391752577314</v>
      </c>
      <c r="DD76" s="3">
        <f t="shared" si="28"/>
        <v>0.91954022988505746</v>
      </c>
      <c r="DE76" s="3">
        <f t="shared" si="28"/>
        <v>8.4027252081756245</v>
      </c>
      <c r="DF76" s="3">
        <f t="shared" si="28"/>
        <v>0</v>
      </c>
      <c r="DG76" s="3">
        <f t="shared" si="28"/>
        <v>0.46875</v>
      </c>
      <c r="DH76" s="3">
        <f t="shared" si="28"/>
        <v>0</v>
      </c>
      <c r="DI76" s="3">
        <f t="shared" si="28"/>
        <v>0</v>
      </c>
      <c r="DJ76" s="3">
        <f t="shared" si="28"/>
        <v>0</v>
      </c>
      <c r="DK76" s="3">
        <f t="shared" si="28"/>
        <v>2.4642289348171702</v>
      </c>
      <c r="DL76" s="3">
        <f t="shared" si="28"/>
        <v>0</v>
      </c>
      <c r="DM76" s="3">
        <f t="shared" si="28"/>
        <v>0</v>
      </c>
      <c r="DN76" s="3">
        <f t="shared" si="28"/>
        <v>0</v>
      </c>
      <c r="DO76" s="3">
        <f t="shared" si="28"/>
        <v>0</v>
      </c>
      <c r="DP76" s="3">
        <f t="shared" si="28"/>
        <v>0</v>
      </c>
      <c r="DQ76" s="3">
        <f t="shared" si="28"/>
        <v>0</v>
      </c>
      <c r="DR76" s="3">
        <f t="shared" si="28"/>
        <v>0</v>
      </c>
      <c r="DS76" s="3">
        <f t="shared" si="28"/>
        <v>0</v>
      </c>
      <c r="DT76" s="3">
        <f t="shared" si="28"/>
        <v>1.5521064301552108</v>
      </c>
      <c r="DU76" s="3">
        <f t="shared" si="28"/>
        <v>1.9694731659281144</v>
      </c>
      <c r="DV76" s="3">
        <f t="shared" si="28"/>
        <v>0</v>
      </c>
      <c r="DW76" s="3">
        <f t="shared" si="28"/>
        <v>0</v>
      </c>
      <c r="DX76" s="3">
        <f t="shared" si="28"/>
        <v>0</v>
      </c>
      <c r="DY76" s="3">
        <f t="shared" si="28"/>
        <v>0</v>
      </c>
      <c r="DZ76" s="3">
        <f t="shared" si="28"/>
        <v>0.21939447125932429</v>
      </c>
      <c r="EA76" s="3">
        <f t="shared" si="29"/>
        <v>2.9017857142857144</v>
      </c>
      <c r="EB76" s="3">
        <f t="shared" si="29"/>
        <v>3.4074074074074074</v>
      </c>
      <c r="EC76" s="3">
        <f t="shared" si="29"/>
        <v>5.2226027397260273</v>
      </c>
      <c r="ED76" s="3">
        <f t="shared" si="29"/>
        <v>1.9243986254295533</v>
      </c>
      <c r="EE76" s="3">
        <f t="shared" si="29"/>
        <v>0</v>
      </c>
      <c r="EF76" s="3">
        <f t="shared" si="29"/>
        <v>2.9835390946502058</v>
      </c>
      <c r="EG76" s="3">
        <f t="shared" si="29"/>
        <v>2.1787296898079767</v>
      </c>
      <c r="EH76" s="3">
        <f t="shared" si="29"/>
        <v>1.7451084082496033</v>
      </c>
      <c r="EI76" s="3">
        <f t="shared" si="29"/>
        <v>0.85882984433709075</v>
      </c>
      <c r="EJ76" s="3">
        <f t="shared" si="29"/>
        <v>0.95108695652173925</v>
      </c>
      <c r="EK76" s="3">
        <f t="shared" si="29"/>
        <v>2.2312373225152129</v>
      </c>
      <c r="EL76" s="3">
        <f t="shared" si="29"/>
        <v>1.5269461077844311</v>
      </c>
      <c r="EM76" s="3">
        <f t="shared" si="29"/>
        <v>8.4267330842673314</v>
      </c>
      <c r="EN76" s="3">
        <f t="shared" si="29"/>
        <v>1.4814814814814816</v>
      </c>
      <c r="EO76" s="3">
        <f t="shared" si="29"/>
        <v>6.8493150684931505</v>
      </c>
      <c r="EP76" s="3">
        <f t="shared" si="29"/>
        <v>2.083333333333333</v>
      </c>
      <c r="EQ76" s="3">
        <f t="shared" si="29"/>
        <v>0</v>
      </c>
      <c r="ER76" s="3">
        <f t="shared" si="29"/>
        <v>1.7391304347826086</v>
      </c>
      <c r="ES76" s="3">
        <f t="shared" si="29"/>
        <v>0</v>
      </c>
      <c r="ET76" s="3">
        <f t="shared" si="29"/>
        <v>1.2658227848101267</v>
      </c>
      <c r="EU76" s="3">
        <f t="shared" si="29"/>
        <v>1.8922852983988356</v>
      </c>
      <c r="EV76" s="3">
        <f t="shared" si="29"/>
        <v>0</v>
      </c>
      <c r="EW76" s="3">
        <f t="shared" si="29"/>
        <v>0</v>
      </c>
      <c r="EX76" s="3">
        <f t="shared" si="29"/>
        <v>0</v>
      </c>
      <c r="EY76" s="3">
        <f t="shared" si="29"/>
        <v>0</v>
      </c>
      <c r="EZ76" s="3">
        <f t="shared" si="29"/>
        <v>0</v>
      </c>
      <c r="FA76" s="3">
        <f t="shared" si="29"/>
        <v>0</v>
      </c>
      <c r="FB76" s="3">
        <f t="shared" si="29"/>
        <v>0</v>
      </c>
      <c r="FC76" s="3">
        <f t="shared" si="29"/>
        <v>3.070175438596491</v>
      </c>
      <c r="FD76" s="3">
        <f t="shared" si="29"/>
        <v>1.984126984126984</v>
      </c>
      <c r="FE76" s="3">
        <f t="shared" si="29"/>
        <v>0</v>
      </c>
      <c r="FF76" s="3">
        <f t="shared" si="29"/>
        <v>1.6379310344827587</v>
      </c>
      <c r="FG76" s="3">
        <f t="shared" si="29"/>
        <v>1.8621973929236499</v>
      </c>
      <c r="FH76" s="3">
        <f t="shared" si="29"/>
        <v>0</v>
      </c>
      <c r="FI76" s="3">
        <f t="shared" si="29"/>
        <v>0</v>
      </c>
      <c r="FJ76" s="3">
        <f t="shared" si="29"/>
        <v>0</v>
      </c>
      <c r="FK76" s="3">
        <f t="shared" si="29"/>
        <v>0</v>
      </c>
      <c r="FL76" s="3">
        <f t="shared" si="29"/>
        <v>1.7500000000000002</v>
      </c>
      <c r="FM76" s="3">
        <f t="shared" si="29"/>
        <v>3.122432210353328</v>
      </c>
      <c r="FN76" s="3">
        <f t="shared" si="29"/>
        <v>0</v>
      </c>
      <c r="FO76" s="3">
        <f t="shared" si="29"/>
        <v>5.0373134328358207</v>
      </c>
      <c r="FP76" s="3">
        <f t="shared" si="29"/>
        <v>0</v>
      </c>
      <c r="FQ76" s="3">
        <f t="shared" si="29"/>
        <v>0.90771558245083206</v>
      </c>
      <c r="FR76" s="3">
        <f t="shared" si="29"/>
        <v>2.7840909090909092</v>
      </c>
      <c r="FS76" s="3">
        <f t="shared" si="29"/>
        <v>0</v>
      </c>
      <c r="FT76" s="3">
        <f t="shared" si="29"/>
        <v>1.7068273092369479</v>
      </c>
      <c r="FU76" s="3">
        <f t="shared" si="29"/>
        <v>4.6814044213263983</v>
      </c>
      <c r="FV76" s="3">
        <f t="shared" si="29"/>
        <v>1.5267175572519083</v>
      </c>
      <c r="FW76" s="3">
        <f t="shared" si="29"/>
        <v>5.4771784232365146</v>
      </c>
      <c r="FX76" s="3">
        <f t="shared" si="29"/>
        <v>1.8238993710691824</v>
      </c>
      <c r="FY76" s="3">
        <f t="shared" si="29"/>
        <v>8.0357142857142865</v>
      </c>
      <c r="FZ76" s="3">
        <f t="shared" si="29"/>
        <v>1.6304347826086956</v>
      </c>
      <c r="GA76" s="3">
        <f t="shared" si="29"/>
        <v>0</v>
      </c>
      <c r="GB76" s="3">
        <f t="shared" si="29"/>
        <v>1.9281332164767746</v>
      </c>
      <c r="GC76" s="3">
        <f t="shared" si="29"/>
        <v>4.6318289786223277</v>
      </c>
      <c r="GD76" s="3">
        <f t="shared" si="29"/>
        <v>0</v>
      </c>
      <c r="GE76" s="3">
        <f t="shared" si="29"/>
        <v>0</v>
      </c>
      <c r="GF76" s="3">
        <f t="shared" si="29"/>
        <v>0</v>
      </c>
      <c r="GG76" s="3">
        <f t="shared" si="29"/>
        <v>0</v>
      </c>
      <c r="GH76" s="3">
        <f t="shared" si="29"/>
        <v>0</v>
      </c>
      <c r="GI76" s="3">
        <f t="shared" si="29"/>
        <v>0</v>
      </c>
      <c r="GJ76" s="3">
        <f t="shared" si="29"/>
        <v>0</v>
      </c>
      <c r="GK76" s="3">
        <f t="shared" si="29"/>
        <v>0</v>
      </c>
      <c r="GL76" s="3">
        <f t="shared" si="29"/>
        <v>0.50167224080267558</v>
      </c>
      <c r="GM76" s="3">
        <f t="shared" si="30"/>
        <v>2.6872964169381111</v>
      </c>
      <c r="GN76" s="3">
        <f t="shared" si="30"/>
        <v>2.4425989252564726</v>
      </c>
      <c r="GO76" s="3">
        <f t="shared" si="30"/>
        <v>2.3797206414899121</v>
      </c>
      <c r="GP76" s="3">
        <f t="shared" si="30"/>
        <v>0</v>
      </c>
      <c r="GQ76" s="3">
        <f t="shared" si="30"/>
        <v>0</v>
      </c>
      <c r="GR76" s="3">
        <f t="shared" si="30"/>
        <v>0</v>
      </c>
      <c r="GS76" s="3">
        <f t="shared" si="30"/>
        <v>0</v>
      </c>
      <c r="GT76" s="3">
        <f t="shared" si="30"/>
        <v>1.2527964205816555</v>
      </c>
      <c r="GU76" s="3">
        <f t="shared" si="30"/>
        <v>0</v>
      </c>
      <c r="GV76" s="3">
        <f t="shared" si="30"/>
        <v>6.3543936092955695</v>
      </c>
      <c r="GW76" s="3">
        <f t="shared" si="30"/>
        <v>4.5265588914549655</v>
      </c>
      <c r="GX76" s="3">
        <f t="shared" si="30"/>
        <v>0.28538812785388123</v>
      </c>
      <c r="GY76" s="3">
        <f t="shared" si="30"/>
        <v>0</v>
      </c>
      <c r="GZ76" s="3">
        <f t="shared" si="30"/>
        <v>0</v>
      </c>
      <c r="HA76" s="3">
        <f t="shared" si="30"/>
        <v>1.5811665495432183</v>
      </c>
      <c r="HB76" s="3">
        <f t="shared" si="30"/>
        <v>1.3737836290784202</v>
      </c>
      <c r="HC76" s="3">
        <f t="shared" si="30"/>
        <v>0</v>
      </c>
      <c r="HD76" s="3">
        <f t="shared" si="30"/>
        <v>0.54726368159203986</v>
      </c>
      <c r="HE76" s="3">
        <f t="shared" si="30"/>
        <v>5.786618444846293</v>
      </c>
      <c r="HF76" s="3">
        <f t="shared" si="30"/>
        <v>1.3897866839043309</v>
      </c>
      <c r="HG76" s="3">
        <f t="shared" si="30"/>
        <v>5.801921655580192</v>
      </c>
      <c r="HH76" s="3">
        <f t="shared" si="30"/>
        <v>1.2709710218607015</v>
      </c>
      <c r="HI76" s="3">
        <f t="shared" si="30"/>
        <v>4.4621026894865521</v>
      </c>
      <c r="HJ76" s="3">
        <f t="shared" si="30"/>
        <v>1.3953488372093024</v>
      </c>
      <c r="HK76" s="3">
        <f t="shared" si="30"/>
        <v>0.8875739644970414</v>
      </c>
      <c r="HL76" s="3">
        <f t="shared" si="30"/>
        <v>1.7543859649122806</v>
      </c>
      <c r="HM76" s="3">
        <f t="shared" si="30"/>
        <v>0</v>
      </c>
      <c r="HN76" s="3">
        <f t="shared" si="30"/>
        <v>2.2865853658536586</v>
      </c>
      <c r="HO76" s="3">
        <f t="shared" si="30"/>
        <v>0</v>
      </c>
      <c r="HP76" s="3">
        <f t="shared" si="30"/>
        <v>0</v>
      </c>
      <c r="HQ76" s="3">
        <f t="shared" si="30"/>
        <v>0</v>
      </c>
      <c r="HR76" s="3">
        <f t="shared" si="30"/>
        <v>0</v>
      </c>
      <c r="HS76" s="3">
        <f t="shared" si="30"/>
        <v>0</v>
      </c>
      <c r="HT76" s="3">
        <f t="shared" si="30"/>
        <v>0</v>
      </c>
      <c r="HU76" s="3">
        <f t="shared" si="30"/>
        <v>0</v>
      </c>
      <c r="HV76" s="3">
        <f t="shared" si="30"/>
        <v>0</v>
      </c>
      <c r="HW76" s="3">
        <f t="shared" si="30"/>
        <v>2</v>
      </c>
      <c r="HX76" s="3">
        <f t="shared" si="30"/>
        <v>2.147239263803681</v>
      </c>
      <c r="HY76" s="3">
        <f t="shared" si="30"/>
        <v>0</v>
      </c>
      <c r="HZ76" s="3">
        <f t="shared" si="30"/>
        <v>0.72463768115942029</v>
      </c>
      <c r="IA76" s="3">
        <f t="shared" si="30"/>
        <v>0</v>
      </c>
      <c r="IB76" s="3">
        <f t="shared" si="30"/>
        <v>0</v>
      </c>
      <c r="IC76" s="3">
        <f t="shared" si="30"/>
        <v>0</v>
      </c>
      <c r="ID76" s="3">
        <f t="shared" si="30"/>
        <v>0</v>
      </c>
      <c r="IE76" s="3">
        <f t="shared" si="30"/>
        <v>2.6347305389221556</v>
      </c>
      <c r="IF76" s="3">
        <f t="shared" si="30"/>
        <v>2.2727272727272729</v>
      </c>
      <c r="IG76" s="3">
        <f t="shared" si="30"/>
        <v>3.9377289377289375</v>
      </c>
      <c r="IH76" s="3">
        <f t="shared" si="30"/>
        <v>0</v>
      </c>
      <c r="II76" s="3">
        <f t="shared" si="30"/>
        <v>3.6257309941520468</v>
      </c>
      <c r="IJ76" s="3">
        <f t="shared" si="30"/>
        <v>0.47206923682140045</v>
      </c>
      <c r="IK76" s="3">
        <f t="shared" si="30"/>
        <v>2.4857954545454546</v>
      </c>
      <c r="IL76" s="3">
        <f t="shared" si="30"/>
        <v>0</v>
      </c>
      <c r="IM76" s="3">
        <f t="shared" si="30"/>
        <v>0</v>
      </c>
      <c r="IN76" s="3">
        <f t="shared" si="30"/>
        <v>0</v>
      </c>
      <c r="IO76" s="3">
        <f t="shared" si="30"/>
        <v>0</v>
      </c>
      <c r="IP76" s="3">
        <f t="shared" si="30"/>
        <v>2.1238938053097343</v>
      </c>
      <c r="IQ76" s="3">
        <f t="shared" si="30"/>
        <v>8.3260297984224358</v>
      </c>
      <c r="IR76" s="3">
        <f t="shared" si="30"/>
        <v>1.0416666666666665</v>
      </c>
      <c r="IS76" s="3">
        <f t="shared" si="30"/>
        <v>9.0968161143599744</v>
      </c>
      <c r="IT76" s="3">
        <f t="shared" si="30"/>
        <v>0</v>
      </c>
      <c r="IU76" s="3">
        <f t="shared" si="30"/>
        <v>1.7825311942959003</v>
      </c>
      <c r="IV76" s="3">
        <f t="shared" si="30"/>
        <v>2.7586206896551726</v>
      </c>
      <c r="IW76" s="3">
        <f t="shared" si="30"/>
        <v>0</v>
      </c>
      <c r="IX76" s="3">
        <f t="shared" si="30"/>
        <v>0.39936102236421722</v>
      </c>
      <c r="IY76" s="3">
        <f t="shared" si="31"/>
        <v>0</v>
      </c>
      <c r="IZ76" s="3">
        <f t="shared" si="31"/>
        <v>0</v>
      </c>
      <c r="JA76" s="3">
        <f t="shared" si="31"/>
        <v>0</v>
      </c>
      <c r="JB76" s="3">
        <f t="shared" si="31"/>
        <v>0</v>
      </c>
      <c r="JC76" s="3">
        <f t="shared" si="31"/>
        <v>0</v>
      </c>
      <c r="JD76" s="3">
        <f t="shared" si="31"/>
        <v>0</v>
      </c>
      <c r="JE76" s="3">
        <f t="shared" si="31"/>
        <v>0</v>
      </c>
      <c r="JF76" s="3">
        <f t="shared" si="31"/>
        <v>1.0416666666666665</v>
      </c>
      <c r="JG76" s="3">
        <f t="shared" si="31"/>
        <v>0</v>
      </c>
      <c r="JH76" s="3">
        <f t="shared" si="31"/>
        <v>0</v>
      </c>
      <c r="JI76" s="3">
        <f t="shared" si="31"/>
        <v>0</v>
      </c>
      <c r="JJ76" s="3">
        <f t="shared" si="31"/>
        <v>0</v>
      </c>
      <c r="JK76" s="3">
        <f t="shared" si="31"/>
        <v>0.87374399301004801</v>
      </c>
      <c r="JL76" s="3">
        <f t="shared" si="31"/>
        <v>0</v>
      </c>
      <c r="JM76" s="3">
        <f t="shared" si="31"/>
        <v>0</v>
      </c>
      <c r="JN76" s="3">
        <f t="shared" si="31"/>
        <v>7.9491255961844198E-2</v>
      </c>
      <c r="JO76" s="3">
        <f t="shared" si="31"/>
        <v>1.5259409969481181</v>
      </c>
      <c r="JP76" s="3">
        <f t="shared" si="31"/>
        <v>4.4234404536862009</v>
      </c>
      <c r="JQ76" s="3">
        <f t="shared" si="31"/>
        <v>10.004697040864254</v>
      </c>
      <c r="JR76" s="3">
        <f t="shared" si="31"/>
        <v>0</v>
      </c>
      <c r="JS76" s="3">
        <f t="shared" si="31"/>
        <v>3.7711313394018204</v>
      </c>
      <c r="JT76" s="3">
        <f t="shared" si="31"/>
        <v>0.54551653596999661</v>
      </c>
      <c r="JU76" s="3">
        <f t="shared" si="31"/>
        <v>0</v>
      </c>
      <c r="JV76" s="3">
        <f t="shared" si="31"/>
        <v>2.2072189041807322</v>
      </c>
      <c r="JW76" s="3">
        <f t="shared" si="31"/>
        <v>0</v>
      </c>
      <c r="JX76" s="3">
        <f t="shared" si="31"/>
        <v>1.2557077625570776</v>
      </c>
      <c r="JY76" s="3">
        <f t="shared" si="31"/>
        <v>3.1558185404339252</v>
      </c>
      <c r="JZ76" s="3">
        <f t="shared" si="31"/>
        <v>1.4362057448229792</v>
      </c>
      <c r="KA76" s="3">
        <f t="shared" si="31"/>
        <v>4.0793413173652695</v>
      </c>
      <c r="KB76" s="3">
        <f t="shared" si="31"/>
        <v>2.8301886792452833</v>
      </c>
      <c r="KC76" s="3">
        <f t="shared" si="31"/>
        <v>6.3512637718729756</v>
      </c>
      <c r="KD76" s="3">
        <f t="shared" si="31"/>
        <v>0</v>
      </c>
      <c r="KE76" s="3">
        <f t="shared" si="31"/>
        <v>5.1428571428571423</v>
      </c>
      <c r="KF76" s="3">
        <f t="shared" si="31"/>
        <v>0</v>
      </c>
      <c r="KG76" s="3">
        <f t="shared" si="31"/>
        <v>4.10958904109589</v>
      </c>
      <c r="KH76" s="3">
        <f t="shared" si="31"/>
        <v>0.14792899408284024</v>
      </c>
      <c r="KI76" s="3">
        <f t="shared" si="31"/>
        <v>5.5369127516778525</v>
      </c>
      <c r="KJ76" s="3">
        <f t="shared" si="31"/>
        <v>0</v>
      </c>
      <c r="KK76" s="3">
        <f t="shared" si="31"/>
        <v>0</v>
      </c>
      <c r="KL76" s="3">
        <f t="shared" si="31"/>
        <v>0</v>
      </c>
      <c r="KM76" s="3">
        <f t="shared" si="31"/>
        <v>0</v>
      </c>
      <c r="KN76" s="3">
        <f t="shared" si="31"/>
        <v>0</v>
      </c>
      <c r="KO76" s="3">
        <f t="shared" si="31"/>
        <v>0</v>
      </c>
      <c r="KP76" s="3">
        <f t="shared" si="31"/>
        <v>0</v>
      </c>
      <c r="KQ76" s="3">
        <f t="shared" si="31"/>
        <v>5.4545454545454541</v>
      </c>
      <c r="KR76" s="3">
        <f t="shared" si="31"/>
        <v>0.25510204081632654</v>
      </c>
      <c r="KS76" s="3">
        <f t="shared" si="31"/>
        <v>1.6797312430011198</v>
      </c>
      <c r="KT76" s="3">
        <f t="shared" si="31"/>
        <v>0</v>
      </c>
      <c r="KU76" s="3">
        <f t="shared" si="31"/>
        <v>0</v>
      </c>
      <c r="KV76" s="3">
        <f t="shared" si="31"/>
        <v>0</v>
      </c>
      <c r="KW76" s="3">
        <f t="shared" si="31"/>
        <v>0</v>
      </c>
      <c r="KX76" s="3">
        <f t="shared" si="31"/>
        <v>0</v>
      </c>
      <c r="KY76" s="3">
        <f t="shared" si="31"/>
        <v>0</v>
      </c>
      <c r="KZ76" s="3">
        <f t="shared" si="31"/>
        <v>2.3443223443223444</v>
      </c>
      <c r="LA76" s="3">
        <f t="shared" si="31"/>
        <v>7.1581196581196576</v>
      </c>
      <c r="LB76" s="3">
        <f t="shared" si="31"/>
        <v>2.4096385542168677</v>
      </c>
      <c r="LC76" s="3">
        <f t="shared" si="31"/>
        <v>0</v>
      </c>
      <c r="LD76" s="3">
        <f t="shared" si="31"/>
        <v>0.45751633986928109</v>
      </c>
      <c r="LE76" s="3">
        <f t="shared" si="31"/>
        <v>0.67283431455004206</v>
      </c>
      <c r="LF76" s="3">
        <f t="shared" si="31"/>
        <v>0</v>
      </c>
      <c r="LG76" s="3">
        <f t="shared" si="31"/>
        <v>0</v>
      </c>
      <c r="LH76" s="3">
        <f t="shared" si="31"/>
        <v>0</v>
      </c>
      <c r="LI76" s="3">
        <f t="shared" si="31"/>
        <v>2.7878787878787876</v>
      </c>
      <c r="LJ76" s="3">
        <f t="shared" si="31"/>
        <v>1.9756838905775076</v>
      </c>
      <c r="LK76" s="3">
        <f t="shared" ref="LK76:MW76" si="34">(LK13-LK$11)/LK$11*100</f>
        <v>3.306451612903226</v>
      </c>
      <c r="LL76" s="3">
        <f t="shared" si="34"/>
        <v>1.7211703958691909</v>
      </c>
      <c r="LM76" s="3">
        <f t="shared" si="34"/>
        <v>5.0030138637733579</v>
      </c>
      <c r="LN76" s="3">
        <f t="shared" si="34"/>
        <v>0</v>
      </c>
      <c r="LO76" s="3">
        <f t="shared" si="34"/>
        <v>0</v>
      </c>
      <c r="LP76" s="3">
        <f t="shared" si="34"/>
        <v>3.3950617283950617</v>
      </c>
      <c r="LQ76" s="3">
        <f t="shared" si="34"/>
        <v>0.40941658137154557</v>
      </c>
      <c r="LR76" s="3">
        <f t="shared" si="34"/>
        <v>1.2668918918918919</v>
      </c>
      <c r="LS76" s="3">
        <f t="shared" si="34"/>
        <v>4.3925233644859816</v>
      </c>
      <c r="LT76" s="3">
        <f t="shared" si="34"/>
        <v>0</v>
      </c>
      <c r="LU76" s="3">
        <f t="shared" si="34"/>
        <v>0</v>
      </c>
      <c r="LV76" s="3">
        <f t="shared" si="34"/>
        <v>0</v>
      </c>
      <c r="LW76" s="3">
        <f t="shared" si="34"/>
        <v>0</v>
      </c>
      <c r="LX76" s="3">
        <f t="shared" si="34"/>
        <v>0</v>
      </c>
      <c r="LY76" s="3">
        <f t="shared" si="34"/>
        <v>0</v>
      </c>
      <c r="LZ76" s="3">
        <f t="shared" si="34"/>
        <v>1.7746228926353149</v>
      </c>
      <c r="MA76" s="3">
        <f t="shared" si="34"/>
        <v>0</v>
      </c>
      <c r="MB76" s="3">
        <f t="shared" si="34"/>
        <v>2.0904229460379193</v>
      </c>
      <c r="MC76" s="3">
        <f t="shared" si="34"/>
        <v>0</v>
      </c>
      <c r="MD76" s="3">
        <f t="shared" si="34"/>
        <v>0.93023255813953487</v>
      </c>
      <c r="ME76" s="3">
        <f t="shared" si="34"/>
        <v>0</v>
      </c>
      <c r="MF76" s="3">
        <f t="shared" si="34"/>
        <v>0</v>
      </c>
      <c r="MG76" s="3">
        <f t="shared" si="34"/>
        <v>0</v>
      </c>
      <c r="MH76" s="3">
        <f t="shared" si="34"/>
        <v>1.9298245614035088</v>
      </c>
      <c r="MI76" s="3">
        <f t="shared" si="34"/>
        <v>0</v>
      </c>
      <c r="MJ76" s="3">
        <f t="shared" si="34"/>
        <v>5.3593179049939099</v>
      </c>
      <c r="MK76" s="3">
        <f t="shared" si="34"/>
        <v>3.0540328895849647</v>
      </c>
      <c r="ML76" s="3">
        <f t="shared" si="34"/>
        <v>1.4966740576496673</v>
      </c>
      <c r="MM76" s="3">
        <f t="shared" si="34"/>
        <v>0</v>
      </c>
      <c r="MN76" s="3">
        <f t="shared" si="34"/>
        <v>0.63249001331557919</v>
      </c>
      <c r="MO76" s="3">
        <f t="shared" si="34"/>
        <v>3.9414414414414414</v>
      </c>
      <c r="MP76" s="3">
        <f t="shared" si="34"/>
        <v>0</v>
      </c>
      <c r="MQ76" s="3">
        <f t="shared" si="34"/>
        <v>0</v>
      </c>
      <c r="MR76" s="3">
        <f t="shared" si="34"/>
        <v>1.1747430249632893</v>
      </c>
      <c r="MS76" s="3">
        <f t="shared" si="34"/>
        <v>0</v>
      </c>
      <c r="MT76" s="3">
        <f t="shared" si="34"/>
        <v>2.2596843615494979</v>
      </c>
      <c r="MU76" s="3">
        <f t="shared" si="34"/>
        <v>3.6460311431826811</v>
      </c>
      <c r="MV76" s="3">
        <f t="shared" si="34"/>
        <v>1.7959396147839666</v>
      </c>
      <c r="MW76" s="3">
        <f t="shared" si="34"/>
        <v>6.9530284301606917</v>
      </c>
      <c r="MX76" s="3"/>
      <c r="MY76" s="3"/>
    </row>
    <row r="77" spans="1:363" x14ac:dyDescent="0.3">
      <c r="A77" s="3">
        <v>3</v>
      </c>
      <c r="B77" s="3">
        <f t="shared" si="33"/>
        <v>1.1494252873563218</v>
      </c>
      <c r="C77" s="3">
        <f t="shared" ref="C77:BN80" si="35">(C14-C$11)/C$11*100</f>
        <v>0</v>
      </c>
      <c r="D77" s="3">
        <f t="shared" si="35"/>
        <v>0.21186440677966101</v>
      </c>
      <c r="E77" s="3">
        <f t="shared" si="35"/>
        <v>6.192660550458716</v>
      </c>
      <c r="F77" s="3">
        <f t="shared" si="35"/>
        <v>0</v>
      </c>
      <c r="G77" s="3">
        <f t="shared" si="35"/>
        <v>2.1032504780114722</v>
      </c>
      <c r="H77" s="3">
        <f t="shared" si="35"/>
        <v>0</v>
      </c>
      <c r="I77" s="3">
        <f t="shared" si="35"/>
        <v>0</v>
      </c>
      <c r="J77" s="3">
        <f t="shared" si="35"/>
        <v>0</v>
      </c>
      <c r="K77" s="3">
        <f t="shared" si="35"/>
        <v>0</v>
      </c>
      <c r="L77" s="3">
        <f t="shared" si="35"/>
        <v>0</v>
      </c>
      <c r="M77" s="3">
        <f t="shared" si="35"/>
        <v>0</v>
      </c>
      <c r="N77" s="3">
        <f t="shared" si="35"/>
        <v>1.4678899082568808</v>
      </c>
      <c r="O77" s="3">
        <f t="shared" si="35"/>
        <v>1.0373443983402488</v>
      </c>
      <c r="P77" s="3">
        <f t="shared" si="35"/>
        <v>1.5594541910331383</v>
      </c>
      <c r="Q77" s="3">
        <f t="shared" si="35"/>
        <v>0</v>
      </c>
      <c r="R77" s="3">
        <f t="shared" si="35"/>
        <v>0.58027079303675055</v>
      </c>
      <c r="S77" s="3">
        <f t="shared" si="35"/>
        <v>2.8280542986425341</v>
      </c>
      <c r="T77" s="3">
        <f t="shared" si="35"/>
        <v>0</v>
      </c>
      <c r="U77" s="3">
        <f t="shared" si="35"/>
        <v>0</v>
      </c>
      <c r="V77" s="3">
        <f t="shared" si="35"/>
        <v>0</v>
      </c>
      <c r="W77" s="3">
        <f t="shared" si="35"/>
        <v>3.7962962962962963</v>
      </c>
      <c r="X77" s="3">
        <f t="shared" si="35"/>
        <v>0.31007751937984496</v>
      </c>
      <c r="Y77" s="3">
        <f t="shared" si="35"/>
        <v>8.695652173913043</v>
      </c>
      <c r="Z77" s="3">
        <f t="shared" si="35"/>
        <v>0.28490028490028491</v>
      </c>
      <c r="AA77" s="3">
        <f t="shared" si="35"/>
        <v>0.66152149944873206</v>
      </c>
      <c r="AB77" s="3">
        <f t="shared" si="35"/>
        <v>1.7241379310344827</v>
      </c>
      <c r="AC77" s="3">
        <f t="shared" si="35"/>
        <v>0.37537537537537535</v>
      </c>
      <c r="AD77" s="3">
        <f t="shared" si="35"/>
        <v>0.65430752453653218</v>
      </c>
      <c r="AE77" s="3">
        <f t="shared" si="35"/>
        <v>0</v>
      </c>
      <c r="AF77" s="3">
        <f t="shared" si="35"/>
        <v>0.46511627906976744</v>
      </c>
      <c r="AG77" s="3">
        <f t="shared" si="35"/>
        <v>4.0740740740740744</v>
      </c>
      <c r="AH77" s="3">
        <f t="shared" si="35"/>
        <v>1.0928961748633881</v>
      </c>
      <c r="AI77" s="3">
        <f t="shared" si="35"/>
        <v>5.07380073800738</v>
      </c>
      <c r="AJ77" s="3">
        <f t="shared" si="35"/>
        <v>0.64870259481037917</v>
      </c>
      <c r="AK77" s="3">
        <f t="shared" si="35"/>
        <v>6.2601626016260168</v>
      </c>
      <c r="AL77" s="3">
        <f t="shared" si="35"/>
        <v>0</v>
      </c>
      <c r="AM77" s="3">
        <f t="shared" si="35"/>
        <v>0</v>
      </c>
      <c r="AN77" s="3">
        <f t="shared" si="35"/>
        <v>2.7829313543599259</v>
      </c>
      <c r="AO77" s="3">
        <f t="shared" si="35"/>
        <v>0</v>
      </c>
      <c r="AP77" s="3">
        <f t="shared" si="35"/>
        <v>0.29197080291970801</v>
      </c>
      <c r="AQ77" s="3">
        <f t="shared" si="35"/>
        <v>0</v>
      </c>
      <c r="AR77" s="3">
        <f t="shared" si="35"/>
        <v>0</v>
      </c>
      <c r="AS77" s="3">
        <f t="shared" si="35"/>
        <v>0</v>
      </c>
      <c r="AT77" s="3">
        <f t="shared" si="35"/>
        <v>0</v>
      </c>
      <c r="AU77" s="3">
        <f t="shared" si="35"/>
        <v>0</v>
      </c>
      <c r="AV77" s="3">
        <f t="shared" si="35"/>
        <v>0</v>
      </c>
      <c r="AW77" s="3">
        <f t="shared" si="35"/>
        <v>0</v>
      </c>
      <c r="AX77" s="3">
        <f t="shared" si="35"/>
        <v>0</v>
      </c>
      <c r="AY77" s="3">
        <f t="shared" si="35"/>
        <v>1.0973936899862824</v>
      </c>
      <c r="AZ77" s="3">
        <f t="shared" si="35"/>
        <v>2.6377491207502932</v>
      </c>
      <c r="BA77" s="3">
        <f t="shared" si="35"/>
        <v>0</v>
      </c>
      <c r="BB77" s="3">
        <f t="shared" si="35"/>
        <v>2.0331325301204819</v>
      </c>
      <c r="BC77" s="3">
        <f t="shared" si="35"/>
        <v>2.4861878453038675</v>
      </c>
      <c r="BD77" s="3">
        <f t="shared" si="35"/>
        <v>0</v>
      </c>
      <c r="BE77" s="3">
        <f t="shared" si="35"/>
        <v>0</v>
      </c>
      <c r="BF77" s="3">
        <f t="shared" si="35"/>
        <v>0</v>
      </c>
      <c r="BG77" s="3">
        <f t="shared" si="35"/>
        <v>4.9067713444553483E-2</v>
      </c>
      <c r="BH77" s="3">
        <f t="shared" si="35"/>
        <v>4.3093032621828433</v>
      </c>
      <c r="BI77" s="3">
        <f t="shared" si="35"/>
        <v>6.2901155327342746</v>
      </c>
      <c r="BJ77" s="3">
        <f t="shared" si="35"/>
        <v>0.63816209317166561</v>
      </c>
      <c r="BK77" s="3">
        <f t="shared" si="35"/>
        <v>3.7133891213389121</v>
      </c>
      <c r="BL77" s="3">
        <f t="shared" si="35"/>
        <v>0</v>
      </c>
      <c r="BM77" s="3">
        <f t="shared" si="35"/>
        <v>3.9545454545454541</v>
      </c>
      <c r="BN77" s="3">
        <f t="shared" si="35"/>
        <v>1.8464785017145873</v>
      </c>
      <c r="BO77" s="3">
        <f t="shared" si="28"/>
        <v>1.1186340889019724</v>
      </c>
      <c r="BP77" s="3">
        <f t="shared" si="28"/>
        <v>2.1329365079365079</v>
      </c>
      <c r="BQ77" s="3">
        <f t="shared" si="28"/>
        <v>0</v>
      </c>
      <c r="BR77" s="3">
        <f t="shared" si="28"/>
        <v>2.2247360482654601</v>
      </c>
      <c r="BS77" s="3">
        <f t="shared" si="28"/>
        <v>5.824088748019018</v>
      </c>
      <c r="BT77" s="3">
        <f t="shared" si="28"/>
        <v>2.7495517035265991</v>
      </c>
      <c r="BU77" s="3">
        <f t="shared" si="28"/>
        <v>5.6577577230128426</v>
      </c>
      <c r="BV77" s="3">
        <f t="shared" si="28"/>
        <v>1.3297872340425532</v>
      </c>
      <c r="BW77" s="3">
        <f t="shared" si="28"/>
        <v>0</v>
      </c>
      <c r="BX77" s="3">
        <f t="shared" si="28"/>
        <v>1.2254901960784315</v>
      </c>
      <c r="BY77" s="3">
        <f t="shared" si="28"/>
        <v>2.358490566037736</v>
      </c>
      <c r="BZ77" s="3">
        <f t="shared" si="28"/>
        <v>0.16806722689075632</v>
      </c>
      <c r="CA77" s="3">
        <f t="shared" si="28"/>
        <v>4.562043795620438</v>
      </c>
      <c r="CB77" s="3">
        <f t="shared" si="28"/>
        <v>0</v>
      </c>
      <c r="CC77" s="3">
        <f t="shared" si="28"/>
        <v>0</v>
      </c>
      <c r="CD77" s="3">
        <f t="shared" si="28"/>
        <v>0</v>
      </c>
      <c r="CE77" s="3">
        <f t="shared" si="28"/>
        <v>0</v>
      </c>
      <c r="CF77" s="3">
        <f t="shared" si="28"/>
        <v>0</v>
      </c>
      <c r="CG77" s="3">
        <f t="shared" si="28"/>
        <v>0</v>
      </c>
      <c r="CH77" s="3">
        <f t="shared" si="28"/>
        <v>0.76804915514592931</v>
      </c>
      <c r="CI77" s="3">
        <f t="shared" si="28"/>
        <v>0</v>
      </c>
      <c r="CJ77" s="3">
        <f t="shared" si="28"/>
        <v>2.4324324324324325</v>
      </c>
      <c r="CK77" s="3">
        <f t="shared" si="28"/>
        <v>4.9197860962566846</v>
      </c>
      <c r="CL77" s="3">
        <f t="shared" si="28"/>
        <v>0</v>
      </c>
      <c r="CM77" s="3">
        <f t="shared" si="28"/>
        <v>0</v>
      </c>
      <c r="CN77" s="3">
        <f t="shared" si="28"/>
        <v>0</v>
      </c>
      <c r="CO77" s="3">
        <f t="shared" si="28"/>
        <v>0</v>
      </c>
      <c r="CP77" s="3">
        <f t="shared" si="28"/>
        <v>0</v>
      </c>
      <c r="CQ77" s="3">
        <f t="shared" si="28"/>
        <v>0</v>
      </c>
      <c r="CR77" s="3">
        <f t="shared" si="28"/>
        <v>2.3655913978494625</v>
      </c>
      <c r="CS77" s="3">
        <f t="shared" si="28"/>
        <v>5.1210428305400377</v>
      </c>
      <c r="CT77" s="3">
        <f t="shared" si="28"/>
        <v>0</v>
      </c>
      <c r="CU77" s="3">
        <f t="shared" si="28"/>
        <v>0</v>
      </c>
      <c r="CV77" s="3">
        <f t="shared" si="28"/>
        <v>0</v>
      </c>
      <c r="CW77" s="3">
        <f t="shared" si="28"/>
        <v>0</v>
      </c>
      <c r="CX77" s="3">
        <f t="shared" si="28"/>
        <v>0</v>
      </c>
      <c r="CY77" s="3">
        <f t="shared" si="28"/>
        <v>0</v>
      </c>
      <c r="CZ77" s="3">
        <f t="shared" si="28"/>
        <v>0</v>
      </c>
      <c r="DA77" s="3">
        <f t="shared" si="28"/>
        <v>0</v>
      </c>
      <c r="DB77" s="3">
        <f t="shared" si="28"/>
        <v>1.2962962962962963</v>
      </c>
      <c r="DC77" s="3">
        <f t="shared" si="28"/>
        <v>5.2339413164155433</v>
      </c>
      <c r="DD77" s="3">
        <f t="shared" si="28"/>
        <v>0.8045977011494253</v>
      </c>
      <c r="DE77" s="3">
        <f t="shared" si="28"/>
        <v>6.7373202119606361</v>
      </c>
      <c r="DF77" s="3">
        <f t="shared" si="28"/>
        <v>0</v>
      </c>
      <c r="DG77" s="3">
        <f t="shared" si="28"/>
        <v>0.625</v>
      </c>
      <c r="DH77" s="3">
        <f t="shared" si="28"/>
        <v>0</v>
      </c>
      <c r="DI77" s="3">
        <f t="shared" si="28"/>
        <v>0.64397424103035883</v>
      </c>
      <c r="DJ77" s="3">
        <f t="shared" si="28"/>
        <v>0</v>
      </c>
      <c r="DK77" s="3">
        <f t="shared" si="28"/>
        <v>2.2257551669316373</v>
      </c>
      <c r="DL77" s="3">
        <f t="shared" si="28"/>
        <v>0</v>
      </c>
      <c r="DM77" s="3">
        <f t="shared" si="28"/>
        <v>0</v>
      </c>
      <c r="DN77" s="3">
        <f t="shared" si="28"/>
        <v>0</v>
      </c>
      <c r="DO77" s="3">
        <f t="shared" si="28"/>
        <v>0</v>
      </c>
      <c r="DP77" s="3">
        <f t="shared" si="28"/>
        <v>0</v>
      </c>
      <c r="DQ77" s="3">
        <f t="shared" si="28"/>
        <v>0</v>
      </c>
      <c r="DR77" s="3">
        <f t="shared" si="28"/>
        <v>0</v>
      </c>
      <c r="DS77" s="3">
        <f t="shared" si="28"/>
        <v>0</v>
      </c>
      <c r="DT77" s="3">
        <f t="shared" si="28"/>
        <v>1.6075388026607538</v>
      </c>
      <c r="DU77" s="3">
        <f t="shared" si="28"/>
        <v>1.6248153618906942</v>
      </c>
      <c r="DV77" s="3">
        <f t="shared" si="28"/>
        <v>0</v>
      </c>
      <c r="DW77" s="3">
        <f t="shared" si="28"/>
        <v>0</v>
      </c>
      <c r="DX77" s="3">
        <f t="shared" si="28"/>
        <v>0</v>
      </c>
      <c r="DY77" s="3">
        <f t="shared" si="28"/>
        <v>0</v>
      </c>
      <c r="DZ77" s="3">
        <f t="shared" si="28"/>
        <v>0.17551557700745943</v>
      </c>
      <c r="EA77" s="3">
        <f t="shared" si="29"/>
        <v>2.5111607142857144</v>
      </c>
      <c r="EB77" s="3">
        <f t="shared" si="29"/>
        <v>3</v>
      </c>
      <c r="EC77" s="3">
        <f t="shared" si="29"/>
        <v>7.23458904109589</v>
      </c>
      <c r="ED77" s="3">
        <f t="shared" si="29"/>
        <v>2.0618556701030926</v>
      </c>
      <c r="EE77" s="3">
        <f t="shared" si="29"/>
        <v>0</v>
      </c>
      <c r="EF77" s="3">
        <f t="shared" si="29"/>
        <v>3.0521262002743481</v>
      </c>
      <c r="EG77" s="3">
        <f t="shared" si="29"/>
        <v>2.4741506646971936</v>
      </c>
      <c r="EH77" s="3">
        <f t="shared" si="29"/>
        <v>1.6129032258064515</v>
      </c>
      <c r="EI77" s="3">
        <f t="shared" si="29"/>
        <v>0.322061191626409</v>
      </c>
      <c r="EJ77" s="3">
        <f t="shared" si="29"/>
        <v>0.76992753623188415</v>
      </c>
      <c r="EK77" s="3">
        <f t="shared" si="29"/>
        <v>3.0425963488843815</v>
      </c>
      <c r="EL77" s="3">
        <f t="shared" si="29"/>
        <v>1.5269461077844311</v>
      </c>
      <c r="EM77" s="3">
        <f t="shared" si="29"/>
        <v>7.8455790784557902</v>
      </c>
      <c r="EN77" s="3">
        <f t="shared" si="29"/>
        <v>1.7195767195767195</v>
      </c>
      <c r="EO77" s="3">
        <f t="shared" si="29"/>
        <v>7.2080887149380297</v>
      </c>
      <c r="EP77" s="3">
        <f t="shared" si="29"/>
        <v>2.083333333333333</v>
      </c>
      <c r="EQ77" s="3">
        <f t="shared" si="29"/>
        <v>0</v>
      </c>
      <c r="ER77" s="3">
        <f t="shared" si="29"/>
        <v>1.7391304347826086</v>
      </c>
      <c r="ES77" s="3">
        <f t="shared" si="29"/>
        <v>0</v>
      </c>
      <c r="ET77" s="3">
        <f t="shared" si="29"/>
        <v>1.2658227848101267</v>
      </c>
      <c r="EU77" s="3">
        <f t="shared" si="29"/>
        <v>1.0189228529839884</v>
      </c>
      <c r="EV77" s="3">
        <f t="shared" si="29"/>
        <v>0</v>
      </c>
      <c r="EW77" s="3">
        <f t="shared" si="29"/>
        <v>0</v>
      </c>
      <c r="EX77" s="3">
        <f t="shared" si="29"/>
        <v>0</v>
      </c>
      <c r="EY77" s="3">
        <f t="shared" si="29"/>
        <v>0</v>
      </c>
      <c r="EZ77" s="3">
        <f t="shared" si="29"/>
        <v>0</v>
      </c>
      <c r="FA77" s="3">
        <f t="shared" si="29"/>
        <v>0</v>
      </c>
      <c r="FB77" s="3">
        <f t="shared" si="29"/>
        <v>0</v>
      </c>
      <c r="FC77" s="3">
        <f t="shared" si="29"/>
        <v>3.070175438596491</v>
      </c>
      <c r="FD77" s="3">
        <f t="shared" si="29"/>
        <v>1.984126984126984</v>
      </c>
      <c r="FE77" s="3">
        <f t="shared" si="29"/>
        <v>0</v>
      </c>
      <c r="FF77" s="3">
        <f t="shared" si="29"/>
        <v>1.6379310344827587</v>
      </c>
      <c r="FG77" s="3">
        <f t="shared" si="29"/>
        <v>1.8621973929236499</v>
      </c>
      <c r="FH77" s="3">
        <f t="shared" si="29"/>
        <v>0</v>
      </c>
      <c r="FI77" s="3">
        <f t="shared" si="29"/>
        <v>0</v>
      </c>
      <c r="FJ77" s="3">
        <f t="shared" si="29"/>
        <v>0</v>
      </c>
      <c r="FK77" s="3">
        <f t="shared" si="29"/>
        <v>0</v>
      </c>
      <c r="FL77" s="3">
        <f t="shared" si="29"/>
        <v>2</v>
      </c>
      <c r="FM77" s="3">
        <f t="shared" si="29"/>
        <v>3.6976170912078881</v>
      </c>
      <c r="FN77" s="3">
        <f t="shared" si="29"/>
        <v>0</v>
      </c>
      <c r="FO77" s="3">
        <f t="shared" si="29"/>
        <v>5.0373134328358207</v>
      </c>
      <c r="FP77" s="3">
        <f t="shared" si="29"/>
        <v>0</v>
      </c>
      <c r="FQ77" s="3">
        <f t="shared" si="29"/>
        <v>0.45385779122541603</v>
      </c>
      <c r="FR77" s="3">
        <f t="shared" si="29"/>
        <v>2.8977272727272725</v>
      </c>
      <c r="FS77" s="3">
        <f t="shared" si="29"/>
        <v>0</v>
      </c>
      <c r="FT77" s="3">
        <f t="shared" si="29"/>
        <v>1.8072289156626504</v>
      </c>
      <c r="FU77" s="3">
        <f t="shared" si="29"/>
        <v>4.6814044213263983</v>
      </c>
      <c r="FV77" s="3">
        <f t="shared" si="29"/>
        <v>1.7557251908396947</v>
      </c>
      <c r="FW77" s="3">
        <f t="shared" si="29"/>
        <v>5.4771784232365146</v>
      </c>
      <c r="FX77" s="3">
        <f t="shared" si="29"/>
        <v>1.8867924528301887</v>
      </c>
      <c r="FY77" s="3">
        <f t="shared" si="29"/>
        <v>8.104395604395604</v>
      </c>
      <c r="FZ77" s="3">
        <f t="shared" si="29"/>
        <v>1.6304347826086956</v>
      </c>
      <c r="GA77" s="3">
        <f t="shared" si="29"/>
        <v>0</v>
      </c>
      <c r="GB77" s="3">
        <f t="shared" si="29"/>
        <v>2.2787028921998247</v>
      </c>
      <c r="GC77" s="3">
        <f t="shared" si="29"/>
        <v>3.800475059382423</v>
      </c>
      <c r="GD77" s="3">
        <f t="shared" si="29"/>
        <v>0</v>
      </c>
      <c r="GE77" s="3">
        <f t="shared" si="29"/>
        <v>0</v>
      </c>
      <c r="GF77" s="3">
        <f t="shared" si="29"/>
        <v>0</v>
      </c>
      <c r="GG77" s="3">
        <f t="shared" si="29"/>
        <v>0</v>
      </c>
      <c r="GH77" s="3">
        <f t="shared" si="29"/>
        <v>0</v>
      </c>
      <c r="GI77" s="3">
        <f t="shared" si="29"/>
        <v>0</v>
      </c>
      <c r="GJ77" s="3">
        <f t="shared" si="29"/>
        <v>0</v>
      </c>
      <c r="GK77" s="3">
        <f t="shared" si="29"/>
        <v>0</v>
      </c>
      <c r="GL77" s="3">
        <f t="shared" si="29"/>
        <v>0.41806020066889632</v>
      </c>
      <c r="GM77" s="3">
        <f t="shared" si="30"/>
        <v>3.1758957654723128</v>
      </c>
      <c r="GN77" s="3">
        <f t="shared" si="30"/>
        <v>2.3448949682462139</v>
      </c>
      <c r="GO77" s="3">
        <f t="shared" si="30"/>
        <v>2.2245214692188311</v>
      </c>
      <c r="GP77" s="3">
        <f t="shared" si="30"/>
        <v>0</v>
      </c>
      <c r="GQ77" s="3">
        <f t="shared" si="30"/>
        <v>0</v>
      </c>
      <c r="GR77" s="3">
        <f t="shared" si="30"/>
        <v>0</v>
      </c>
      <c r="GS77" s="3">
        <f t="shared" si="30"/>
        <v>0</v>
      </c>
      <c r="GT77" s="3">
        <f t="shared" si="30"/>
        <v>1.0738255033557047</v>
      </c>
      <c r="GU77" s="3">
        <f t="shared" si="30"/>
        <v>0</v>
      </c>
      <c r="GV77" s="3">
        <f t="shared" si="30"/>
        <v>5.9186637618010165</v>
      </c>
      <c r="GW77" s="3">
        <f t="shared" si="30"/>
        <v>5.1270207852193996</v>
      </c>
      <c r="GX77" s="3">
        <f t="shared" si="30"/>
        <v>0.11415525114155251</v>
      </c>
      <c r="GY77" s="3">
        <f t="shared" si="30"/>
        <v>0</v>
      </c>
      <c r="GZ77" s="3">
        <f t="shared" si="30"/>
        <v>0</v>
      </c>
      <c r="HA77" s="3">
        <f t="shared" si="30"/>
        <v>1.2297962052002811</v>
      </c>
      <c r="HB77" s="3">
        <f t="shared" si="30"/>
        <v>1.3737836290784202</v>
      </c>
      <c r="HC77" s="3">
        <f t="shared" si="30"/>
        <v>0</v>
      </c>
      <c r="HD77" s="3">
        <f t="shared" si="30"/>
        <v>0.59701492537313439</v>
      </c>
      <c r="HE77" s="3">
        <f t="shared" si="30"/>
        <v>6.027727546714889</v>
      </c>
      <c r="HF77" s="3">
        <f t="shared" si="30"/>
        <v>1.7453135100193924</v>
      </c>
      <c r="HG77" s="3">
        <f t="shared" si="30"/>
        <v>5.9866962305986693</v>
      </c>
      <c r="HH77" s="3">
        <f t="shared" si="30"/>
        <v>0.83884087442806299</v>
      </c>
      <c r="HI77" s="3">
        <f t="shared" si="30"/>
        <v>4.7371638141809296</v>
      </c>
      <c r="HJ77" s="3">
        <f t="shared" si="30"/>
        <v>1.3953488372093024</v>
      </c>
      <c r="HK77" s="3">
        <f t="shared" si="30"/>
        <v>0.8875739644970414</v>
      </c>
      <c r="HL77" s="3">
        <f t="shared" si="30"/>
        <v>1.7543859649122806</v>
      </c>
      <c r="HM77" s="3">
        <f t="shared" si="30"/>
        <v>0</v>
      </c>
      <c r="HN77" s="3">
        <f t="shared" si="30"/>
        <v>2.2865853658536586</v>
      </c>
      <c r="HO77" s="3">
        <f t="shared" si="30"/>
        <v>0</v>
      </c>
      <c r="HP77" s="3">
        <f t="shared" si="30"/>
        <v>0</v>
      </c>
      <c r="HQ77" s="3">
        <f t="shared" si="30"/>
        <v>0</v>
      </c>
      <c r="HR77" s="3">
        <f t="shared" si="30"/>
        <v>0</v>
      </c>
      <c r="HS77" s="3">
        <f t="shared" si="30"/>
        <v>0</v>
      </c>
      <c r="HT77" s="3">
        <f t="shared" si="30"/>
        <v>0</v>
      </c>
      <c r="HU77" s="3">
        <f t="shared" si="30"/>
        <v>0</v>
      </c>
      <c r="HV77" s="3">
        <f t="shared" si="30"/>
        <v>0</v>
      </c>
      <c r="HW77" s="3">
        <f t="shared" si="30"/>
        <v>2</v>
      </c>
      <c r="HX77" s="3">
        <f t="shared" si="30"/>
        <v>2.147239263803681</v>
      </c>
      <c r="HY77" s="3">
        <f t="shared" si="30"/>
        <v>0</v>
      </c>
      <c r="HZ77" s="3">
        <f t="shared" si="30"/>
        <v>0.28985507246376813</v>
      </c>
      <c r="IA77" s="3">
        <f t="shared" si="30"/>
        <v>0</v>
      </c>
      <c r="IB77" s="3">
        <f t="shared" si="30"/>
        <v>0</v>
      </c>
      <c r="IC77" s="3">
        <f t="shared" si="30"/>
        <v>0</v>
      </c>
      <c r="ID77" s="3">
        <f t="shared" si="30"/>
        <v>0</v>
      </c>
      <c r="IE77" s="3">
        <f t="shared" si="30"/>
        <v>0.71856287425149701</v>
      </c>
      <c r="IF77" s="3">
        <f t="shared" si="30"/>
        <v>2.1260997067448679</v>
      </c>
      <c r="IG77" s="3">
        <f t="shared" si="30"/>
        <v>3.5714285714285712</v>
      </c>
      <c r="IH77" s="3">
        <f t="shared" si="30"/>
        <v>0</v>
      </c>
      <c r="II77" s="3">
        <f t="shared" si="30"/>
        <v>3.8596491228070176</v>
      </c>
      <c r="IJ77" s="3">
        <f t="shared" si="30"/>
        <v>0.3147128245476003</v>
      </c>
      <c r="IK77" s="3">
        <f t="shared" si="30"/>
        <v>1.8465909090909092</v>
      </c>
      <c r="IL77" s="3">
        <f t="shared" si="30"/>
        <v>0</v>
      </c>
      <c r="IM77" s="3">
        <f t="shared" si="30"/>
        <v>0</v>
      </c>
      <c r="IN77" s="3">
        <f t="shared" si="30"/>
        <v>0</v>
      </c>
      <c r="IO77" s="3">
        <f t="shared" si="30"/>
        <v>0</v>
      </c>
      <c r="IP77" s="3">
        <f t="shared" si="30"/>
        <v>1.887905604719764</v>
      </c>
      <c r="IQ77" s="3">
        <f t="shared" si="30"/>
        <v>6.8361086765994745</v>
      </c>
      <c r="IR77" s="3">
        <f t="shared" si="30"/>
        <v>0.69444444444444442</v>
      </c>
      <c r="IS77" s="3">
        <f t="shared" si="30"/>
        <v>10.526315789473683</v>
      </c>
      <c r="IT77" s="3">
        <f t="shared" si="30"/>
        <v>0</v>
      </c>
      <c r="IU77" s="3">
        <f t="shared" si="30"/>
        <v>1.7825311942959003</v>
      </c>
      <c r="IV77" s="3">
        <f t="shared" si="30"/>
        <v>2.5287356321839081</v>
      </c>
      <c r="IW77" s="3">
        <f t="shared" si="30"/>
        <v>0</v>
      </c>
      <c r="IX77" s="3">
        <f t="shared" si="30"/>
        <v>0.31948881789137379</v>
      </c>
      <c r="IY77" s="3">
        <f t="shared" si="31"/>
        <v>0</v>
      </c>
      <c r="IZ77" s="3">
        <f t="shared" si="31"/>
        <v>0</v>
      </c>
      <c r="JA77" s="3">
        <f t="shared" si="31"/>
        <v>0</v>
      </c>
      <c r="JB77" s="3">
        <f t="shared" si="31"/>
        <v>0</v>
      </c>
      <c r="JC77" s="3">
        <f t="shared" si="31"/>
        <v>0</v>
      </c>
      <c r="JD77" s="3">
        <f t="shared" si="31"/>
        <v>4.9529470034670627E-2</v>
      </c>
      <c r="JE77" s="3">
        <f t="shared" si="31"/>
        <v>0</v>
      </c>
      <c r="JF77" s="3">
        <f t="shared" si="31"/>
        <v>1.0416666666666665</v>
      </c>
      <c r="JG77" s="3">
        <f t="shared" si="31"/>
        <v>0</v>
      </c>
      <c r="JH77" s="3">
        <f t="shared" si="31"/>
        <v>0</v>
      </c>
      <c r="JI77" s="3">
        <f t="shared" si="31"/>
        <v>0</v>
      </c>
      <c r="JJ77" s="3">
        <f t="shared" si="31"/>
        <v>0</v>
      </c>
      <c r="JK77" s="3">
        <f t="shared" si="31"/>
        <v>1.09217999126256</v>
      </c>
      <c r="JL77" s="3">
        <f t="shared" si="31"/>
        <v>0</v>
      </c>
      <c r="JM77" s="3">
        <f t="shared" si="31"/>
        <v>0</v>
      </c>
      <c r="JN77" s="3">
        <f t="shared" si="31"/>
        <v>0.11923688394276628</v>
      </c>
      <c r="JO77" s="3">
        <f t="shared" si="31"/>
        <v>1.2716174974567651</v>
      </c>
      <c r="JP77" s="3">
        <f t="shared" si="31"/>
        <v>4.3100189035916818</v>
      </c>
      <c r="JQ77" s="3">
        <f t="shared" si="31"/>
        <v>10.051667449506811</v>
      </c>
      <c r="JR77" s="3">
        <f t="shared" si="31"/>
        <v>0</v>
      </c>
      <c r="JS77" s="3">
        <f t="shared" si="31"/>
        <v>3.4460338101430428</v>
      </c>
      <c r="JT77" s="3">
        <f t="shared" si="31"/>
        <v>0.61370610296624617</v>
      </c>
      <c r="JU77" s="3">
        <f t="shared" si="31"/>
        <v>0</v>
      </c>
      <c r="JV77" s="3">
        <f t="shared" si="31"/>
        <v>2.1033497792781097</v>
      </c>
      <c r="JW77" s="3">
        <f t="shared" si="31"/>
        <v>0</v>
      </c>
      <c r="JX77" s="3">
        <f t="shared" si="31"/>
        <v>1.1415525114155249</v>
      </c>
      <c r="JY77" s="3">
        <f t="shared" si="31"/>
        <v>1.6436554898093358</v>
      </c>
      <c r="JZ77" s="3">
        <f t="shared" si="31"/>
        <v>1.3360053440213762</v>
      </c>
      <c r="KA77" s="3">
        <f t="shared" si="31"/>
        <v>3.5553892215568865</v>
      </c>
      <c r="KB77" s="3">
        <f t="shared" si="31"/>
        <v>2.746947835738069</v>
      </c>
      <c r="KC77" s="3">
        <f t="shared" si="31"/>
        <v>5.8003888528839918</v>
      </c>
      <c r="KD77" s="3">
        <f t="shared" si="31"/>
        <v>0</v>
      </c>
      <c r="KE77" s="3">
        <f t="shared" si="31"/>
        <v>5.1428571428571423</v>
      </c>
      <c r="KF77" s="3">
        <f t="shared" si="31"/>
        <v>0</v>
      </c>
      <c r="KG77" s="3">
        <f t="shared" si="31"/>
        <v>3.1963470319634704</v>
      </c>
      <c r="KH77" s="3">
        <f t="shared" si="31"/>
        <v>0.14792899408284024</v>
      </c>
      <c r="KI77" s="3">
        <f t="shared" si="31"/>
        <v>5.0335570469798654</v>
      </c>
      <c r="KJ77" s="3">
        <f t="shared" si="31"/>
        <v>0</v>
      </c>
      <c r="KK77" s="3">
        <f t="shared" si="31"/>
        <v>0</v>
      </c>
      <c r="KL77" s="3">
        <f t="shared" si="31"/>
        <v>0</v>
      </c>
      <c r="KM77" s="3">
        <f t="shared" si="31"/>
        <v>0</v>
      </c>
      <c r="KN77" s="3">
        <f t="shared" si="31"/>
        <v>0</v>
      </c>
      <c r="KO77" s="3">
        <f t="shared" si="31"/>
        <v>0</v>
      </c>
      <c r="KP77" s="3">
        <f t="shared" si="31"/>
        <v>0</v>
      </c>
      <c r="KQ77" s="3">
        <f t="shared" si="31"/>
        <v>5.4545454545454541</v>
      </c>
      <c r="KR77" s="3">
        <f t="shared" si="31"/>
        <v>0.25510204081632654</v>
      </c>
      <c r="KS77" s="3">
        <f t="shared" si="31"/>
        <v>1.6797312430011198</v>
      </c>
      <c r="KT77" s="3">
        <f t="shared" si="31"/>
        <v>0</v>
      </c>
      <c r="KU77" s="3">
        <f t="shared" si="31"/>
        <v>0</v>
      </c>
      <c r="KV77" s="3">
        <f t="shared" si="31"/>
        <v>0</v>
      </c>
      <c r="KW77" s="3">
        <f t="shared" si="31"/>
        <v>0</v>
      </c>
      <c r="KX77" s="3">
        <f t="shared" si="31"/>
        <v>0</v>
      </c>
      <c r="KY77" s="3">
        <f t="shared" si="31"/>
        <v>0</v>
      </c>
      <c r="KZ77" s="3">
        <f t="shared" si="31"/>
        <v>2.1245421245421245</v>
      </c>
      <c r="LA77" s="3">
        <f t="shared" si="31"/>
        <v>8.1196581196581192</v>
      </c>
      <c r="LB77" s="3">
        <f t="shared" si="31"/>
        <v>2.4096385542168677</v>
      </c>
      <c r="LC77" s="3">
        <f t="shared" si="31"/>
        <v>0</v>
      </c>
      <c r="LD77" s="3">
        <f t="shared" si="31"/>
        <v>0.52287581699346397</v>
      </c>
      <c r="LE77" s="3">
        <f t="shared" si="31"/>
        <v>0.33641715727502103</v>
      </c>
      <c r="LF77" s="3">
        <f t="shared" si="31"/>
        <v>0</v>
      </c>
      <c r="LG77" s="3">
        <f t="shared" si="31"/>
        <v>0</v>
      </c>
      <c r="LH77" s="3">
        <f t="shared" si="31"/>
        <v>0</v>
      </c>
      <c r="LI77" s="3">
        <f t="shared" si="31"/>
        <v>2.7878787878787876</v>
      </c>
      <c r="LJ77" s="3">
        <f t="shared" si="31"/>
        <v>2.2036474164133737</v>
      </c>
      <c r="LK77" s="3">
        <f t="shared" ref="LK77:MW77" si="36">(LK14-LK$11)/LK$11*100</f>
        <v>4.435483870967742</v>
      </c>
      <c r="LL77" s="3">
        <f t="shared" si="36"/>
        <v>1.7211703958691909</v>
      </c>
      <c r="LM77" s="3">
        <f t="shared" si="36"/>
        <v>5.786618444846293</v>
      </c>
      <c r="LN77" s="3">
        <f t="shared" si="36"/>
        <v>0</v>
      </c>
      <c r="LO77" s="3">
        <f t="shared" si="36"/>
        <v>0</v>
      </c>
      <c r="LP77" s="3">
        <f t="shared" si="36"/>
        <v>2.7777777777777777</v>
      </c>
      <c r="LQ77" s="3">
        <f t="shared" si="36"/>
        <v>0</v>
      </c>
      <c r="LR77" s="3">
        <f t="shared" si="36"/>
        <v>1.3513513513513513</v>
      </c>
      <c r="LS77" s="3">
        <f t="shared" si="36"/>
        <v>3.1775700934579438</v>
      </c>
      <c r="LT77" s="3">
        <f t="shared" si="36"/>
        <v>0</v>
      </c>
      <c r="LU77" s="3">
        <f t="shared" si="36"/>
        <v>0</v>
      </c>
      <c r="LV77" s="3">
        <f t="shared" si="36"/>
        <v>0</v>
      </c>
      <c r="LW77" s="3">
        <f t="shared" si="36"/>
        <v>0</v>
      </c>
      <c r="LX77" s="3">
        <f t="shared" si="36"/>
        <v>0</v>
      </c>
      <c r="LY77" s="3">
        <f t="shared" si="36"/>
        <v>0</v>
      </c>
      <c r="LZ77" s="3">
        <f t="shared" si="36"/>
        <v>1.7746228926353149</v>
      </c>
      <c r="MA77" s="3">
        <f t="shared" si="36"/>
        <v>0</v>
      </c>
      <c r="MB77" s="3">
        <f t="shared" si="36"/>
        <v>2.1876519202722413</v>
      </c>
      <c r="MC77" s="3">
        <f t="shared" si="36"/>
        <v>0</v>
      </c>
      <c r="MD77" s="3">
        <f t="shared" si="36"/>
        <v>1.0697674418604652</v>
      </c>
      <c r="ME77" s="3">
        <f t="shared" si="36"/>
        <v>0</v>
      </c>
      <c r="MF77" s="3">
        <f t="shared" si="36"/>
        <v>0</v>
      </c>
      <c r="MG77" s="3">
        <f t="shared" si="36"/>
        <v>0</v>
      </c>
      <c r="MH77" s="3">
        <f t="shared" si="36"/>
        <v>1.6666666666666667</v>
      </c>
      <c r="MI77" s="3">
        <f t="shared" si="36"/>
        <v>0</v>
      </c>
      <c r="MJ77" s="3">
        <f t="shared" si="36"/>
        <v>4.7503045066991474</v>
      </c>
      <c r="MK77" s="3">
        <f t="shared" si="36"/>
        <v>2.7799530148786218</v>
      </c>
      <c r="ML77" s="3">
        <f t="shared" si="36"/>
        <v>1.5521064301552108</v>
      </c>
      <c r="MM77" s="3">
        <f t="shared" si="36"/>
        <v>0</v>
      </c>
      <c r="MN77" s="3">
        <f t="shared" si="36"/>
        <v>0.63249001331557919</v>
      </c>
      <c r="MO77" s="3">
        <f t="shared" si="36"/>
        <v>4.2792792792792795</v>
      </c>
      <c r="MP77" s="3">
        <f t="shared" si="36"/>
        <v>0</v>
      </c>
      <c r="MQ77" s="3">
        <f t="shared" si="36"/>
        <v>0</v>
      </c>
      <c r="MR77" s="3">
        <f t="shared" si="36"/>
        <v>1.1747430249632893</v>
      </c>
      <c r="MS77" s="3">
        <f t="shared" si="36"/>
        <v>0</v>
      </c>
      <c r="MT77" s="3">
        <f t="shared" si="36"/>
        <v>2.1520803443328553</v>
      </c>
      <c r="MU77" s="3">
        <f t="shared" si="36"/>
        <v>4.4056209646790734</v>
      </c>
      <c r="MV77" s="3">
        <f t="shared" si="36"/>
        <v>1.665799062988027</v>
      </c>
      <c r="MW77" s="3">
        <f t="shared" si="36"/>
        <v>6.6749072929542645</v>
      </c>
      <c r="MX77" s="3"/>
      <c r="MY77" s="3"/>
    </row>
    <row r="78" spans="1:363" x14ac:dyDescent="0.3">
      <c r="A78" s="3">
        <v>4</v>
      </c>
      <c r="B78" s="3">
        <f t="shared" si="33"/>
        <v>1.1494252873563218</v>
      </c>
      <c r="C78" s="3">
        <f t="shared" si="35"/>
        <v>0</v>
      </c>
      <c r="D78" s="3">
        <f t="shared" si="35"/>
        <v>0.21186440677966101</v>
      </c>
      <c r="E78" s="3">
        <f t="shared" si="35"/>
        <v>6.6513761467889916</v>
      </c>
      <c r="F78" s="3">
        <f t="shared" si="35"/>
        <v>0</v>
      </c>
      <c r="G78" s="3">
        <f t="shared" si="35"/>
        <v>2.1032504780114722</v>
      </c>
      <c r="H78" s="3">
        <f t="shared" si="35"/>
        <v>0</v>
      </c>
      <c r="I78" s="3">
        <f t="shared" si="35"/>
        <v>0</v>
      </c>
      <c r="J78" s="3">
        <f t="shared" si="35"/>
        <v>0</v>
      </c>
      <c r="K78" s="3">
        <f t="shared" si="35"/>
        <v>0</v>
      </c>
      <c r="L78" s="3">
        <f t="shared" si="35"/>
        <v>0</v>
      </c>
      <c r="M78" s="3">
        <f t="shared" si="35"/>
        <v>0</v>
      </c>
      <c r="N78" s="3">
        <f t="shared" si="35"/>
        <v>1.4678899082568808</v>
      </c>
      <c r="O78" s="3">
        <f t="shared" si="35"/>
        <v>1.0373443983402488</v>
      </c>
      <c r="P78" s="3">
        <f t="shared" si="35"/>
        <v>1.5594541910331383</v>
      </c>
      <c r="Q78" s="3">
        <f t="shared" si="35"/>
        <v>0</v>
      </c>
      <c r="R78" s="3">
        <f t="shared" si="35"/>
        <v>0.58027079303675055</v>
      </c>
      <c r="S78" s="3">
        <f t="shared" si="35"/>
        <v>3.0542986425339365</v>
      </c>
      <c r="T78" s="3">
        <f t="shared" si="35"/>
        <v>0</v>
      </c>
      <c r="U78" s="3">
        <f t="shared" si="35"/>
        <v>0</v>
      </c>
      <c r="V78" s="3">
        <f t="shared" si="35"/>
        <v>0</v>
      </c>
      <c r="W78" s="3">
        <f t="shared" si="35"/>
        <v>3.7962962962962963</v>
      </c>
      <c r="X78" s="3">
        <f t="shared" si="35"/>
        <v>0.38759689922480622</v>
      </c>
      <c r="Y78" s="3">
        <f t="shared" si="35"/>
        <v>9.0217391304347831</v>
      </c>
      <c r="Z78" s="3">
        <f t="shared" si="35"/>
        <v>0.28490028490028491</v>
      </c>
      <c r="AA78" s="3">
        <f t="shared" si="35"/>
        <v>0.66152149944873206</v>
      </c>
      <c r="AB78" s="3">
        <f t="shared" si="35"/>
        <v>1.7241379310344827</v>
      </c>
      <c r="AC78" s="3">
        <f t="shared" si="35"/>
        <v>1.2012012012012012</v>
      </c>
      <c r="AD78" s="3">
        <f t="shared" si="35"/>
        <v>0.27262813522355506</v>
      </c>
      <c r="AE78" s="3">
        <f t="shared" si="35"/>
        <v>0</v>
      </c>
      <c r="AF78" s="3">
        <f t="shared" si="35"/>
        <v>0.46511627906976744</v>
      </c>
      <c r="AG78" s="3">
        <f t="shared" si="35"/>
        <v>3.9814814814814818</v>
      </c>
      <c r="AH78" s="3">
        <f t="shared" si="35"/>
        <v>1.0382513661202186</v>
      </c>
      <c r="AI78" s="3">
        <f t="shared" si="35"/>
        <v>4.2435424354243541</v>
      </c>
      <c r="AJ78" s="3">
        <f t="shared" si="35"/>
        <v>0.69860279441117767</v>
      </c>
      <c r="AK78" s="3">
        <f t="shared" si="35"/>
        <v>6.5040650406504072</v>
      </c>
      <c r="AL78" s="3">
        <f t="shared" si="35"/>
        <v>0</v>
      </c>
      <c r="AM78" s="3">
        <f t="shared" si="35"/>
        <v>0</v>
      </c>
      <c r="AN78" s="3">
        <f t="shared" si="35"/>
        <v>2.9684601113172544</v>
      </c>
      <c r="AO78" s="3">
        <f t="shared" si="35"/>
        <v>0</v>
      </c>
      <c r="AP78" s="3">
        <f t="shared" si="35"/>
        <v>0.29197080291970801</v>
      </c>
      <c r="AQ78" s="3">
        <f t="shared" si="35"/>
        <v>0</v>
      </c>
      <c r="AR78" s="3">
        <f t="shared" si="35"/>
        <v>0</v>
      </c>
      <c r="AS78" s="3">
        <f t="shared" si="35"/>
        <v>0</v>
      </c>
      <c r="AT78" s="3">
        <f t="shared" si="35"/>
        <v>0</v>
      </c>
      <c r="AU78" s="3">
        <f t="shared" si="35"/>
        <v>0</v>
      </c>
      <c r="AV78" s="3">
        <f t="shared" si="35"/>
        <v>0</v>
      </c>
      <c r="AW78" s="3">
        <f t="shared" si="35"/>
        <v>0</v>
      </c>
      <c r="AX78" s="3">
        <f t="shared" si="35"/>
        <v>0</v>
      </c>
      <c r="AY78" s="3">
        <f t="shared" si="35"/>
        <v>0.82304526748971196</v>
      </c>
      <c r="AZ78" s="3">
        <f t="shared" si="35"/>
        <v>2.2860492379835873</v>
      </c>
      <c r="BA78" s="3">
        <f t="shared" si="35"/>
        <v>0</v>
      </c>
      <c r="BB78" s="3">
        <f t="shared" si="35"/>
        <v>2.0331325301204819</v>
      </c>
      <c r="BC78" s="3">
        <f t="shared" si="35"/>
        <v>2.3941068139963169</v>
      </c>
      <c r="BD78" s="3">
        <f t="shared" si="35"/>
        <v>0</v>
      </c>
      <c r="BE78" s="3">
        <f t="shared" si="35"/>
        <v>0</v>
      </c>
      <c r="BF78" s="3">
        <f t="shared" si="35"/>
        <v>0</v>
      </c>
      <c r="BG78" s="3">
        <f t="shared" si="35"/>
        <v>0</v>
      </c>
      <c r="BH78" s="3">
        <f t="shared" si="35"/>
        <v>4.0273862263391056</v>
      </c>
      <c r="BI78" s="3">
        <f t="shared" si="35"/>
        <v>8.1728712023962338</v>
      </c>
      <c r="BJ78" s="3">
        <f t="shared" si="35"/>
        <v>0.44671346522016592</v>
      </c>
      <c r="BK78" s="3">
        <f t="shared" si="35"/>
        <v>4.027196652719665</v>
      </c>
      <c r="BL78" s="3">
        <f t="shared" si="35"/>
        <v>0</v>
      </c>
      <c r="BM78" s="3">
        <f t="shared" si="35"/>
        <v>3.8636363636363633</v>
      </c>
      <c r="BN78" s="3">
        <f t="shared" si="35"/>
        <v>2.0311263518860456</v>
      </c>
      <c r="BO78" s="3">
        <f t="shared" si="28"/>
        <v>2.1783926994406828</v>
      </c>
      <c r="BP78" s="3">
        <f t="shared" si="28"/>
        <v>2.083333333333333</v>
      </c>
      <c r="BQ78" s="3">
        <f t="shared" si="28"/>
        <v>0</v>
      </c>
      <c r="BR78" s="3">
        <f t="shared" si="28"/>
        <v>2.5263951734539969</v>
      </c>
      <c r="BS78" s="3">
        <f t="shared" si="28"/>
        <v>5.7052297939778134</v>
      </c>
      <c r="BT78" s="3">
        <f t="shared" si="28"/>
        <v>2.540346682606097</v>
      </c>
      <c r="BU78" s="3">
        <f t="shared" si="28"/>
        <v>5.796598403332176</v>
      </c>
      <c r="BV78" s="3">
        <f t="shared" si="28"/>
        <v>1.3297872340425532</v>
      </c>
      <c r="BW78" s="3">
        <f t="shared" si="28"/>
        <v>0</v>
      </c>
      <c r="BX78" s="3">
        <f t="shared" si="28"/>
        <v>1.2254901960784315</v>
      </c>
      <c r="BY78" s="3">
        <f t="shared" si="28"/>
        <v>2.358490566037736</v>
      </c>
      <c r="BZ78" s="3">
        <f t="shared" si="28"/>
        <v>0.33613445378151263</v>
      </c>
      <c r="CA78" s="3">
        <f t="shared" si="28"/>
        <v>4.562043795620438</v>
      </c>
      <c r="CB78" s="3">
        <f t="shared" si="28"/>
        <v>0</v>
      </c>
      <c r="CC78" s="3">
        <f t="shared" si="28"/>
        <v>0</v>
      </c>
      <c r="CD78" s="3">
        <f t="shared" si="28"/>
        <v>0</v>
      </c>
      <c r="CE78" s="3">
        <f t="shared" si="28"/>
        <v>0</v>
      </c>
      <c r="CF78" s="3">
        <f t="shared" si="28"/>
        <v>0</v>
      </c>
      <c r="CG78" s="3">
        <f t="shared" si="28"/>
        <v>0</v>
      </c>
      <c r="CH78" s="3">
        <f t="shared" si="28"/>
        <v>0.76804915514592931</v>
      </c>
      <c r="CI78" s="3">
        <f t="shared" si="28"/>
        <v>0</v>
      </c>
      <c r="CJ78" s="3">
        <f t="shared" si="28"/>
        <v>2.4324324324324325</v>
      </c>
      <c r="CK78" s="3">
        <f t="shared" si="28"/>
        <v>3.8502673796791447</v>
      </c>
      <c r="CL78" s="3">
        <f t="shared" si="28"/>
        <v>0</v>
      </c>
      <c r="CM78" s="3">
        <f t="shared" si="28"/>
        <v>0</v>
      </c>
      <c r="CN78" s="3">
        <f t="shared" si="28"/>
        <v>0</v>
      </c>
      <c r="CO78" s="3">
        <f t="shared" si="28"/>
        <v>0</v>
      </c>
      <c r="CP78" s="3">
        <f t="shared" si="28"/>
        <v>9.0334236675700091E-2</v>
      </c>
      <c r="CQ78" s="3">
        <f t="shared" si="28"/>
        <v>0</v>
      </c>
      <c r="CR78" s="3">
        <f t="shared" si="28"/>
        <v>2.2222222222222223</v>
      </c>
      <c r="CS78" s="3">
        <f t="shared" si="28"/>
        <v>5.7728119180633151</v>
      </c>
      <c r="CT78" s="3">
        <f t="shared" si="28"/>
        <v>0</v>
      </c>
      <c r="CU78" s="3">
        <f t="shared" si="28"/>
        <v>0</v>
      </c>
      <c r="CV78" s="3">
        <f t="shared" si="28"/>
        <v>0</v>
      </c>
      <c r="CW78" s="3">
        <f t="shared" si="28"/>
        <v>0</v>
      </c>
      <c r="CX78" s="3">
        <f t="shared" si="28"/>
        <v>0</v>
      </c>
      <c r="CY78" s="3">
        <f t="shared" si="28"/>
        <v>0</v>
      </c>
      <c r="CZ78" s="3">
        <f t="shared" si="28"/>
        <v>0</v>
      </c>
      <c r="DA78" s="3">
        <f t="shared" si="28"/>
        <v>0</v>
      </c>
      <c r="DB78" s="3">
        <f t="shared" si="28"/>
        <v>1.3580246913580247</v>
      </c>
      <c r="DC78" s="3">
        <f t="shared" si="28"/>
        <v>4.8374306106264875</v>
      </c>
      <c r="DD78" s="3">
        <f t="shared" si="28"/>
        <v>0.86206896551724133</v>
      </c>
      <c r="DE78" s="3">
        <f t="shared" si="28"/>
        <v>8.0242240726722169</v>
      </c>
      <c r="DF78" s="3">
        <f t="shared" si="28"/>
        <v>0</v>
      </c>
      <c r="DG78" s="3">
        <f t="shared" si="28"/>
        <v>0.9375</v>
      </c>
      <c r="DH78" s="3">
        <f t="shared" si="28"/>
        <v>0</v>
      </c>
      <c r="DI78" s="3">
        <f t="shared" si="28"/>
        <v>0.73597056117755288</v>
      </c>
      <c r="DJ78" s="3">
        <f t="shared" si="28"/>
        <v>0</v>
      </c>
      <c r="DK78" s="3">
        <f t="shared" si="28"/>
        <v>2.2257551669316373</v>
      </c>
      <c r="DL78" s="3">
        <f t="shared" si="28"/>
        <v>0</v>
      </c>
      <c r="DM78" s="3">
        <f t="shared" si="28"/>
        <v>0</v>
      </c>
      <c r="DN78" s="3">
        <f t="shared" si="28"/>
        <v>0</v>
      </c>
      <c r="DO78" s="3">
        <f t="shared" si="28"/>
        <v>0</v>
      </c>
      <c r="DP78" s="3">
        <f t="shared" si="28"/>
        <v>0</v>
      </c>
      <c r="DQ78" s="3">
        <f t="shared" si="28"/>
        <v>0</v>
      </c>
      <c r="DR78" s="3">
        <f t="shared" si="28"/>
        <v>0</v>
      </c>
      <c r="DS78" s="3">
        <f t="shared" si="28"/>
        <v>0</v>
      </c>
      <c r="DT78" s="3">
        <f t="shared" si="28"/>
        <v>1.4966740576496673</v>
      </c>
      <c r="DU78" s="3">
        <f t="shared" si="28"/>
        <v>1.1816838995568686</v>
      </c>
      <c r="DV78" s="3">
        <f t="shared" si="28"/>
        <v>0</v>
      </c>
      <c r="DW78" s="3">
        <f t="shared" si="28"/>
        <v>0</v>
      </c>
      <c r="DX78" s="3">
        <f t="shared" si="28"/>
        <v>0</v>
      </c>
      <c r="DY78" s="3">
        <f t="shared" si="28"/>
        <v>0</v>
      </c>
      <c r="DZ78" s="3">
        <f t="shared" ref="DZ78:GK82" si="37">(DZ15-DZ$11)/DZ$11*100</f>
        <v>0</v>
      </c>
      <c r="EA78" s="3">
        <f t="shared" si="37"/>
        <v>2.1763392857142856</v>
      </c>
      <c r="EB78" s="3">
        <f t="shared" si="37"/>
        <v>4.1481481481481479</v>
      </c>
      <c r="EC78" s="3">
        <f t="shared" si="37"/>
        <v>6.1215753424657535</v>
      </c>
      <c r="ED78" s="3">
        <f t="shared" si="37"/>
        <v>2.1305841924398625</v>
      </c>
      <c r="EE78" s="3">
        <f t="shared" si="37"/>
        <v>0</v>
      </c>
      <c r="EF78" s="3">
        <f t="shared" si="37"/>
        <v>3.017832647462277</v>
      </c>
      <c r="EG78" s="3">
        <f t="shared" si="37"/>
        <v>2.1787296898079767</v>
      </c>
      <c r="EH78" s="3">
        <f t="shared" si="37"/>
        <v>1.7451084082496033</v>
      </c>
      <c r="EI78" s="3">
        <f t="shared" si="37"/>
        <v>0.56360708534621573</v>
      </c>
      <c r="EJ78" s="3">
        <f t="shared" si="37"/>
        <v>0.81521739130434778</v>
      </c>
      <c r="EK78" s="3">
        <f t="shared" si="37"/>
        <v>4.1244083840432726</v>
      </c>
      <c r="EL78" s="3">
        <f t="shared" si="37"/>
        <v>1.4670658682634732</v>
      </c>
      <c r="EM78" s="3">
        <f t="shared" si="37"/>
        <v>8.1361560813615608</v>
      </c>
      <c r="EN78" s="3">
        <f t="shared" si="37"/>
        <v>1.746031746031746</v>
      </c>
      <c r="EO78" s="3">
        <f t="shared" si="37"/>
        <v>7.5016307893020215</v>
      </c>
      <c r="EP78" s="3">
        <f t="shared" si="37"/>
        <v>2.083333333333333</v>
      </c>
      <c r="EQ78" s="3">
        <f t="shared" si="37"/>
        <v>0</v>
      </c>
      <c r="ER78" s="3">
        <f t="shared" si="37"/>
        <v>1.7391304347826086</v>
      </c>
      <c r="ES78" s="3">
        <f t="shared" si="37"/>
        <v>0</v>
      </c>
      <c r="ET78" s="3">
        <f t="shared" si="37"/>
        <v>1.2658227848101267</v>
      </c>
      <c r="EU78" s="3">
        <f t="shared" si="37"/>
        <v>1.8922852983988356</v>
      </c>
      <c r="EV78" s="3">
        <f t="shared" si="37"/>
        <v>0</v>
      </c>
      <c r="EW78" s="3">
        <f t="shared" si="37"/>
        <v>0</v>
      </c>
      <c r="EX78" s="3">
        <f t="shared" si="37"/>
        <v>0</v>
      </c>
      <c r="EY78" s="3">
        <f t="shared" si="37"/>
        <v>0</v>
      </c>
      <c r="EZ78" s="3">
        <f t="shared" si="37"/>
        <v>0</v>
      </c>
      <c r="FA78" s="3">
        <f t="shared" si="37"/>
        <v>0</v>
      </c>
      <c r="FB78" s="3">
        <f t="shared" si="37"/>
        <v>0</v>
      </c>
      <c r="FC78" s="3">
        <f t="shared" si="37"/>
        <v>3.070175438596491</v>
      </c>
      <c r="FD78" s="3">
        <f t="shared" si="37"/>
        <v>2.1164021164021163</v>
      </c>
      <c r="FE78" s="3">
        <f t="shared" si="37"/>
        <v>0</v>
      </c>
      <c r="FF78" s="3">
        <f t="shared" si="37"/>
        <v>1.7241379310344827</v>
      </c>
      <c r="FG78" s="3">
        <f t="shared" si="37"/>
        <v>2.2346368715083798</v>
      </c>
      <c r="FH78" s="3">
        <f t="shared" si="37"/>
        <v>0</v>
      </c>
      <c r="FI78" s="3">
        <f t="shared" si="37"/>
        <v>0</v>
      </c>
      <c r="FJ78" s="3">
        <f t="shared" si="37"/>
        <v>0</v>
      </c>
      <c r="FK78" s="3">
        <f t="shared" si="37"/>
        <v>0</v>
      </c>
      <c r="FL78" s="3">
        <f t="shared" si="37"/>
        <v>1.5833333333333335</v>
      </c>
      <c r="FM78" s="3">
        <f t="shared" si="37"/>
        <v>3.2046014790468362</v>
      </c>
      <c r="FN78" s="3">
        <f t="shared" si="37"/>
        <v>0</v>
      </c>
      <c r="FO78" s="3">
        <f t="shared" si="37"/>
        <v>5.0373134328358207</v>
      </c>
      <c r="FP78" s="3">
        <f t="shared" si="37"/>
        <v>0</v>
      </c>
      <c r="FQ78" s="3">
        <f t="shared" si="37"/>
        <v>0.75642965204236012</v>
      </c>
      <c r="FR78" s="3">
        <f t="shared" si="37"/>
        <v>2.7272727272727271</v>
      </c>
      <c r="FS78" s="3">
        <f t="shared" si="37"/>
        <v>0</v>
      </c>
      <c r="FT78" s="3">
        <f t="shared" si="37"/>
        <v>1.3052208835341366</v>
      </c>
      <c r="FU78" s="3">
        <f t="shared" si="37"/>
        <v>4.6814044213263983</v>
      </c>
      <c r="FV78" s="3">
        <f t="shared" si="37"/>
        <v>1.7557251908396947</v>
      </c>
      <c r="FW78" s="3">
        <f t="shared" si="37"/>
        <v>5.394190871369295</v>
      </c>
      <c r="FX78" s="3">
        <f t="shared" si="37"/>
        <v>1.8238993710691824</v>
      </c>
      <c r="FY78" s="3">
        <f t="shared" si="37"/>
        <v>7.6236263736263741</v>
      </c>
      <c r="FZ78" s="3">
        <f t="shared" si="37"/>
        <v>1.6304347826086956</v>
      </c>
      <c r="GA78" s="3">
        <f t="shared" si="37"/>
        <v>0</v>
      </c>
      <c r="GB78" s="3">
        <f t="shared" si="37"/>
        <v>1.4899211218229622</v>
      </c>
      <c r="GC78" s="3">
        <f t="shared" si="37"/>
        <v>3.800475059382423</v>
      </c>
      <c r="GD78" s="3">
        <f t="shared" si="37"/>
        <v>0</v>
      </c>
      <c r="GE78" s="3">
        <f t="shared" si="37"/>
        <v>0</v>
      </c>
      <c r="GF78" s="3">
        <f t="shared" si="37"/>
        <v>0</v>
      </c>
      <c r="GG78" s="3">
        <f t="shared" si="37"/>
        <v>0</v>
      </c>
      <c r="GH78" s="3">
        <f t="shared" si="37"/>
        <v>0</v>
      </c>
      <c r="GI78" s="3">
        <f t="shared" si="37"/>
        <v>0</v>
      </c>
      <c r="GJ78" s="3">
        <f t="shared" si="37"/>
        <v>0</v>
      </c>
      <c r="GK78" s="3">
        <f t="shared" si="37"/>
        <v>0</v>
      </c>
      <c r="GL78" s="3">
        <f t="shared" si="29"/>
        <v>0.16722408026755853</v>
      </c>
      <c r="GM78" s="3">
        <f t="shared" si="30"/>
        <v>3.7459283387622153</v>
      </c>
      <c r="GN78" s="3">
        <f t="shared" si="30"/>
        <v>2.3448949682462139</v>
      </c>
      <c r="GO78" s="3">
        <f t="shared" si="30"/>
        <v>2.5349198137609932</v>
      </c>
      <c r="GP78" s="3">
        <f t="shared" si="30"/>
        <v>0</v>
      </c>
      <c r="GQ78" s="3">
        <f t="shared" si="30"/>
        <v>0</v>
      </c>
      <c r="GR78" s="3">
        <f t="shared" si="30"/>
        <v>0</v>
      </c>
      <c r="GS78" s="3">
        <f t="shared" si="30"/>
        <v>0</v>
      </c>
      <c r="GT78" s="3">
        <f t="shared" si="30"/>
        <v>1.2080536912751678</v>
      </c>
      <c r="GU78" s="3">
        <f t="shared" si="30"/>
        <v>0</v>
      </c>
      <c r="GV78" s="3">
        <f t="shared" si="30"/>
        <v>5.3376906318082789</v>
      </c>
      <c r="GW78" s="3">
        <f t="shared" si="30"/>
        <v>5.3117782909930717</v>
      </c>
      <c r="GX78" s="3">
        <f t="shared" si="30"/>
        <v>0.17123287671232876</v>
      </c>
      <c r="GY78" s="3">
        <f t="shared" si="30"/>
        <v>0</v>
      </c>
      <c r="GZ78" s="3">
        <f t="shared" si="30"/>
        <v>0</v>
      </c>
      <c r="HA78" s="3">
        <f t="shared" si="30"/>
        <v>2.1433591004919186</v>
      </c>
      <c r="HB78" s="3">
        <f t="shared" si="30"/>
        <v>1.4882655981682884</v>
      </c>
      <c r="HC78" s="3">
        <f t="shared" si="30"/>
        <v>0</v>
      </c>
      <c r="HD78" s="3">
        <f t="shared" si="30"/>
        <v>0.54726368159203986</v>
      </c>
      <c r="HE78" s="3">
        <f t="shared" si="30"/>
        <v>6.027727546714889</v>
      </c>
      <c r="HF78" s="3">
        <f t="shared" si="30"/>
        <v>1.680672268907563</v>
      </c>
      <c r="HG78" s="3">
        <f t="shared" si="30"/>
        <v>5.7649667405764964</v>
      </c>
      <c r="HH78" s="3">
        <f t="shared" si="30"/>
        <v>1.3472292831723438</v>
      </c>
      <c r="HI78" s="3">
        <f t="shared" si="30"/>
        <v>4.7982885085574569</v>
      </c>
      <c r="HJ78" s="3">
        <f t="shared" si="30"/>
        <v>1.3953488372093024</v>
      </c>
      <c r="HK78" s="3">
        <f t="shared" si="30"/>
        <v>0.8875739644970414</v>
      </c>
      <c r="HL78" s="3">
        <f t="shared" si="30"/>
        <v>1.7543859649122806</v>
      </c>
      <c r="HM78" s="3">
        <f t="shared" si="30"/>
        <v>1.2891344383057091</v>
      </c>
      <c r="HN78" s="3">
        <f t="shared" si="30"/>
        <v>2.2865853658536586</v>
      </c>
      <c r="HO78" s="3">
        <f t="shared" si="30"/>
        <v>0</v>
      </c>
      <c r="HP78" s="3">
        <f t="shared" si="30"/>
        <v>0</v>
      </c>
      <c r="HQ78" s="3">
        <f t="shared" si="30"/>
        <v>0</v>
      </c>
      <c r="HR78" s="3">
        <f t="shared" si="30"/>
        <v>0</v>
      </c>
      <c r="HS78" s="3">
        <f t="shared" si="30"/>
        <v>0</v>
      </c>
      <c r="HT78" s="3">
        <f t="shared" si="30"/>
        <v>0</v>
      </c>
      <c r="HU78" s="3">
        <f t="shared" si="30"/>
        <v>0</v>
      </c>
      <c r="HV78" s="3">
        <f t="shared" si="30"/>
        <v>0</v>
      </c>
      <c r="HW78" s="3">
        <f t="shared" si="30"/>
        <v>2</v>
      </c>
      <c r="HX78" s="3">
        <f t="shared" si="30"/>
        <v>2.147239263803681</v>
      </c>
      <c r="HY78" s="3">
        <f t="shared" si="30"/>
        <v>0</v>
      </c>
      <c r="HZ78" s="3">
        <f t="shared" si="30"/>
        <v>0.43478260869565216</v>
      </c>
      <c r="IA78" s="3">
        <f t="shared" si="30"/>
        <v>0</v>
      </c>
      <c r="IB78" s="3">
        <f t="shared" si="30"/>
        <v>0</v>
      </c>
      <c r="IC78" s="3">
        <f t="shared" si="30"/>
        <v>0</v>
      </c>
      <c r="ID78" s="3">
        <f t="shared" si="30"/>
        <v>0</v>
      </c>
      <c r="IE78" s="3">
        <f t="shared" si="30"/>
        <v>1.437125748502994</v>
      </c>
      <c r="IF78" s="3">
        <f t="shared" si="30"/>
        <v>2.7126099706744866</v>
      </c>
      <c r="IG78" s="3">
        <f t="shared" si="30"/>
        <v>2.3809523809523809</v>
      </c>
      <c r="IH78" s="3">
        <f t="shared" si="30"/>
        <v>0</v>
      </c>
      <c r="II78" s="3">
        <f t="shared" si="30"/>
        <v>3.8596491228070176</v>
      </c>
      <c r="IJ78" s="3">
        <f t="shared" si="30"/>
        <v>0.23603461841070023</v>
      </c>
      <c r="IK78" s="3">
        <f t="shared" si="30"/>
        <v>1.9176136363636365</v>
      </c>
      <c r="IL78" s="3">
        <f t="shared" si="30"/>
        <v>0</v>
      </c>
      <c r="IM78" s="3">
        <f t="shared" si="30"/>
        <v>0</v>
      </c>
      <c r="IN78" s="3">
        <f t="shared" si="30"/>
        <v>0</v>
      </c>
      <c r="IO78" s="3">
        <f t="shared" si="30"/>
        <v>0</v>
      </c>
      <c r="IP78" s="3">
        <f t="shared" si="30"/>
        <v>2.3008849557522124</v>
      </c>
      <c r="IQ78" s="3">
        <f t="shared" si="30"/>
        <v>7.1866783523225246</v>
      </c>
      <c r="IR78" s="3">
        <f t="shared" si="30"/>
        <v>0.75231481481481477</v>
      </c>
      <c r="IS78" s="3">
        <f t="shared" si="30"/>
        <v>9.0968161143599744</v>
      </c>
      <c r="IT78" s="3">
        <f t="shared" si="30"/>
        <v>0</v>
      </c>
      <c r="IU78" s="3">
        <f t="shared" si="30"/>
        <v>1.7825311942959003</v>
      </c>
      <c r="IV78" s="3">
        <f t="shared" si="30"/>
        <v>2.8735632183908044</v>
      </c>
      <c r="IW78" s="3">
        <f t="shared" si="30"/>
        <v>0</v>
      </c>
      <c r="IX78" s="3">
        <f t="shared" ref="IX78:LI82" si="38">(IX15-IX$11)/IX$11*100</f>
        <v>0.39936102236421722</v>
      </c>
      <c r="IY78" s="3">
        <f t="shared" si="38"/>
        <v>0</v>
      </c>
      <c r="IZ78" s="3">
        <f t="shared" si="38"/>
        <v>0</v>
      </c>
      <c r="JA78" s="3">
        <f t="shared" si="38"/>
        <v>0</v>
      </c>
      <c r="JB78" s="3">
        <f t="shared" si="38"/>
        <v>0</v>
      </c>
      <c r="JC78" s="3">
        <f t="shared" si="38"/>
        <v>0</v>
      </c>
      <c r="JD78" s="3">
        <f t="shared" si="38"/>
        <v>4.9529470034670627E-2</v>
      </c>
      <c r="JE78" s="3">
        <f t="shared" si="38"/>
        <v>0</v>
      </c>
      <c r="JF78" s="3">
        <f t="shared" si="38"/>
        <v>1.0416666666666665</v>
      </c>
      <c r="JG78" s="3">
        <f t="shared" si="38"/>
        <v>0</v>
      </c>
      <c r="JH78" s="3">
        <f t="shared" si="38"/>
        <v>0</v>
      </c>
      <c r="JI78" s="3">
        <f t="shared" si="38"/>
        <v>0</v>
      </c>
      <c r="JJ78" s="3">
        <f t="shared" si="38"/>
        <v>0</v>
      </c>
      <c r="JK78" s="3">
        <f t="shared" si="38"/>
        <v>0.17474879860200962</v>
      </c>
      <c r="JL78" s="3">
        <f t="shared" si="38"/>
        <v>0</v>
      </c>
      <c r="JM78" s="3">
        <f t="shared" si="38"/>
        <v>0</v>
      </c>
      <c r="JN78" s="3">
        <f t="shared" si="38"/>
        <v>0.1589825119236884</v>
      </c>
      <c r="JO78" s="3">
        <f t="shared" si="38"/>
        <v>1.9328585961342828</v>
      </c>
      <c r="JP78" s="3">
        <f t="shared" si="38"/>
        <v>4.4234404536862009</v>
      </c>
      <c r="JQ78" s="3">
        <f t="shared" si="38"/>
        <v>10.615312353217474</v>
      </c>
      <c r="JR78" s="3">
        <f t="shared" si="38"/>
        <v>0</v>
      </c>
      <c r="JS78" s="3">
        <f t="shared" si="38"/>
        <v>3.9011703511053319</v>
      </c>
      <c r="JT78" s="3">
        <f t="shared" si="38"/>
        <v>0.71599045346062051</v>
      </c>
      <c r="JU78" s="3">
        <f t="shared" si="38"/>
        <v>0</v>
      </c>
      <c r="JV78" s="3">
        <f t="shared" si="38"/>
        <v>2.2591534666320436</v>
      </c>
      <c r="JW78" s="3">
        <f t="shared" si="38"/>
        <v>0</v>
      </c>
      <c r="JX78" s="3">
        <f t="shared" si="38"/>
        <v>0.91324200913242004</v>
      </c>
      <c r="JY78" s="3">
        <f t="shared" si="38"/>
        <v>2.2353714661406969</v>
      </c>
      <c r="JZ78" s="3">
        <f t="shared" si="38"/>
        <v>1.503006012024048</v>
      </c>
      <c r="KA78" s="3">
        <f t="shared" si="38"/>
        <v>5.0149700598802394</v>
      </c>
      <c r="KB78" s="3">
        <f t="shared" si="38"/>
        <v>2.8579356270810212</v>
      </c>
      <c r="KC78" s="3">
        <f t="shared" si="38"/>
        <v>6.675307841866494</v>
      </c>
      <c r="KD78" s="3">
        <f t="shared" si="38"/>
        <v>0</v>
      </c>
      <c r="KE78" s="3">
        <f t="shared" si="38"/>
        <v>5.1428571428571423</v>
      </c>
      <c r="KF78" s="3">
        <f t="shared" si="38"/>
        <v>0</v>
      </c>
      <c r="KG78" s="3">
        <f t="shared" si="38"/>
        <v>4.3378995433789953</v>
      </c>
      <c r="KH78" s="3">
        <f t="shared" si="38"/>
        <v>0.14792899408284024</v>
      </c>
      <c r="KI78" s="3">
        <f t="shared" si="38"/>
        <v>5.201342281879195</v>
      </c>
      <c r="KJ78" s="3">
        <f t="shared" si="38"/>
        <v>0</v>
      </c>
      <c r="KK78" s="3">
        <f t="shared" si="38"/>
        <v>0</v>
      </c>
      <c r="KL78" s="3">
        <f t="shared" si="38"/>
        <v>0</v>
      </c>
      <c r="KM78" s="3">
        <f t="shared" si="38"/>
        <v>0</v>
      </c>
      <c r="KN78" s="3">
        <f t="shared" si="38"/>
        <v>0</v>
      </c>
      <c r="KO78" s="3">
        <f t="shared" si="38"/>
        <v>0</v>
      </c>
      <c r="KP78" s="3">
        <f t="shared" si="38"/>
        <v>0</v>
      </c>
      <c r="KQ78" s="3">
        <f t="shared" si="38"/>
        <v>5.4545454545454541</v>
      </c>
      <c r="KR78" s="3">
        <f t="shared" si="38"/>
        <v>0.25510204081632654</v>
      </c>
      <c r="KS78" s="3">
        <f t="shared" si="38"/>
        <v>1.6797312430011198</v>
      </c>
      <c r="KT78" s="3">
        <f t="shared" si="38"/>
        <v>0</v>
      </c>
      <c r="KU78" s="3">
        <f t="shared" si="38"/>
        <v>0</v>
      </c>
      <c r="KV78" s="3">
        <f t="shared" si="38"/>
        <v>0</v>
      </c>
      <c r="KW78" s="3">
        <f t="shared" si="38"/>
        <v>0</v>
      </c>
      <c r="KX78" s="3">
        <f t="shared" si="38"/>
        <v>0</v>
      </c>
      <c r="KY78" s="3">
        <f t="shared" si="38"/>
        <v>0</v>
      </c>
      <c r="KZ78" s="3">
        <f t="shared" si="38"/>
        <v>2.271062271062271</v>
      </c>
      <c r="LA78" s="3">
        <f t="shared" si="38"/>
        <v>7.6923076923076925</v>
      </c>
      <c r="LB78" s="3">
        <f t="shared" si="38"/>
        <v>2.4096385542168677</v>
      </c>
      <c r="LC78" s="3">
        <f t="shared" si="38"/>
        <v>0</v>
      </c>
      <c r="LD78" s="3">
        <f t="shared" si="38"/>
        <v>0.32679738562091504</v>
      </c>
      <c r="LE78" s="3">
        <f t="shared" si="38"/>
        <v>0.84104289318755254</v>
      </c>
      <c r="LF78" s="3">
        <f t="shared" si="38"/>
        <v>0</v>
      </c>
      <c r="LG78" s="3">
        <f t="shared" si="38"/>
        <v>0</v>
      </c>
      <c r="LH78" s="3">
        <f t="shared" si="38"/>
        <v>0</v>
      </c>
      <c r="LI78" s="3">
        <f t="shared" si="38"/>
        <v>2.7878787878787876</v>
      </c>
      <c r="LJ78" s="3">
        <f t="shared" si="31"/>
        <v>2.1276595744680851</v>
      </c>
      <c r="LK78" s="3">
        <f t="shared" ref="LK78:MW78" si="39">(LK15-LK$11)/LK$11*100</f>
        <v>4.5161290322580641</v>
      </c>
      <c r="LL78" s="3">
        <f t="shared" si="39"/>
        <v>1.7211703958691909</v>
      </c>
      <c r="LM78" s="3">
        <f t="shared" si="39"/>
        <v>7.0524412296564201</v>
      </c>
      <c r="LN78" s="3">
        <f t="shared" si="39"/>
        <v>0</v>
      </c>
      <c r="LO78" s="3">
        <f t="shared" si="39"/>
        <v>0</v>
      </c>
      <c r="LP78" s="3">
        <f t="shared" si="39"/>
        <v>2.9835390946502058</v>
      </c>
      <c r="LQ78" s="3">
        <f t="shared" si="39"/>
        <v>0</v>
      </c>
      <c r="LR78" s="3">
        <f t="shared" si="39"/>
        <v>1.3513513513513513</v>
      </c>
      <c r="LS78" s="3">
        <f t="shared" si="39"/>
        <v>4.9532710280373831</v>
      </c>
      <c r="LT78" s="3">
        <f t="shared" si="39"/>
        <v>0</v>
      </c>
      <c r="LU78" s="3">
        <f t="shared" si="39"/>
        <v>0</v>
      </c>
      <c r="LV78" s="3">
        <f t="shared" si="39"/>
        <v>0</v>
      </c>
      <c r="LW78" s="3">
        <f t="shared" si="39"/>
        <v>0</v>
      </c>
      <c r="LX78" s="3">
        <f t="shared" si="39"/>
        <v>0</v>
      </c>
      <c r="LY78" s="3">
        <f t="shared" si="39"/>
        <v>0</v>
      </c>
      <c r="LZ78" s="3">
        <f t="shared" si="39"/>
        <v>1.7746228926353149</v>
      </c>
      <c r="MA78" s="3">
        <f t="shared" si="39"/>
        <v>0</v>
      </c>
      <c r="MB78" s="3">
        <f t="shared" si="39"/>
        <v>2.0418084589207584</v>
      </c>
      <c r="MC78" s="3">
        <f t="shared" si="39"/>
        <v>0</v>
      </c>
      <c r="MD78" s="3">
        <f t="shared" si="39"/>
        <v>0.97674418604651159</v>
      </c>
      <c r="ME78" s="3">
        <f t="shared" si="39"/>
        <v>0</v>
      </c>
      <c r="MF78" s="3">
        <f t="shared" si="39"/>
        <v>0</v>
      </c>
      <c r="MG78" s="3">
        <f t="shared" si="39"/>
        <v>0</v>
      </c>
      <c r="MH78" s="3">
        <f t="shared" si="39"/>
        <v>1.7982456140350878</v>
      </c>
      <c r="MI78" s="3">
        <f t="shared" si="39"/>
        <v>0</v>
      </c>
      <c r="MJ78" s="3">
        <f t="shared" si="39"/>
        <v>4.7503045066991474</v>
      </c>
      <c r="MK78" s="3">
        <f t="shared" si="39"/>
        <v>3.2889584964761158</v>
      </c>
      <c r="ML78" s="3">
        <f t="shared" si="39"/>
        <v>1.7738359201773837</v>
      </c>
      <c r="MM78" s="3">
        <f t="shared" si="39"/>
        <v>0</v>
      </c>
      <c r="MN78" s="3">
        <f t="shared" si="39"/>
        <v>0.5992010652463382</v>
      </c>
      <c r="MO78" s="3">
        <f t="shared" si="39"/>
        <v>3.4534534534534531</v>
      </c>
      <c r="MP78" s="3">
        <f t="shared" si="39"/>
        <v>0</v>
      </c>
      <c r="MQ78" s="3">
        <f t="shared" si="39"/>
        <v>0</v>
      </c>
      <c r="MR78" s="3">
        <f t="shared" si="39"/>
        <v>1.2236906510034264</v>
      </c>
      <c r="MS78" s="3">
        <f t="shared" si="39"/>
        <v>0</v>
      </c>
      <c r="MT78" s="3">
        <f t="shared" si="39"/>
        <v>2.2596843615494979</v>
      </c>
      <c r="MU78" s="3">
        <f t="shared" si="39"/>
        <v>3.6080516521078616</v>
      </c>
      <c r="MV78" s="3">
        <f t="shared" si="39"/>
        <v>1.5096304008328996</v>
      </c>
      <c r="MW78" s="3">
        <f t="shared" si="39"/>
        <v>6.7985166872682328</v>
      </c>
      <c r="MX78" s="3"/>
      <c r="MY78" s="3"/>
    </row>
    <row r="79" spans="1:363" x14ac:dyDescent="0.3">
      <c r="A79" s="3">
        <v>5</v>
      </c>
      <c r="B79" s="3">
        <f t="shared" si="33"/>
        <v>1.1494252873563218</v>
      </c>
      <c r="C79" s="3">
        <f t="shared" si="35"/>
        <v>0</v>
      </c>
      <c r="D79" s="3">
        <f t="shared" si="35"/>
        <v>0.21186440677966101</v>
      </c>
      <c r="E79" s="3">
        <f t="shared" si="35"/>
        <v>7.5688073394495419</v>
      </c>
      <c r="F79" s="3">
        <f t="shared" si="35"/>
        <v>0</v>
      </c>
      <c r="G79" s="3">
        <f t="shared" si="35"/>
        <v>2.1032504780114722</v>
      </c>
      <c r="H79" s="3">
        <f t="shared" si="35"/>
        <v>0</v>
      </c>
      <c r="I79" s="3">
        <f t="shared" si="35"/>
        <v>0</v>
      </c>
      <c r="J79" s="3">
        <f t="shared" si="35"/>
        <v>0</v>
      </c>
      <c r="K79" s="3">
        <f t="shared" si="35"/>
        <v>0</v>
      </c>
      <c r="L79" s="3">
        <f t="shared" si="35"/>
        <v>0</v>
      </c>
      <c r="M79" s="3">
        <f t="shared" si="35"/>
        <v>0</v>
      </c>
      <c r="N79" s="3">
        <f t="shared" si="35"/>
        <v>1.4678899082568808</v>
      </c>
      <c r="O79" s="3">
        <f t="shared" si="35"/>
        <v>1.0373443983402488</v>
      </c>
      <c r="P79" s="3">
        <f t="shared" si="35"/>
        <v>1.364522417153996</v>
      </c>
      <c r="Q79" s="3">
        <f t="shared" si="35"/>
        <v>0</v>
      </c>
      <c r="R79" s="3">
        <f t="shared" si="35"/>
        <v>0.67698259187620891</v>
      </c>
      <c r="S79" s="3">
        <f t="shared" si="35"/>
        <v>2.6018099547511313</v>
      </c>
      <c r="T79" s="3">
        <f t="shared" si="35"/>
        <v>0</v>
      </c>
      <c r="U79" s="3">
        <f t="shared" si="35"/>
        <v>0</v>
      </c>
      <c r="V79" s="3">
        <f t="shared" si="35"/>
        <v>0</v>
      </c>
      <c r="W79" s="3">
        <f t="shared" si="35"/>
        <v>3.7962962962962963</v>
      </c>
      <c r="X79" s="3">
        <f t="shared" si="35"/>
        <v>0.31007751937984496</v>
      </c>
      <c r="Y79" s="3">
        <f t="shared" si="35"/>
        <v>8.5869565217391308</v>
      </c>
      <c r="Z79" s="3">
        <f t="shared" si="35"/>
        <v>0.28490028490028491</v>
      </c>
      <c r="AA79" s="3">
        <f t="shared" si="35"/>
        <v>0.66152149944873206</v>
      </c>
      <c r="AB79" s="3">
        <f t="shared" si="35"/>
        <v>1.6379310344827587</v>
      </c>
      <c r="AC79" s="3">
        <f t="shared" si="35"/>
        <v>1.2012012012012012</v>
      </c>
      <c r="AD79" s="3">
        <f t="shared" si="35"/>
        <v>0.43620501635768816</v>
      </c>
      <c r="AE79" s="3">
        <f t="shared" si="35"/>
        <v>0</v>
      </c>
      <c r="AF79" s="3">
        <f t="shared" si="35"/>
        <v>0.46511627906976744</v>
      </c>
      <c r="AG79" s="3">
        <f t="shared" si="35"/>
        <v>3.9814814814814818</v>
      </c>
      <c r="AH79" s="3">
        <f t="shared" si="35"/>
        <v>1.2568306010928962</v>
      </c>
      <c r="AI79" s="3">
        <f t="shared" si="35"/>
        <v>4.2435424354243541</v>
      </c>
      <c r="AJ79" s="3">
        <f t="shared" si="35"/>
        <v>0.79840319361277434</v>
      </c>
      <c r="AK79" s="3">
        <f t="shared" si="35"/>
        <v>6.7479674796747959</v>
      </c>
      <c r="AL79" s="3">
        <f t="shared" si="35"/>
        <v>0</v>
      </c>
      <c r="AM79" s="3">
        <f t="shared" si="35"/>
        <v>0</v>
      </c>
      <c r="AN79" s="3">
        <f t="shared" si="35"/>
        <v>3.1539888682745829</v>
      </c>
      <c r="AO79" s="3">
        <f t="shared" si="35"/>
        <v>0</v>
      </c>
      <c r="AP79" s="3">
        <f t="shared" si="35"/>
        <v>0.21897810218978103</v>
      </c>
      <c r="AQ79" s="3">
        <f t="shared" si="35"/>
        <v>0</v>
      </c>
      <c r="AR79" s="3">
        <f t="shared" si="35"/>
        <v>0</v>
      </c>
      <c r="AS79" s="3">
        <f t="shared" si="35"/>
        <v>0</v>
      </c>
      <c r="AT79" s="3">
        <f t="shared" si="35"/>
        <v>0</v>
      </c>
      <c r="AU79" s="3">
        <f t="shared" si="35"/>
        <v>0</v>
      </c>
      <c r="AV79" s="3">
        <f t="shared" si="35"/>
        <v>0</v>
      </c>
      <c r="AW79" s="3">
        <f t="shared" si="35"/>
        <v>0</v>
      </c>
      <c r="AX79" s="3">
        <f t="shared" si="35"/>
        <v>0</v>
      </c>
      <c r="AY79" s="3">
        <f t="shared" si="35"/>
        <v>0.2743484224965706</v>
      </c>
      <c r="AZ79" s="3">
        <f t="shared" si="35"/>
        <v>2.5791324736225087</v>
      </c>
      <c r="BA79" s="3">
        <f t="shared" si="35"/>
        <v>0</v>
      </c>
      <c r="BB79" s="3">
        <f t="shared" si="35"/>
        <v>1.8072289156626504</v>
      </c>
      <c r="BC79" s="3">
        <f t="shared" si="35"/>
        <v>2.0718232044198892</v>
      </c>
      <c r="BD79" s="3">
        <f t="shared" si="35"/>
        <v>0</v>
      </c>
      <c r="BE79" s="3">
        <f t="shared" si="35"/>
        <v>0</v>
      </c>
      <c r="BF79" s="3">
        <f t="shared" si="35"/>
        <v>0</v>
      </c>
      <c r="BG79" s="3">
        <f t="shared" si="35"/>
        <v>0</v>
      </c>
      <c r="BH79" s="3">
        <f t="shared" si="35"/>
        <v>3.9065646395489324</v>
      </c>
      <c r="BI79" s="3">
        <f t="shared" si="35"/>
        <v>8.9002995293110825</v>
      </c>
      <c r="BJ79" s="3">
        <f t="shared" si="35"/>
        <v>0.44671346522016592</v>
      </c>
      <c r="BK79" s="3">
        <f t="shared" si="35"/>
        <v>3.0334728033472804</v>
      </c>
      <c r="BL79" s="3">
        <f t="shared" si="35"/>
        <v>0</v>
      </c>
      <c r="BM79" s="3">
        <f t="shared" si="35"/>
        <v>4.2272727272727275</v>
      </c>
      <c r="BN79" s="3">
        <f t="shared" si="35"/>
        <v>2.0311263518860456</v>
      </c>
      <c r="BO79" s="3">
        <f t="shared" ref="BO79:DZ94" si="40">(BO16-BO$11)/BO$11*100</f>
        <v>2.0606417427141595</v>
      </c>
      <c r="BP79" s="3">
        <f t="shared" si="40"/>
        <v>2.083333333333333</v>
      </c>
      <c r="BQ79" s="3">
        <f t="shared" si="40"/>
        <v>0</v>
      </c>
      <c r="BR79" s="3">
        <f t="shared" si="40"/>
        <v>2.4509803921568629</v>
      </c>
      <c r="BS79" s="3">
        <f t="shared" si="40"/>
        <v>6.3787638668779723</v>
      </c>
      <c r="BT79" s="3">
        <f t="shared" si="40"/>
        <v>2.5702331141661685</v>
      </c>
      <c r="BU79" s="3">
        <f t="shared" si="40"/>
        <v>5.9701492537313428</v>
      </c>
      <c r="BV79" s="3">
        <f t="shared" si="40"/>
        <v>1.3297872340425532</v>
      </c>
      <c r="BW79" s="3">
        <f t="shared" si="40"/>
        <v>0</v>
      </c>
      <c r="BX79" s="3">
        <f t="shared" si="40"/>
        <v>1.2254901960784315</v>
      </c>
      <c r="BY79" s="3">
        <f t="shared" si="40"/>
        <v>2.358490566037736</v>
      </c>
      <c r="BZ79" s="3">
        <f t="shared" si="40"/>
        <v>0.33613445378151263</v>
      </c>
      <c r="CA79" s="3">
        <f t="shared" si="40"/>
        <v>4.562043795620438</v>
      </c>
      <c r="CB79" s="3">
        <f t="shared" si="40"/>
        <v>0</v>
      </c>
      <c r="CC79" s="3">
        <f t="shared" si="40"/>
        <v>0</v>
      </c>
      <c r="CD79" s="3">
        <f t="shared" si="40"/>
        <v>0</v>
      </c>
      <c r="CE79" s="3">
        <f t="shared" si="40"/>
        <v>0</v>
      </c>
      <c r="CF79" s="3">
        <f t="shared" si="40"/>
        <v>0</v>
      </c>
      <c r="CG79" s="3">
        <f t="shared" si="40"/>
        <v>0</v>
      </c>
      <c r="CH79" s="3">
        <f t="shared" si="40"/>
        <v>0.76804915514592931</v>
      </c>
      <c r="CI79" s="3">
        <f t="shared" si="40"/>
        <v>0</v>
      </c>
      <c r="CJ79" s="3">
        <f t="shared" si="40"/>
        <v>2.4324324324324325</v>
      </c>
      <c r="CK79" s="3">
        <f t="shared" si="40"/>
        <v>4.7058823529411766</v>
      </c>
      <c r="CL79" s="3">
        <f t="shared" si="40"/>
        <v>0</v>
      </c>
      <c r="CM79" s="3">
        <f t="shared" si="40"/>
        <v>0</v>
      </c>
      <c r="CN79" s="3">
        <f t="shared" si="40"/>
        <v>0</v>
      </c>
      <c r="CO79" s="3">
        <f t="shared" si="40"/>
        <v>0</v>
      </c>
      <c r="CP79" s="3">
        <f t="shared" si="40"/>
        <v>0</v>
      </c>
      <c r="CQ79" s="3">
        <f t="shared" si="40"/>
        <v>0</v>
      </c>
      <c r="CR79" s="3">
        <f t="shared" si="40"/>
        <v>2.1505376344086025</v>
      </c>
      <c r="CS79" s="3">
        <f t="shared" si="40"/>
        <v>6.7970204841713215</v>
      </c>
      <c r="CT79" s="3">
        <f t="shared" si="40"/>
        <v>0</v>
      </c>
      <c r="CU79" s="3">
        <f t="shared" si="40"/>
        <v>0</v>
      </c>
      <c r="CV79" s="3">
        <f t="shared" si="40"/>
        <v>0</v>
      </c>
      <c r="CW79" s="3">
        <f t="shared" si="40"/>
        <v>0</v>
      </c>
      <c r="CX79" s="3">
        <f t="shared" si="40"/>
        <v>0</v>
      </c>
      <c r="CY79" s="3">
        <f t="shared" si="40"/>
        <v>0</v>
      </c>
      <c r="CZ79" s="3">
        <f t="shared" si="40"/>
        <v>0</v>
      </c>
      <c r="DA79" s="3">
        <f t="shared" si="40"/>
        <v>0</v>
      </c>
      <c r="DB79" s="3">
        <f t="shared" si="40"/>
        <v>1.2345679012345678</v>
      </c>
      <c r="DC79" s="3">
        <f t="shared" si="40"/>
        <v>4.7581284694686756</v>
      </c>
      <c r="DD79" s="3">
        <f t="shared" si="40"/>
        <v>0.91954022988505746</v>
      </c>
      <c r="DE79" s="3">
        <f t="shared" si="40"/>
        <v>7.8728236184708562</v>
      </c>
      <c r="DF79" s="3">
        <f t="shared" si="40"/>
        <v>0</v>
      </c>
      <c r="DG79" s="3">
        <f t="shared" si="40"/>
        <v>0.46875</v>
      </c>
      <c r="DH79" s="3">
        <f t="shared" si="40"/>
        <v>0</v>
      </c>
      <c r="DI79" s="3">
        <f t="shared" si="40"/>
        <v>0.73597056117755288</v>
      </c>
      <c r="DJ79" s="3">
        <f t="shared" si="40"/>
        <v>0</v>
      </c>
      <c r="DK79" s="3">
        <f t="shared" si="40"/>
        <v>3.1001589825119238</v>
      </c>
      <c r="DL79" s="3">
        <f t="shared" si="40"/>
        <v>0</v>
      </c>
      <c r="DM79" s="3">
        <f t="shared" si="40"/>
        <v>0</v>
      </c>
      <c r="DN79" s="3">
        <f t="shared" si="40"/>
        <v>0</v>
      </c>
      <c r="DO79" s="3">
        <f t="shared" si="40"/>
        <v>0</v>
      </c>
      <c r="DP79" s="3">
        <f t="shared" si="40"/>
        <v>0</v>
      </c>
      <c r="DQ79" s="3">
        <f t="shared" si="40"/>
        <v>0</v>
      </c>
      <c r="DR79" s="3">
        <f t="shared" si="40"/>
        <v>0</v>
      </c>
      <c r="DS79" s="3">
        <f t="shared" si="40"/>
        <v>0</v>
      </c>
      <c r="DT79" s="3">
        <f t="shared" si="40"/>
        <v>1.6075388026607538</v>
      </c>
      <c r="DU79" s="3">
        <f t="shared" si="40"/>
        <v>2.1171836533727229</v>
      </c>
      <c r="DV79" s="3">
        <f t="shared" si="40"/>
        <v>0</v>
      </c>
      <c r="DW79" s="3">
        <f t="shared" si="40"/>
        <v>0</v>
      </c>
      <c r="DX79" s="3">
        <f t="shared" si="40"/>
        <v>0</v>
      </c>
      <c r="DY79" s="3">
        <f t="shared" si="40"/>
        <v>0</v>
      </c>
      <c r="DZ79" s="3">
        <f t="shared" si="40"/>
        <v>0.13163668275559456</v>
      </c>
      <c r="EA79" s="3">
        <f t="shared" si="37"/>
        <v>3.90625</v>
      </c>
      <c r="EB79" s="3">
        <f t="shared" si="37"/>
        <v>3.2592592592592591</v>
      </c>
      <c r="EC79" s="3">
        <f t="shared" si="37"/>
        <v>5.6078767123287676</v>
      </c>
      <c r="ED79" s="3">
        <f t="shared" si="37"/>
        <v>2.1993127147766325</v>
      </c>
      <c r="EE79" s="3">
        <f t="shared" si="37"/>
        <v>0</v>
      </c>
      <c r="EF79" s="3">
        <f t="shared" si="37"/>
        <v>2.9149519890260631</v>
      </c>
      <c r="EG79" s="3">
        <f t="shared" si="37"/>
        <v>2.4741506646971936</v>
      </c>
      <c r="EH79" s="3">
        <f t="shared" si="37"/>
        <v>1.9037546271813854</v>
      </c>
      <c r="EI79" s="3">
        <f t="shared" si="37"/>
        <v>0.45625335480407947</v>
      </c>
      <c r="EJ79" s="3">
        <f t="shared" si="37"/>
        <v>0.76992753623188415</v>
      </c>
      <c r="EK79" s="3">
        <f t="shared" si="37"/>
        <v>3.1102096010818121</v>
      </c>
      <c r="EL79" s="3">
        <f t="shared" si="37"/>
        <v>1.4071856287425151</v>
      </c>
      <c r="EM79" s="3">
        <f t="shared" si="37"/>
        <v>8.8003320880033211</v>
      </c>
      <c r="EN79" s="3">
        <f t="shared" si="37"/>
        <v>1.4285714285714286</v>
      </c>
      <c r="EO79" s="3">
        <f t="shared" si="37"/>
        <v>7.3711676451402477</v>
      </c>
      <c r="EP79" s="3">
        <f t="shared" si="37"/>
        <v>2.083333333333333</v>
      </c>
      <c r="EQ79" s="3">
        <f t="shared" si="37"/>
        <v>0</v>
      </c>
      <c r="ER79" s="3">
        <f t="shared" si="37"/>
        <v>1.7391304347826086</v>
      </c>
      <c r="ES79" s="3">
        <f t="shared" si="37"/>
        <v>0</v>
      </c>
      <c r="ET79" s="3">
        <f t="shared" si="37"/>
        <v>1.2658227848101267</v>
      </c>
      <c r="EU79" s="3">
        <f t="shared" si="37"/>
        <v>1.0189228529839884</v>
      </c>
      <c r="EV79" s="3">
        <f t="shared" si="37"/>
        <v>0</v>
      </c>
      <c r="EW79" s="3">
        <f t="shared" si="37"/>
        <v>0</v>
      </c>
      <c r="EX79" s="3">
        <f t="shared" si="37"/>
        <v>0</v>
      </c>
      <c r="EY79" s="3">
        <f t="shared" si="37"/>
        <v>0</v>
      </c>
      <c r="EZ79" s="3">
        <f t="shared" si="37"/>
        <v>0</v>
      </c>
      <c r="FA79" s="3">
        <f t="shared" si="37"/>
        <v>0</v>
      </c>
      <c r="FB79" s="3">
        <f t="shared" si="37"/>
        <v>0</v>
      </c>
      <c r="FC79" s="3">
        <f t="shared" si="37"/>
        <v>3.070175438596491</v>
      </c>
      <c r="FD79" s="3">
        <f t="shared" si="37"/>
        <v>2.1164021164021163</v>
      </c>
      <c r="FE79" s="3">
        <f t="shared" si="37"/>
        <v>0</v>
      </c>
      <c r="FF79" s="3">
        <f t="shared" si="37"/>
        <v>1.6379310344827587</v>
      </c>
      <c r="FG79" s="3">
        <f t="shared" si="37"/>
        <v>2.4208566108007448</v>
      </c>
      <c r="FH79" s="3">
        <f t="shared" si="37"/>
        <v>0</v>
      </c>
      <c r="FI79" s="3">
        <f t="shared" si="37"/>
        <v>0</v>
      </c>
      <c r="FJ79" s="3">
        <f t="shared" si="37"/>
        <v>0</v>
      </c>
      <c r="FK79" s="3">
        <f t="shared" si="37"/>
        <v>0</v>
      </c>
      <c r="FL79" s="3">
        <f t="shared" si="37"/>
        <v>1.7500000000000002</v>
      </c>
      <c r="FM79" s="3">
        <f t="shared" si="37"/>
        <v>2.218570254724733</v>
      </c>
      <c r="FN79" s="3">
        <f t="shared" si="37"/>
        <v>0</v>
      </c>
      <c r="FO79" s="3">
        <f t="shared" si="37"/>
        <v>5.0373134328358207</v>
      </c>
      <c r="FP79" s="3">
        <f t="shared" si="37"/>
        <v>0</v>
      </c>
      <c r="FQ79" s="3">
        <f t="shared" si="37"/>
        <v>0.90771558245083206</v>
      </c>
      <c r="FR79" s="3">
        <f t="shared" si="37"/>
        <v>3.0113636363636362</v>
      </c>
      <c r="FS79" s="3">
        <f t="shared" si="37"/>
        <v>0</v>
      </c>
      <c r="FT79" s="3">
        <f t="shared" si="37"/>
        <v>1.7068273092369479</v>
      </c>
      <c r="FU79" s="3">
        <f t="shared" si="37"/>
        <v>4.6814044213263983</v>
      </c>
      <c r="FV79" s="3">
        <f t="shared" si="37"/>
        <v>1.4503816793893129</v>
      </c>
      <c r="FW79" s="3">
        <f t="shared" si="37"/>
        <v>5.4771784232365146</v>
      </c>
      <c r="FX79" s="3">
        <f t="shared" si="37"/>
        <v>1.949685534591195</v>
      </c>
      <c r="FY79" s="3">
        <f t="shared" si="37"/>
        <v>7.8296703296703294</v>
      </c>
      <c r="FZ79" s="3">
        <f t="shared" si="37"/>
        <v>1.6304347826086956</v>
      </c>
      <c r="GA79" s="3">
        <f t="shared" si="37"/>
        <v>0</v>
      </c>
      <c r="GB79" s="3">
        <f t="shared" si="37"/>
        <v>1.6652059596844873</v>
      </c>
      <c r="GC79" s="3">
        <f t="shared" si="37"/>
        <v>3.3254156769596199</v>
      </c>
      <c r="GD79" s="3">
        <f t="shared" si="37"/>
        <v>0</v>
      </c>
      <c r="GE79" s="3">
        <f t="shared" si="37"/>
        <v>0</v>
      </c>
      <c r="GF79" s="3">
        <f t="shared" si="37"/>
        <v>0</v>
      </c>
      <c r="GG79" s="3">
        <f t="shared" si="37"/>
        <v>0</v>
      </c>
      <c r="GH79" s="3">
        <f t="shared" si="37"/>
        <v>0</v>
      </c>
      <c r="GI79" s="3">
        <f t="shared" si="37"/>
        <v>0</v>
      </c>
      <c r="GJ79" s="3">
        <f t="shared" si="37"/>
        <v>0</v>
      </c>
      <c r="GK79" s="3">
        <f t="shared" si="37"/>
        <v>0</v>
      </c>
      <c r="GL79" s="3">
        <f t="shared" si="29"/>
        <v>0.25083612040133779</v>
      </c>
      <c r="GM79" s="3">
        <f t="shared" ref="GM79:IX83" si="41">(GM16-GM$11)/GM$11*100</f>
        <v>3.8273615635179157</v>
      </c>
      <c r="GN79" s="3">
        <f t="shared" si="41"/>
        <v>2.2960429897410846</v>
      </c>
      <c r="GO79" s="3">
        <f t="shared" si="41"/>
        <v>2.3279875840662183</v>
      </c>
      <c r="GP79" s="3">
        <f t="shared" si="41"/>
        <v>0</v>
      </c>
      <c r="GQ79" s="3">
        <f t="shared" si="41"/>
        <v>0</v>
      </c>
      <c r="GR79" s="3">
        <f t="shared" si="41"/>
        <v>0</v>
      </c>
      <c r="GS79" s="3">
        <f t="shared" si="41"/>
        <v>0</v>
      </c>
      <c r="GT79" s="3">
        <f t="shared" si="41"/>
        <v>0.76062639821029077</v>
      </c>
      <c r="GU79" s="3">
        <f t="shared" si="41"/>
        <v>0</v>
      </c>
      <c r="GV79" s="3">
        <f t="shared" si="41"/>
        <v>5.083514887436456</v>
      </c>
      <c r="GW79" s="3">
        <f t="shared" si="41"/>
        <v>4.8036951501154741</v>
      </c>
      <c r="GX79" s="3">
        <f t="shared" si="41"/>
        <v>0.11415525114155251</v>
      </c>
      <c r="GY79" s="3">
        <f t="shared" si="41"/>
        <v>0</v>
      </c>
      <c r="GZ79" s="3">
        <f t="shared" si="41"/>
        <v>0</v>
      </c>
      <c r="HA79" s="3">
        <f t="shared" si="41"/>
        <v>1.3352073085031624</v>
      </c>
      <c r="HB79" s="3">
        <f t="shared" si="41"/>
        <v>1.4882655981682884</v>
      </c>
      <c r="HC79" s="3">
        <f t="shared" si="41"/>
        <v>0</v>
      </c>
      <c r="HD79" s="3">
        <f t="shared" si="41"/>
        <v>0.49751243781094528</v>
      </c>
      <c r="HE79" s="3">
        <f t="shared" si="41"/>
        <v>4.7016274864376131</v>
      </c>
      <c r="HF79" s="3">
        <f t="shared" si="41"/>
        <v>1.8745959922430511</v>
      </c>
      <c r="HG79" s="3">
        <f t="shared" si="41"/>
        <v>4.9889135254988917</v>
      </c>
      <c r="HH79" s="3">
        <f t="shared" si="41"/>
        <v>1.1438739196746313</v>
      </c>
      <c r="HI79" s="3">
        <f t="shared" si="41"/>
        <v>4.6149144254278722</v>
      </c>
      <c r="HJ79" s="3">
        <f t="shared" si="41"/>
        <v>1.3953488372093024</v>
      </c>
      <c r="HK79" s="3">
        <f t="shared" si="41"/>
        <v>0.8875739644970414</v>
      </c>
      <c r="HL79" s="3">
        <f t="shared" si="41"/>
        <v>1.7543859649122806</v>
      </c>
      <c r="HM79" s="3">
        <f t="shared" si="41"/>
        <v>0.92081031307550654</v>
      </c>
      <c r="HN79" s="3">
        <f t="shared" si="41"/>
        <v>2.2865853658536586</v>
      </c>
      <c r="HO79" s="3">
        <f t="shared" si="41"/>
        <v>0</v>
      </c>
      <c r="HP79" s="3">
        <f t="shared" si="41"/>
        <v>0</v>
      </c>
      <c r="HQ79" s="3">
        <f t="shared" si="41"/>
        <v>0</v>
      </c>
      <c r="HR79" s="3">
        <f t="shared" si="41"/>
        <v>0</v>
      </c>
      <c r="HS79" s="3">
        <f t="shared" si="41"/>
        <v>0</v>
      </c>
      <c r="HT79" s="3">
        <f t="shared" si="41"/>
        <v>0</v>
      </c>
      <c r="HU79" s="3">
        <f t="shared" si="41"/>
        <v>0</v>
      </c>
      <c r="HV79" s="3">
        <f t="shared" si="41"/>
        <v>0</v>
      </c>
      <c r="HW79" s="3">
        <f t="shared" si="41"/>
        <v>2</v>
      </c>
      <c r="HX79" s="3">
        <f t="shared" si="41"/>
        <v>2.147239263803681</v>
      </c>
      <c r="HY79" s="3">
        <f t="shared" si="41"/>
        <v>0</v>
      </c>
      <c r="HZ79" s="3">
        <f t="shared" si="41"/>
        <v>0.57971014492753625</v>
      </c>
      <c r="IA79" s="3">
        <f t="shared" si="41"/>
        <v>0</v>
      </c>
      <c r="IB79" s="3">
        <f t="shared" si="41"/>
        <v>0</v>
      </c>
      <c r="IC79" s="3">
        <f t="shared" si="41"/>
        <v>0</v>
      </c>
      <c r="ID79" s="3">
        <f t="shared" si="41"/>
        <v>0</v>
      </c>
      <c r="IE79" s="3">
        <f t="shared" si="41"/>
        <v>0.71856287425149701</v>
      </c>
      <c r="IF79" s="3">
        <f t="shared" si="41"/>
        <v>2.4193548387096775</v>
      </c>
      <c r="IG79" s="3">
        <f t="shared" si="41"/>
        <v>3.5714285714285712</v>
      </c>
      <c r="IH79" s="3">
        <f t="shared" si="41"/>
        <v>0</v>
      </c>
      <c r="II79" s="3">
        <f t="shared" si="41"/>
        <v>3.8596491228070176</v>
      </c>
      <c r="IJ79" s="3">
        <f t="shared" si="41"/>
        <v>0.6294256490952006</v>
      </c>
      <c r="IK79" s="3">
        <f t="shared" si="41"/>
        <v>2.4857954545454546</v>
      </c>
      <c r="IL79" s="3">
        <f t="shared" si="41"/>
        <v>0</v>
      </c>
      <c r="IM79" s="3">
        <f t="shared" si="41"/>
        <v>0</v>
      </c>
      <c r="IN79" s="3">
        <f t="shared" si="41"/>
        <v>0</v>
      </c>
      <c r="IO79" s="3">
        <f t="shared" si="41"/>
        <v>0</v>
      </c>
      <c r="IP79" s="3">
        <f t="shared" si="41"/>
        <v>1.887905604719764</v>
      </c>
      <c r="IQ79" s="3">
        <f t="shared" si="41"/>
        <v>7.8878177037686239</v>
      </c>
      <c r="IR79" s="3">
        <f t="shared" si="41"/>
        <v>0.81018518518518512</v>
      </c>
      <c r="IS79" s="3">
        <f t="shared" si="41"/>
        <v>8.5120207927225469</v>
      </c>
      <c r="IT79" s="3">
        <f t="shared" si="41"/>
        <v>0</v>
      </c>
      <c r="IU79" s="3">
        <f t="shared" si="41"/>
        <v>1.7825311942959003</v>
      </c>
      <c r="IV79" s="3">
        <f t="shared" si="41"/>
        <v>2.6436781609195403</v>
      </c>
      <c r="IW79" s="3">
        <f t="shared" si="41"/>
        <v>0</v>
      </c>
      <c r="IX79" s="3">
        <f t="shared" si="41"/>
        <v>0.31948881789137379</v>
      </c>
      <c r="IY79" s="3">
        <f t="shared" si="38"/>
        <v>0</v>
      </c>
      <c r="IZ79" s="3">
        <f t="shared" si="38"/>
        <v>0</v>
      </c>
      <c r="JA79" s="3">
        <f t="shared" si="38"/>
        <v>0</v>
      </c>
      <c r="JB79" s="3">
        <f t="shared" si="38"/>
        <v>0</v>
      </c>
      <c r="JC79" s="3">
        <f t="shared" si="38"/>
        <v>0</v>
      </c>
      <c r="JD79" s="3">
        <f t="shared" si="38"/>
        <v>4.9529470034670627E-2</v>
      </c>
      <c r="JE79" s="3">
        <f t="shared" si="38"/>
        <v>0</v>
      </c>
      <c r="JF79" s="3">
        <f t="shared" si="38"/>
        <v>1.2152777777777779</v>
      </c>
      <c r="JG79" s="3">
        <f t="shared" si="38"/>
        <v>0</v>
      </c>
      <c r="JH79" s="3">
        <f t="shared" si="38"/>
        <v>0</v>
      </c>
      <c r="JI79" s="3">
        <f t="shared" si="38"/>
        <v>0</v>
      </c>
      <c r="JJ79" s="3">
        <f t="shared" si="38"/>
        <v>0</v>
      </c>
      <c r="JK79" s="3">
        <f t="shared" si="38"/>
        <v>0.96111839231105278</v>
      </c>
      <c r="JL79" s="3">
        <f t="shared" si="38"/>
        <v>0</v>
      </c>
      <c r="JM79" s="3">
        <f t="shared" si="38"/>
        <v>0</v>
      </c>
      <c r="JN79" s="3">
        <f t="shared" si="38"/>
        <v>0.11923688394276628</v>
      </c>
      <c r="JO79" s="3">
        <f t="shared" si="38"/>
        <v>1.3224821973550356</v>
      </c>
      <c r="JP79" s="3">
        <f t="shared" si="38"/>
        <v>4.0075614366729679</v>
      </c>
      <c r="JQ79" s="3">
        <f t="shared" si="38"/>
        <v>10.944105213715359</v>
      </c>
      <c r="JR79" s="3">
        <f t="shared" si="38"/>
        <v>0</v>
      </c>
      <c r="JS79" s="3">
        <f t="shared" si="38"/>
        <v>2.9258777633289985</v>
      </c>
      <c r="JT79" s="3">
        <f t="shared" si="38"/>
        <v>0.61370610296624617</v>
      </c>
      <c r="JU79" s="3">
        <f t="shared" si="38"/>
        <v>0</v>
      </c>
      <c r="JV79" s="3">
        <f t="shared" si="38"/>
        <v>2.4928589976629447</v>
      </c>
      <c r="JW79" s="3">
        <f t="shared" si="38"/>
        <v>2.9239766081871347E-2</v>
      </c>
      <c r="JX79" s="3">
        <f t="shared" si="38"/>
        <v>1.1415525114155249</v>
      </c>
      <c r="JY79" s="3">
        <f t="shared" si="38"/>
        <v>1.3806706114398422</v>
      </c>
      <c r="JZ79" s="3">
        <f t="shared" si="38"/>
        <v>1.5364061456245823</v>
      </c>
      <c r="KA79" s="3">
        <f t="shared" si="38"/>
        <v>3.7799401197604792</v>
      </c>
      <c r="KB79" s="3">
        <f t="shared" si="38"/>
        <v>2.6637069922308543</v>
      </c>
      <c r="KC79" s="3">
        <f t="shared" si="38"/>
        <v>6.2540505508749193</v>
      </c>
      <c r="KD79" s="3">
        <f t="shared" si="38"/>
        <v>0</v>
      </c>
      <c r="KE79" s="3">
        <f t="shared" si="38"/>
        <v>5.1428571428571423</v>
      </c>
      <c r="KF79" s="3">
        <f t="shared" si="38"/>
        <v>0</v>
      </c>
      <c r="KG79" s="3">
        <f t="shared" si="38"/>
        <v>3.8812785388127851</v>
      </c>
      <c r="KH79" s="3">
        <f t="shared" si="38"/>
        <v>0.14792899408284024</v>
      </c>
      <c r="KI79" s="3">
        <f t="shared" si="38"/>
        <v>3.523489932885906</v>
      </c>
      <c r="KJ79" s="3">
        <f t="shared" si="38"/>
        <v>0</v>
      </c>
      <c r="KK79" s="3">
        <f t="shared" si="38"/>
        <v>0</v>
      </c>
      <c r="KL79" s="3">
        <f t="shared" si="38"/>
        <v>0</v>
      </c>
      <c r="KM79" s="3">
        <f t="shared" si="38"/>
        <v>0</v>
      </c>
      <c r="KN79" s="3">
        <f t="shared" si="38"/>
        <v>0</v>
      </c>
      <c r="KO79" s="3">
        <f t="shared" si="38"/>
        <v>0</v>
      </c>
      <c r="KP79" s="3">
        <f t="shared" si="38"/>
        <v>0</v>
      </c>
      <c r="KQ79" s="3">
        <f t="shared" si="38"/>
        <v>5.4545454545454541</v>
      </c>
      <c r="KR79" s="3">
        <f t="shared" si="38"/>
        <v>0.25510204081632654</v>
      </c>
      <c r="KS79" s="3">
        <f t="shared" si="38"/>
        <v>1.6797312430011198</v>
      </c>
      <c r="KT79" s="3">
        <f t="shared" si="38"/>
        <v>0</v>
      </c>
      <c r="KU79" s="3">
        <f t="shared" si="38"/>
        <v>0</v>
      </c>
      <c r="KV79" s="3">
        <f t="shared" si="38"/>
        <v>0</v>
      </c>
      <c r="KW79" s="3">
        <f t="shared" si="38"/>
        <v>0</v>
      </c>
      <c r="KX79" s="3">
        <f t="shared" si="38"/>
        <v>0</v>
      </c>
      <c r="KY79" s="3">
        <f t="shared" si="38"/>
        <v>0</v>
      </c>
      <c r="KZ79" s="3">
        <f t="shared" si="38"/>
        <v>2.4175824175824179</v>
      </c>
      <c r="LA79" s="3">
        <f t="shared" si="38"/>
        <v>7.3717948717948723</v>
      </c>
      <c r="LB79" s="3">
        <f t="shared" si="38"/>
        <v>2.4096385542168677</v>
      </c>
      <c r="LC79" s="3">
        <f t="shared" si="38"/>
        <v>0</v>
      </c>
      <c r="LD79" s="3">
        <f t="shared" si="38"/>
        <v>0.45751633986928109</v>
      </c>
      <c r="LE79" s="3">
        <f t="shared" si="38"/>
        <v>0.7569386038687973</v>
      </c>
      <c r="LF79" s="3">
        <f t="shared" si="38"/>
        <v>0</v>
      </c>
      <c r="LG79" s="3">
        <f t="shared" si="38"/>
        <v>0</v>
      </c>
      <c r="LH79" s="3">
        <f t="shared" si="38"/>
        <v>0</v>
      </c>
      <c r="LI79" s="3">
        <f t="shared" si="38"/>
        <v>2.7878787878787876</v>
      </c>
      <c r="LJ79" s="3">
        <f t="shared" si="31"/>
        <v>2.2036474164133737</v>
      </c>
      <c r="LK79" s="3">
        <f t="shared" ref="LK79:MW79" si="42">(LK16-LK$11)/LK$11*100</f>
        <v>3.306451612903226</v>
      </c>
      <c r="LL79" s="3">
        <f t="shared" si="42"/>
        <v>1.663798049340218</v>
      </c>
      <c r="LM79" s="3">
        <f t="shared" si="42"/>
        <v>6.6305003013863768</v>
      </c>
      <c r="LN79" s="3">
        <f t="shared" si="42"/>
        <v>0</v>
      </c>
      <c r="LO79" s="3">
        <f t="shared" si="42"/>
        <v>0</v>
      </c>
      <c r="LP79" s="3">
        <f t="shared" si="42"/>
        <v>2.9835390946502058</v>
      </c>
      <c r="LQ79" s="3">
        <f t="shared" si="42"/>
        <v>0.40941658137154557</v>
      </c>
      <c r="LR79" s="3">
        <f t="shared" si="42"/>
        <v>1.435810810810811</v>
      </c>
      <c r="LS79" s="3">
        <f t="shared" si="42"/>
        <v>2.990654205607477</v>
      </c>
      <c r="LT79" s="3">
        <f t="shared" si="42"/>
        <v>0</v>
      </c>
      <c r="LU79" s="3">
        <f t="shared" si="42"/>
        <v>0</v>
      </c>
      <c r="LV79" s="3">
        <f t="shared" si="42"/>
        <v>0</v>
      </c>
      <c r="LW79" s="3">
        <f t="shared" si="42"/>
        <v>0</v>
      </c>
      <c r="LX79" s="3">
        <f t="shared" si="42"/>
        <v>0</v>
      </c>
      <c r="LY79" s="3">
        <f t="shared" si="42"/>
        <v>0</v>
      </c>
      <c r="LZ79" s="3">
        <f t="shared" si="42"/>
        <v>1.6858917480035491</v>
      </c>
      <c r="MA79" s="3">
        <f t="shared" si="42"/>
        <v>0</v>
      </c>
      <c r="MB79" s="3">
        <f t="shared" si="42"/>
        <v>2.0904229460379193</v>
      </c>
      <c r="MC79" s="3">
        <f t="shared" si="42"/>
        <v>0</v>
      </c>
      <c r="MD79" s="3">
        <f t="shared" si="42"/>
        <v>1.0232558139534882</v>
      </c>
      <c r="ME79" s="3">
        <f t="shared" si="42"/>
        <v>0</v>
      </c>
      <c r="MF79" s="3">
        <f t="shared" si="42"/>
        <v>0</v>
      </c>
      <c r="MG79" s="3">
        <f t="shared" si="42"/>
        <v>0</v>
      </c>
      <c r="MH79" s="3">
        <f t="shared" si="42"/>
        <v>1.5789473684210527</v>
      </c>
      <c r="MI79" s="3">
        <f t="shared" si="42"/>
        <v>0</v>
      </c>
      <c r="MJ79" s="3">
        <f t="shared" si="42"/>
        <v>4.2224928948436862</v>
      </c>
      <c r="MK79" s="3">
        <f t="shared" si="42"/>
        <v>3.523884103367267</v>
      </c>
      <c r="ML79" s="3">
        <f t="shared" si="42"/>
        <v>1.3303769401330376</v>
      </c>
      <c r="MM79" s="3">
        <f t="shared" si="42"/>
        <v>0</v>
      </c>
      <c r="MN79" s="3">
        <f t="shared" si="42"/>
        <v>0.63249001331557919</v>
      </c>
      <c r="MO79" s="3">
        <f t="shared" si="42"/>
        <v>4.241741741741742</v>
      </c>
      <c r="MP79" s="3">
        <f t="shared" si="42"/>
        <v>0</v>
      </c>
      <c r="MQ79" s="3">
        <f t="shared" si="42"/>
        <v>0</v>
      </c>
      <c r="MR79" s="3">
        <f t="shared" si="42"/>
        <v>1.2726382770435634</v>
      </c>
      <c r="MS79" s="3">
        <f t="shared" si="42"/>
        <v>0</v>
      </c>
      <c r="MT79" s="3">
        <f t="shared" si="42"/>
        <v>2.1520803443328553</v>
      </c>
      <c r="MU79" s="3">
        <f t="shared" si="42"/>
        <v>4.5195594379035322</v>
      </c>
      <c r="MV79" s="3">
        <f t="shared" si="42"/>
        <v>1.7178552837064029</v>
      </c>
      <c r="MW79" s="3">
        <f t="shared" si="42"/>
        <v>6.1186650185414093</v>
      </c>
      <c r="MX79" s="3"/>
      <c r="MY79" s="3"/>
    </row>
    <row r="80" spans="1:363" x14ac:dyDescent="0.3">
      <c r="A80" s="3">
        <v>6</v>
      </c>
      <c r="B80" s="3">
        <f t="shared" si="33"/>
        <v>1.1494252873563218</v>
      </c>
      <c r="C80" s="3">
        <f t="shared" si="35"/>
        <v>0</v>
      </c>
      <c r="D80" s="3">
        <f t="shared" si="35"/>
        <v>0.21186440677966101</v>
      </c>
      <c r="E80" s="3">
        <f t="shared" si="35"/>
        <v>6.4220183486238538</v>
      </c>
      <c r="F80" s="3">
        <f t="shared" si="35"/>
        <v>0</v>
      </c>
      <c r="G80" s="3">
        <f t="shared" si="35"/>
        <v>2.1032504780114722</v>
      </c>
      <c r="H80" s="3">
        <f t="shared" si="35"/>
        <v>0</v>
      </c>
      <c r="I80" s="3">
        <f t="shared" si="35"/>
        <v>0</v>
      </c>
      <c r="J80" s="3">
        <f t="shared" si="35"/>
        <v>0</v>
      </c>
      <c r="K80" s="3">
        <f t="shared" si="35"/>
        <v>0</v>
      </c>
      <c r="L80" s="3">
        <f t="shared" si="35"/>
        <v>0</v>
      </c>
      <c r="M80" s="3">
        <f t="shared" si="35"/>
        <v>0</v>
      </c>
      <c r="N80" s="3">
        <f t="shared" si="35"/>
        <v>1.4678899082568808</v>
      </c>
      <c r="O80" s="3">
        <f t="shared" si="35"/>
        <v>1.0373443983402488</v>
      </c>
      <c r="P80" s="3">
        <f t="shared" si="35"/>
        <v>1.5594541910331383</v>
      </c>
      <c r="Q80" s="3">
        <f t="shared" si="35"/>
        <v>0</v>
      </c>
      <c r="R80" s="3">
        <f t="shared" si="35"/>
        <v>0.58027079303675055</v>
      </c>
      <c r="S80" s="3">
        <f t="shared" si="35"/>
        <v>1.4705882352941175</v>
      </c>
      <c r="T80" s="3">
        <f t="shared" si="35"/>
        <v>0</v>
      </c>
      <c r="U80" s="3">
        <f t="shared" si="35"/>
        <v>0</v>
      </c>
      <c r="V80" s="3">
        <f t="shared" si="35"/>
        <v>0</v>
      </c>
      <c r="W80" s="3">
        <f t="shared" si="35"/>
        <v>2.7777777777777777</v>
      </c>
      <c r="X80" s="3">
        <f t="shared" si="35"/>
        <v>0.38759689922480622</v>
      </c>
      <c r="Y80" s="3">
        <f t="shared" si="35"/>
        <v>9.6739130434782599</v>
      </c>
      <c r="Z80" s="3">
        <f t="shared" si="35"/>
        <v>0.28490028490028491</v>
      </c>
      <c r="AA80" s="3">
        <f t="shared" si="35"/>
        <v>0.66152149944873206</v>
      </c>
      <c r="AB80" s="3">
        <f t="shared" si="35"/>
        <v>1.7241379310344827</v>
      </c>
      <c r="AC80" s="3">
        <f t="shared" si="35"/>
        <v>1.2012012012012012</v>
      </c>
      <c r="AD80" s="3">
        <f t="shared" si="35"/>
        <v>0.43620501635768816</v>
      </c>
      <c r="AE80" s="3">
        <f t="shared" si="35"/>
        <v>0</v>
      </c>
      <c r="AF80" s="3">
        <f t="shared" si="35"/>
        <v>0.46511627906976744</v>
      </c>
      <c r="AG80" s="3">
        <f t="shared" si="35"/>
        <v>3.9814814814814818</v>
      </c>
      <c r="AH80" s="3">
        <f t="shared" si="35"/>
        <v>1.2568306010928962</v>
      </c>
      <c r="AI80" s="3">
        <f t="shared" si="35"/>
        <v>5.07380073800738</v>
      </c>
      <c r="AJ80" s="3">
        <f t="shared" si="35"/>
        <v>0.54890219560878251</v>
      </c>
      <c r="AK80" s="3">
        <f t="shared" si="35"/>
        <v>6.4227642276422765</v>
      </c>
      <c r="AL80" s="3">
        <f t="shared" si="35"/>
        <v>0</v>
      </c>
      <c r="AM80" s="3">
        <f t="shared" si="35"/>
        <v>0</v>
      </c>
      <c r="AN80" s="3">
        <f t="shared" si="35"/>
        <v>3.2467532467532463</v>
      </c>
      <c r="AO80" s="3">
        <f t="shared" si="35"/>
        <v>0</v>
      </c>
      <c r="AP80" s="3">
        <f t="shared" si="35"/>
        <v>0.29197080291970801</v>
      </c>
      <c r="AQ80" s="3">
        <f t="shared" si="35"/>
        <v>0</v>
      </c>
      <c r="AR80" s="3">
        <f t="shared" si="35"/>
        <v>0</v>
      </c>
      <c r="AS80" s="3">
        <f t="shared" si="35"/>
        <v>0</v>
      </c>
      <c r="AT80" s="3">
        <f t="shared" si="35"/>
        <v>0</v>
      </c>
      <c r="AU80" s="3">
        <f t="shared" si="35"/>
        <v>0</v>
      </c>
      <c r="AV80" s="3">
        <f t="shared" si="35"/>
        <v>0</v>
      </c>
      <c r="AW80" s="3">
        <f t="shared" si="35"/>
        <v>0</v>
      </c>
      <c r="AX80" s="3">
        <f t="shared" si="35"/>
        <v>0</v>
      </c>
      <c r="AY80" s="3">
        <f t="shared" si="35"/>
        <v>0.68587105624142664</v>
      </c>
      <c r="AZ80" s="3">
        <f t="shared" si="35"/>
        <v>2.5205158264947247</v>
      </c>
      <c r="BA80" s="3">
        <f t="shared" si="35"/>
        <v>0</v>
      </c>
      <c r="BB80" s="3">
        <f t="shared" si="35"/>
        <v>2.0331325301204819</v>
      </c>
      <c r="BC80" s="3">
        <f t="shared" si="35"/>
        <v>2.8084714548802947</v>
      </c>
      <c r="BD80" s="3">
        <f t="shared" si="35"/>
        <v>0</v>
      </c>
      <c r="BE80" s="3">
        <f t="shared" si="35"/>
        <v>0</v>
      </c>
      <c r="BF80" s="3">
        <f t="shared" si="35"/>
        <v>0</v>
      </c>
      <c r="BG80" s="3">
        <f t="shared" si="35"/>
        <v>0</v>
      </c>
      <c r="BH80" s="3">
        <f t="shared" si="35"/>
        <v>3.262182843334676</v>
      </c>
      <c r="BI80" s="3">
        <f t="shared" si="35"/>
        <v>5.6054771074026535</v>
      </c>
      <c r="BJ80" s="3">
        <f t="shared" si="35"/>
        <v>0.25526483726866628</v>
      </c>
      <c r="BK80" s="3">
        <f t="shared" si="35"/>
        <v>4.1841004184100417</v>
      </c>
      <c r="BL80" s="3">
        <f t="shared" si="35"/>
        <v>0</v>
      </c>
      <c r="BM80" s="3">
        <f t="shared" si="35"/>
        <v>3.4545454545454546</v>
      </c>
      <c r="BN80" s="3">
        <f t="shared" ref="BN80:DY83" si="43">(BN17-BN$11)/BN$11*100</f>
        <v>1.8992350303350041</v>
      </c>
      <c r="BO80" s="3">
        <f t="shared" si="43"/>
        <v>1.7957020900794818</v>
      </c>
      <c r="BP80" s="3">
        <f t="shared" si="43"/>
        <v>1.5873015873015872</v>
      </c>
      <c r="BQ80" s="3">
        <f t="shared" si="43"/>
        <v>0</v>
      </c>
      <c r="BR80" s="3">
        <f t="shared" si="43"/>
        <v>2.4132730015082959</v>
      </c>
      <c r="BS80" s="3">
        <f t="shared" si="43"/>
        <v>5.6656101426307446</v>
      </c>
      <c r="BT80" s="3">
        <f t="shared" si="43"/>
        <v>2.7196652719665275</v>
      </c>
      <c r="BU80" s="3">
        <f t="shared" si="43"/>
        <v>5.8660187434918427</v>
      </c>
      <c r="BV80" s="3">
        <f t="shared" si="43"/>
        <v>1.3297872340425532</v>
      </c>
      <c r="BW80" s="3">
        <f t="shared" si="43"/>
        <v>0</v>
      </c>
      <c r="BX80" s="3">
        <f t="shared" si="43"/>
        <v>1.2254901960784315</v>
      </c>
      <c r="BY80" s="3">
        <f t="shared" si="43"/>
        <v>2.358490566037736</v>
      </c>
      <c r="BZ80" s="3">
        <f t="shared" si="43"/>
        <v>0</v>
      </c>
      <c r="CA80" s="3">
        <f t="shared" si="43"/>
        <v>4.562043795620438</v>
      </c>
      <c r="CB80" s="3">
        <f t="shared" si="43"/>
        <v>0</v>
      </c>
      <c r="CC80" s="3">
        <f t="shared" si="43"/>
        <v>0</v>
      </c>
      <c r="CD80" s="3">
        <f t="shared" si="43"/>
        <v>0</v>
      </c>
      <c r="CE80" s="3">
        <f t="shared" si="43"/>
        <v>0</v>
      </c>
      <c r="CF80" s="3">
        <f t="shared" si="43"/>
        <v>0</v>
      </c>
      <c r="CG80" s="3">
        <f t="shared" si="43"/>
        <v>0</v>
      </c>
      <c r="CH80" s="3">
        <f t="shared" si="43"/>
        <v>0.92165898617511521</v>
      </c>
      <c r="CI80" s="3">
        <f t="shared" si="43"/>
        <v>0</v>
      </c>
      <c r="CJ80" s="3">
        <f t="shared" si="43"/>
        <v>2.4324324324324325</v>
      </c>
      <c r="CK80" s="3">
        <f t="shared" si="43"/>
        <v>3.8502673796791447</v>
      </c>
      <c r="CL80" s="3">
        <f t="shared" si="43"/>
        <v>0</v>
      </c>
      <c r="CM80" s="3">
        <f t="shared" si="43"/>
        <v>0</v>
      </c>
      <c r="CN80" s="3">
        <f t="shared" si="43"/>
        <v>0</v>
      </c>
      <c r="CO80" s="3">
        <f t="shared" si="43"/>
        <v>0</v>
      </c>
      <c r="CP80" s="3">
        <f t="shared" si="43"/>
        <v>0</v>
      </c>
      <c r="CQ80" s="3">
        <f t="shared" si="43"/>
        <v>0</v>
      </c>
      <c r="CR80" s="3">
        <f t="shared" si="43"/>
        <v>2.2222222222222223</v>
      </c>
      <c r="CS80" s="3">
        <f t="shared" si="43"/>
        <v>5.027932960893855</v>
      </c>
      <c r="CT80" s="3">
        <f t="shared" si="43"/>
        <v>0</v>
      </c>
      <c r="CU80" s="3">
        <f t="shared" si="43"/>
        <v>0</v>
      </c>
      <c r="CV80" s="3">
        <f t="shared" si="43"/>
        <v>0</v>
      </c>
      <c r="CW80" s="3">
        <f t="shared" si="43"/>
        <v>0</v>
      </c>
      <c r="CX80" s="3">
        <f t="shared" si="43"/>
        <v>0</v>
      </c>
      <c r="CY80" s="3">
        <f t="shared" si="43"/>
        <v>0</v>
      </c>
      <c r="CZ80" s="3">
        <f t="shared" si="43"/>
        <v>0</v>
      </c>
      <c r="DA80" s="3">
        <f t="shared" si="43"/>
        <v>0</v>
      </c>
      <c r="DB80" s="3">
        <f t="shared" si="43"/>
        <v>1.2962962962962963</v>
      </c>
      <c r="DC80" s="3">
        <f t="shared" si="43"/>
        <v>5.3132434575733543</v>
      </c>
      <c r="DD80" s="3">
        <f t="shared" si="43"/>
        <v>0.63218390804597702</v>
      </c>
      <c r="DE80" s="3">
        <f t="shared" si="43"/>
        <v>8.5541256623769861</v>
      </c>
      <c r="DF80" s="3">
        <f t="shared" si="43"/>
        <v>0</v>
      </c>
      <c r="DG80" s="3">
        <f t="shared" si="43"/>
        <v>0.625</v>
      </c>
      <c r="DH80" s="3">
        <f t="shared" si="43"/>
        <v>0</v>
      </c>
      <c r="DI80" s="3">
        <f t="shared" si="43"/>
        <v>0.73597056117755288</v>
      </c>
      <c r="DJ80" s="3">
        <f t="shared" si="43"/>
        <v>0</v>
      </c>
      <c r="DK80" s="3">
        <f t="shared" si="43"/>
        <v>3.0206677265500796</v>
      </c>
      <c r="DL80" s="3">
        <f t="shared" si="43"/>
        <v>0</v>
      </c>
      <c r="DM80" s="3">
        <f t="shared" si="43"/>
        <v>0</v>
      </c>
      <c r="DN80" s="3">
        <f t="shared" si="43"/>
        <v>0</v>
      </c>
      <c r="DO80" s="3">
        <f t="shared" si="43"/>
        <v>0</v>
      </c>
      <c r="DP80" s="3">
        <f t="shared" si="43"/>
        <v>0</v>
      </c>
      <c r="DQ80" s="3">
        <f t="shared" si="43"/>
        <v>0</v>
      </c>
      <c r="DR80" s="3">
        <f t="shared" si="43"/>
        <v>0</v>
      </c>
      <c r="DS80" s="3">
        <f t="shared" si="43"/>
        <v>0</v>
      </c>
      <c r="DT80" s="3">
        <f t="shared" si="43"/>
        <v>1.4966740576496673</v>
      </c>
      <c r="DU80" s="3">
        <f t="shared" si="43"/>
        <v>1.9694731659281144</v>
      </c>
      <c r="DV80" s="3">
        <f t="shared" si="43"/>
        <v>0</v>
      </c>
      <c r="DW80" s="3">
        <f t="shared" si="43"/>
        <v>0</v>
      </c>
      <c r="DX80" s="3">
        <f t="shared" si="43"/>
        <v>0</v>
      </c>
      <c r="DY80" s="3">
        <f t="shared" si="43"/>
        <v>0</v>
      </c>
      <c r="DZ80" s="3">
        <f t="shared" si="40"/>
        <v>8.7757788503729714E-2</v>
      </c>
      <c r="EA80" s="3">
        <f t="shared" si="37"/>
        <v>3.7388392857142856</v>
      </c>
      <c r="EB80" s="3">
        <f t="shared" si="37"/>
        <v>2.9629629629629632</v>
      </c>
      <c r="EC80" s="3">
        <f t="shared" si="37"/>
        <v>5.6506849315068486</v>
      </c>
      <c r="ED80" s="3">
        <f t="shared" si="37"/>
        <v>1.8556701030927836</v>
      </c>
      <c r="EE80" s="3">
        <f t="shared" si="37"/>
        <v>0</v>
      </c>
      <c r="EF80" s="3">
        <f t="shared" si="37"/>
        <v>3.189300411522634</v>
      </c>
      <c r="EG80" s="3">
        <f t="shared" si="37"/>
        <v>2.3633677991137372</v>
      </c>
      <c r="EH80" s="3">
        <f t="shared" si="37"/>
        <v>1.8244315177154944</v>
      </c>
      <c r="EI80" s="3">
        <f t="shared" si="37"/>
        <v>0.10735373054213634</v>
      </c>
      <c r="EJ80" s="3">
        <f t="shared" si="37"/>
        <v>0.90579710144927539</v>
      </c>
      <c r="EK80" s="3">
        <f t="shared" si="37"/>
        <v>3.5158891142663959</v>
      </c>
      <c r="EL80" s="3">
        <f t="shared" si="37"/>
        <v>1.6766467065868262</v>
      </c>
      <c r="EM80" s="3">
        <f t="shared" si="37"/>
        <v>8.1776670817766703</v>
      </c>
      <c r="EN80" s="3">
        <f t="shared" si="37"/>
        <v>1.6666666666666667</v>
      </c>
      <c r="EO80" s="3">
        <f t="shared" si="37"/>
        <v>6.8493150684931505</v>
      </c>
      <c r="EP80" s="3">
        <f t="shared" si="37"/>
        <v>2.083333333333333</v>
      </c>
      <c r="EQ80" s="3">
        <f t="shared" si="37"/>
        <v>0</v>
      </c>
      <c r="ER80" s="3">
        <f t="shared" si="37"/>
        <v>1.7391304347826086</v>
      </c>
      <c r="ES80" s="3">
        <f t="shared" si="37"/>
        <v>0</v>
      </c>
      <c r="ET80" s="3">
        <f t="shared" si="37"/>
        <v>1.2658227848101267</v>
      </c>
      <c r="EU80" s="3">
        <f t="shared" si="37"/>
        <v>1.0189228529839884</v>
      </c>
      <c r="EV80" s="3">
        <f t="shared" si="37"/>
        <v>0</v>
      </c>
      <c r="EW80" s="3">
        <f t="shared" si="37"/>
        <v>0</v>
      </c>
      <c r="EX80" s="3">
        <f t="shared" si="37"/>
        <v>0</v>
      </c>
      <c r="EY80" s="3">
        <f t="shared" si="37"/>
        <v>0</v>
      </c>
      <c r="EZ80" s="3">
        <f t="shared" si="37"/>
        <v>0</v>
      </c>
      <c r="FA80" s="3">
        <f t="shared" si="37"/>
        <v>0</v>
      </c>
      <c r="FB80" s="3">
        <f t="shared" si="37"/>
        <v>0</v>
      </c>
      <c r="FC80" s="3">
        <f t="shared" si="37"/>
        <v>3.070175438596491</v>
      </c>
      <c r="FD80" s="3">
        <f t="shared" si="37"/>
        <v>2.1164021164021163</v>
      </c>
      <c r="FE80" s="3">
        <f t="shared" si="37"/>
        <v>0</v>
      </c>
      <c r="FF80" s="3">
        <f t="shared" si="37"/>
        <v>1.6379310344827587</v>
      </c>
      <c r="FG80" s="3">
        <f t="shared" si="37"/>
        <v>1.8621973929236499</v>
      </c>
      <c r="FH80" s="3">
        <f t="shared" si="37"/>
        <v>0</v>
      </c>
      <c r="FI80" s="3">
        <f t="shared" si="37"/>
        <v>0</v>
      </c>
      <c r="FJ80" s="3">
        <f t="shared" si="37"/>
        <v>0</v>
      </c>
      <c r="FK80" s="3">
        <f t="shared" si="37"/>
        <v>0</v>
      </c>
      <c r="FL80" s="3">
        <f t="shared" si="37"/>
        <v>1.7500000000000002</v>
      </c>
      <c r="FM80" s="3">
        <f t="shared" si="37"/>
        <v>2.1364009860312243</v>
      </c>
      <c r="FN80" s="3">
        <f t="shared" si="37"/>
        <v>0</v>
      </c>
      <c r="FO80" s="3">
        <f t="shared" si="37"/>
        <v>5.0373134328358207</v>
      </c>
      <c r="FP80" s="3">
        <f t="shared" si="37"/>
        <v>0</v>
      </c>
      <c r="FQ80" s="3">
        <f t="shared" si="37"/>
        <v>0.75642965204236012</v>
      </c>
      <c r="FR80" s="3">
        <f t="shared" si="37"/>
        <v>2.8977272727272725</v>
      </c>
      <c r="FS80" s="3">
        <f t="shared" si="37"/>
        <v>0</v>
      </c>
      <c r="FT80" s="3">
        <f t="shared" si="37"/>
        <v>1.3052208835341366</v>
      </c>
      <c r="FU80" s="3">
        <f t="shared" si="37"/>
        <v>4.6814044213263983</v>
      </c>
      <c r="FV80" s="3">
        <f t="shared" si="37"/>
        <v>1.8320610687022902</v>
      </c>
      <c r="FW80" s="3">
        <f t="shared" si="37"/>
        <v>4.8132780082987559</v>
      </c>
      <c r="FX80" s="3">
        <f t="shared" si="37"/>
        <v>1.949685534591195</v>
      </c>
      <c r="FY80" s="3">
        <f t="shared" si="37"/>
        <v>8.2417582417582409</v>
      </c>
      <c r="FZ80" s="3">
        <f t="shared" si="37"/>
        <v>1.6304347826086956</v>
      </c>
      <c r="GA80" s="3">
        <f t="shared" si="37"/>
        <v>0</v>
      </c>
      <c r="GB80" s="3">
        <f t="shared" si="37"/>
        <v>1.8404907975460123</v>
      </c>
      <c r="GC80" s="3">
        <f t="shared" si="37"/>
        <v>4.0380047505938244</v>
      </c>
      <c r="GD80" s="3">
        <f t="shared" si="37"/>
        <v>0</v>
      </c>
      <c r="GE80" s="3">
        <f t="shared" si="37"/>
        <v>0</v>
      </c>
      <c r="GF80" s="3">
        <f t="shared" si="37"/>
        <v>0</v>
      </c>
      <c r="GG80" s="3">
        <f t="shared" si="37"/>
        <v>0</v>
      </c>
      <c r="GH80" s="3">
        <f t="shared" si="37"/>
        <v>0</v>
      </c>
      <c r="GI80" s="3">
        <f t="shared" si="37"/>
        <v>0</v>
      </c>
      <c r="GJ80" s="3">
        <f t="shared" si="37"/>
        <v>0</v>
      </c>
      <c r="GK80" s="3">
        <f t="shared" si="37"/>
        <v>0</v>
      </c>
      <c r="GL80" s="3">
        <f t="shared" si="29"/>
        <v>0.41806020066889632</v>
      </c>
      <c r="GM80" s="3">
        <f t="shared" si="41"/>
        <v>3.1758957654723128</v>
      </c>
      <c r="GN80" s="3">
        <f t="shared" si="41"/>
        <v>2.3448949682462139</v>
      </c>
      <c r="GO80" s="3">
        <f t="shared" si="41"/>
        <v>1.8106570098292811</v>
      </c>
      <c r="GP80" s="3">
        <f t="shared" si="41"/>
        <v>0</v>
      </c>
      <c r="GQ80" s="3">
        <f t="shared" si="41"/>
        <v>0</v>
      </c>
      <c r="GR80" s="3">
        <f t="shared" si="41"/>
        <v>0</v>
      </c>
      <c r="GS80" s="3">
        <f t="shared" si="41"/>
        <v>0</v>
      </c>
      <c r="GT80" s="3">
        <f t="shared" si="41"/>
        <v>1.1185682326621924</v>
      </c>
      <c r="GU80" s="3">
        <f t="shared" si="41"/>
        <v>0</v>
      </c>
      <c r="GV80" s="3">
        <f t="shared" si="41"/>
        <v>5.70079883805374</v>
      </c>
      <c r="GW80" s="3">
        <f t="shared" si="41"/>
        <v>4.3879907621247112</v>
      </c>
      <c r="GX80" s="3">
        <f t="shared" si="41"/>
        <v>0.17123287671232876</v>
      </c>
      <c r="GY80" s="3">
        <f t="shared" si="41"/>
        <v>0</v>
      </c>
      <c r="GZ80" s="3">
        <f t="shared" si="41"/>
        <v>0</v>
      </c>
      <c r="HA80" s="3">
        <f t="shared" si="41"/>
        <v>1.3703443429374562</v>
      </c>
      <c r="HB80" s="3">
        <f t="shared" si="41"/>
        <v>1.4882655981682884</v>
      </c>
      <c r="HC80" s="3">
        <f t="shared" si="41"/>
        <v>0</v>
      </c>
      <c r="HD80" s="3">
        <f t="shared" si="41"/>
        <v>0.79601990049751237</v>
      </c>
      <c r="HE80" s="3">
        <f t="shared" si="41"/>
        <v>6.2085593731163353</v>
      </c>
      <c r="HF80" s="3">
        <f t="shared" si="41"/>
        <v>1.809954751131222</v>
      </c>
      <c r="HG80" s="3">
        <f t="shared" si="41"/>
        <v>5.0997782705099777</v>
      </c>
      <c r="HH80" s="3">
        <f t="shared" si="41"/>
        <v>0.99135739705134718</v>
      </c>
      <c r="HI80" s="3">
        <f t="shared" si="41"/>
        <v>4.4009779951100247</v>
      </c>
      <c r="HJ80" s="3">
        <f t="shared" si="41"/>
        <v>1.3953488372093024</v>
      </c>
      <c r="HK80" s="3">
        <f t="shared" si="41"/>
        <v>0.8875739644970414</v>
      </c>
      <c r="HL80" s="3">
        <f t="shared" si="41"/>
        <v>1.7543859649122806</v>
      </c>
      <c r="HM80" s="3">
        <f t="shared" si="41"/>
        <v>0</v>
      </c>
      <c r="HN80" s="3">
        <f t="shared" si="41"/>
        <v>2.2865853658536586</v>
      </c>
      <c r="HO80" s="3">
        <f t="shared" si="41"/>
        <v>0</v>
      </c>
      <c r="HP80" s="3">
        <f t="shared" si="41"/>
        <v>0</v>
      </c>
      <c r="HQ80" s="3">
        <f t="shared" si="41"/>
        <v>0</v>
      </c>
      <c r="HR80" s="3">
        <f t="shared" si="41"/>
        <v>0</v>
      </c>
      <c r="HS80" s="3">
        <f t="shared" si="41"/>
        <v>0</v>
      </c>
      <c r="HT80" s="3">
        <f t="shared" si="41"/>
        <v>0</v>
      </c>
      <c r="HU80" s="3">
        <f t="shared" si="41"/>
        <v>0</v>
      </c>
      <c r="HV80" s="3">
        <f t="shared" si="41"/>
        <v>0</v>
      </c>
      <c r="HW80" s="3">
        <f t="shared" si="41"/>
        <v>2</v>
      </c>
      <c r="HX80" s="3">
        <f t="shared" si="41"/>
        <v>2.147239263803681</v>
      </c>
      <c r="HY80" s="3">
        <f t="shared" si="41"/>
        <v>0</v>
      </c>
      <c r="HZ80" s="3">
        <f t="shared" si="41"/>
        <v>0.43478260869565216</v>
      </c>
      <c r="IA80" s="3">
        <f t="shared" si="41"/>
        <v>0</v>
      </c>
      <c r="IB80" s="3">
        <f t="shared" si="41"/>
        <v>0</v>
      </c>
      <c r="IC80" s="3">
        <f t="shared" si="41"/>
        <v>0</v>
      </c>
      <c r="ID80" s="3">
        <f t="shared" si="41"/>
        <v>0</v>
      </c>
      <c r="IE80" s="3">
        <f t="shared" si="41"/>
        <v>1.3173652694610778</v>
      </c>
      <c r="IF80" s="3">
        <f t="shared" si="41"/>
        <v>1.9061583577712611</v>
      </c>
      <c r="IG80" s="3">
        <f t="shared" si="41"/>
        <v>2.7472527472527473</v>
      </c>
      <c r="IH80" s="3">
        <f t="shared" si="41"/>
        <v>0</v>
      </c>
      <c r="II80" s="3">
        <f t="shared" si="41"/>
        <v>3.6257309941520468</v>
      </c>
      <c r="IJ80" s="3">
        <f t="shared" si="41"/>
        <v>0.47206923682140045</v>
      </c>
      <c r="IK80" s="3">
        <f t="shared" si="41"/>
        <v>2.6988636363636362</v>
      </c>
      <c r="IL80" s="3">
        <f t="shared" si="41"/>
        <v>0</v>
      </c>
      <c r="IM80" s="3">
        <f t="shared" si="41"/>
        <v>0</v>
      </c>
      <c r="IN80" s="3">
        <f t="shared" si="41"/>
        <v>0</v>
      </c>
      <c r="IO80" s="3">
        <f t="shared" si="41"/>
        <v>0</v>
      </c>
      <c r="IP80" s="3">
        <f t="shared" si="41"/>
        <v>2.3008849557522124</v>
      </c>
      <c r="IQ80" s="3">
        <f t="shared" si="41"/>
        <v>8.3260297984224358</v>
      </c>
      <c r="IR80" s="3">
        <f t="shared" si="41"/>
        <v>0.81018518518518512</v>
      </c>
      <c r="IS80" s="3">
        <f t="shared" si="41"/>
        <v>9.5516569200779724</v>
      </c>
      <c r="IT80" s="3">
        <f t="shared" si="41"/>
        <v>0</v>
      </c>
      <c r="IU80" s="3">
        <f t="shared" si="41"/>
        <v>1.7825311942959003</v>
      </c>
      <c r="IV80" s="3">
        <f t="shared" si="41"/>
        <v>2.6436781609195403</v>
      </c>
      <c r="IW80" s="3">
        <f t="shared" si="41"/>
        <v>0</v>
      </c>
      <c r="IX80" s="3">
        <f t="shared" si="41"/>
        <v>0.23961661341853036</v>
      </c>
      <c r="IY80" s="3">
        <f t="shared" si="38"/>
        <v>0</v>
      </c>
      <c r="IZ80" s="3">
        <f t="shared" si="38"/>
        <v>0</v>
      </c>
      <c r="JA80" s="3">
        <f t="shared" si="38"/>
        <v>0</v>
      </c>
      <c r="JB80" s="3">
        <f t="shared" si="38"/>
        <v>0</v>
      </c>
      <c r="JC80" s="3">
        <f t="shared" si="38"/>
        <v>0</v>
      </c>
      <c r="JD80" s="3">
        <f t="shared" si="38"/>
        <v>0</v>
      </c>
      <c r="JE80" s="3">
        <f t="shared" si="38"/>
        <v>0</v>
      </c>
      <c r="JF80" s="3">
        <f t="shared" si="38"/>
        <v>1.0416666666666665</v>
      </c>
      <c r="JG80" s="3">
        <f t="shared" si="38"/>
        <v>0</v>
      </c>
      <c r="JH80" s="3">
        <f t="shared" si="38"/>
        <v>0</v>
      </c>
      <c r="JI80" s="3">
        <f t="shared" si="38"/>
        <v>0</v>
      </c>
      <c r="JJ80" s="3">
        <f t="shared" si="38"/>
        <v>0</v>
      </c>
      <c r="JK80" s="3">
        <f t="shared" si="38"/>
        <v>0.39318479685452157</v>
      </c>
      <c r="JL80" s="3">
        <f t="shared" si="38"/>
        <v>0</v>
      </c>
      <c r="JM80" s="3">
        <f t="shared" si="38"/>
        <v>0</v>
      </c>
      <c r="JN80" s="3">
        <f t="shared" si="38"/>
        <v>0.1589825119236884</v>
      </c>
      <c r="JO80" s="3">
        <f t="shared" si="38"/>
        <v>1.7802644964394709</v>
      </c>
      <c r="JP80" s="3">
        <f t="shared" si="38"/>
        <v>4.3478260869565215</v>
      </c>
      <c r="JQ80" s="3">
        <f t="shared" si="38"/>
        <v>10.380460310004697</v>
      </c>
      <c r="JR80" s="3">
        <f t="shared" si="38"/>
        <v>0</v>
      </c>
      <c r="JS80" s="3">
        <f t="shared" si="38"/>
        <v>3.6410923276983094</v>
      </c>
      <c r="JT80" s="3">
        <f t="shared" si="38"/>
        <v>0.51142175247187183</v>
      </c>
      <c r="JU80" s="3">
        <f t="shared" si="38"/>
        <v>0</v>
      </c>
      <c r="JV80" s="3">
        <f t="shared" si="38"/>
        <v>2.3110880290833546</v>
      </c>
      <c r="JW80" s="3">
        <f t="shared" si="38"/>
        <v>0</v>
      </c>
      <c r="JX80" s="3">
        <f t="shared" si="38"/>
        <v>0.74200913242009126</v>
      </c>
      <c r="JY80" s="3">
        <f t="shared" si="38"/>
        <v>3.2873109796186717</v>
      </c>
      <c r="JZ80" s="3">
        <f t="shared" si="38"/>
        <v>1.4696058784235138</v>
      </c>
      <c r="KA80" s="3">
        <f t="shared" si="38"/>
        <v>4.8652694610778449</v>
      </c>
      <c r="KB80" s="3">
        <f t="shared" si="38"/>
        <v>2.6914539400665927</v>
      </c>
      <c r="KC80" s="3">
        <f t="shared" si="38"/>
        <v>5.5411535968891767</v>
      </c>
      <c r="KD80" s="3">
        <f t="shared" si="38"/>
        <v>0</v>
      </c>
      <c r="KE80" s="3">
        <f t="shared" si="38"/>
        <v>5.1428571428571423</v>
      </c>
      <c r="KF80" s="3">
        <f t="shared" si="38"/>
        <v>0</v>
      </c>
      <c r="KG80" s="3">
        <f t="shared" si="38"/>
        <v>5.2511415525114149</v>
      </c>
      <c r="KH80" s="3">
        <f t="shared" si="38"/>
        <v>0.14792899408284024</v>
      </c>
      <c r="KI80" s="3">
        <f t="shared" si="38"/>
        <v>2.1812080536912752</v>
      </c>
      <c r="KJ80" s="3">
        <f t="shared" si="38"/>
        <v>0</v>
      </c>
      <c r="KK80" s="3">
        <f t="shared" si="38"/>
        <v>0</v>
      </c>
      <c r="KL80" s="3">
        <f t="shared" si="38"/>
        <v>0</v>
      </c>
      <c r="KM80" s="3">
        <f t="shared" si="38"/>
        <v>0</v>
      </c>
      <c r="KN80" s="3">
        <f t="shared" si="38"/>
        <v>0</v>
      </c>
      <c r="KO80" s="3">
        <f t="shared" si="38"/>
        <v>0</v>
      </c>
      <c r="KP80" s="3">
        <f t="shared" si="38"/>
        <v>0</v>
      </c>
      <c r="KQ80" s="3">
        <f t="shared" si="38"/>
        <v>5.4545454545454541</v>
      </c>
      <c r="KR80" s="3">
        <f t="shared" si="38"/>
        <v>0.25510204081632654</v>
      </c>
      <c r="KS80" s="3">
        <f t="shared" si="38"/>
        <v>1.6797312430011198</v>
      </c>
      <c r="KT80" s="3">
        <f t="shared" si="38"/>
        <v>0</v>
      </c>
      <c r="KU80" s="3">
        <f t="shared" si="38"/>
        <v>0</v>
      </c>
      <c r="KV80" s="3">
        <f t="shared" si="38"/>
        <v>0</v>
      </c>
      <c r="KW80" s="3">
        <f t="shared" si="38"/>
        <v>0</v>
      </c>
      <c r="KX80" s="3">
        <f t="shared" si="38"/>
        <v>0</v>
      </c>
      <c r="KY80" s="3">
        <f t="shared" si="38"/>
        <v>0</v>
      </c>
      <c r="KZ80" s="3">
        <f t="shared" si="38"/>
        <v>2.271062271062271</v>
      </c>
      <c r="LA80" s="3">
        <f t="shared" si="38"/>
        <v>7.5854700854700852</v>
      </c>
      <c r="LB80" s="3">
        <f t="shared" si="38"/>
        <v>2.4096385542168677</v>
      </c>
      <c r="LC80" s="3">
        <f t="shared" si="38"/>
        <v>0</v>
      </c>
      <c r="LD80" s="3">
        <f t="shared" si="38"/>
        <v>0.19607843137254902</v>
      </c>
      <c r="LE80" s="3">
        <f t="shared" si="38"/>
        <v>0.84104289318755254</v>
      </c>
      <c r="LF80" s="3">
        <f t="shared" si="38"/>
        <v>0</v>
      </c>
      <c r="LG80" s="3">
        <f t="shared" si="38"/>
        <v>0</v>
      </c>
      <c r="LH80" s="3">
        <f t="shared" si="38"/>
        <v>0</v>
      </c>
      <c r="LI80" s="3">
        <f t="shared" si="38"/>
        <v>2.7878787878787876</v>
      </c>
      <c r="LJ80" s="3">
        <f t="shared" si="31"/>
        <v>1.5957446808510638</v>
      </c>
      <c r="LK80" s="3">
        <f t="shared" ref="LK80:MW80" si="44">(LK17-LK$11)/LK$11*100</f>
        <v>4.112903225806452</v>
      </c>
      <c r="LL80" s="3">
        <f t="shared" si="44"/>
        <v>1.8932874354561102</v>
      </c>
      <c r="LM80" s="3">
        <f t="shared" si="44"/>
        <v>5.9674502712477393</v>
      </c>
      <c r="LN80" s="3">
        <f t="shared" si="44"/>
        <v>0</v>
      </c>
      <c r="LO80" s="3">
        <f t="shared" si="44"/>
        <v>0</v>
      </c>
      <c r="LP80" s="3">
        <f t="shared" si="44"/>
        <v>2.7777777777777777</v>
      </c>
      <c r="LQ80" s="3">
        <f t="shared" si="44"/>
        <v>0</v>
      </c>
      <c r="LR80" s="3">
        <f t="shared" si="44"/>
        <v>1.3513513513513513</v>
      </c>
      <c r="LS80" s="3">
        <f t="shared" si="44"/>
        <v>3.8317757009345796</v>
      </c>
      <c r="LT80" s="3">
        <f t="shared" si="44"/>
        <v>0</v>
      </c>
      <c r="LU80" s="3">
        <f t="shared" si="44"/>
        <v>0</v>
      </c>
      <c r="LV80" s="3">
        <f t="shared" si="44"/>
        <v>0</v>
      </c>
      <c r="LW80" s="3">
        <f t="shared" si="44"/>
        <v>0</v>
      </c>
      <c r="LX80" s="3">
        <f t="shared" si="44"/>
        <v>0</v>
      </c>
      <c r="LY80" s="3">
        <f t="shared" si="44"/>
        <v>0</v>
      </c>
      <c r="LZ80" s="3">
        <f t="shared" si="44"/>
        <v>1.6858917480035491</v>
      </c>
      <c r="MA80" s="3">
        <f t="shared" si="44"/>
        <v>0</v>
      </c>
      <c r="MB80" s="3">
        <f t="shared" si="44"/>
        <v>1.9445794846864366</v>
      </c>
      <c r="MC80" s="3">
        <f t="shared" si="44"/>
        <v>0</v>
      </c>
      <c r="MD80" s="3">
        <f t="shared" si="44"/>
        <v>1.0232558139534882</v>
      </c>
      <c r="ME80" s="3">
        <f t="shared" si="44"/>
        <v>0</v>
      </c>
      <c r="MF80" s="3">
        <f t="shared" si="44"/>
        <v>0</v>
      </c>
      <c r="MG80" s="3">
        <f t="shared" si="44"/>
        <v>0</v>
      </c>
      <c r="MH80" s="3">
        <f t="shared" si="44"/>
        <v>1.5789473684210527</v>
      </c>
      <c r="MI80" s="3">
        <f t="shared" si="44"/>
        <v>0</v>
      </c>
      <c r="MJ80" s="3">
        <f t="shared" si="44"/>
        <v>4.790905399918798</v>
      </c>
      <c r="MK80" s="3">
        <f t="shared" si="44"/>
        <v>3.4847298355520753</v>
      </c>
      <c r="ML80" s="3">
        <f t="shared" si="44"/>
        <v>1.4966740576496673</v>
      </c>
      <c r="MM80" s="3">
        <f t="shared" si="44"/>
        <v>0</v>
      </c>
      <c r="MN80" s="3">
        <f t="shared" si="44"/>
        <v>0.69906790945406128</v>
      </c>
      <c r="MO80" s="3">
        <f t="shared" si="44"/>
        <v>3.9039039039039038</v>
      </c>
      <c r="MP80" s="3">
        <f t="shared" si="44"/>
        <v>0</v>
      </c>
      <c r="MQ80" s="3">
        <f t="shared" si="44"/>
        <v>0</v>
      </c>
      <c r="MR80" s="3">
        <f t="shared" si="44"/>
        <v>1.2726382770435634</v>
      </c>
      <c r="MS80" s="3">
        <f t="shared" si="44"/>
        <v>0</v>
      </c>
      <c r="MT80" s="3">
        <f t="shared" si="44"/>
        <v>2.187948350071736</v>
      </c>
      <c r="MU80" s="3">
        <f t="shared" si="44"/>
        <v>4.8993543486517277</v>
      </c>
      <c r="MV80" s="3">
        <f t="shared" si="44"/>
        <v>1.5356585111920875</v>
      </c>
      <c r="MW80" s="3">
        <f t="shared" si="44"/>
        <v>6.7676143386897412</v>
      </c>
      <c r="MX80" s="3"/>
      <c r="MY80" s="3"/>
    </row>
    <row r="81" spans="1:363" x14ac:dyDescent="0.3">
      <c r="A81" s="3">
        <v>7</v>
      </c>
      <c r="B81" s="3">
        <f t="shared" si="33"/>
        <v>1.1494252873563218</v>
      </c>
      <c r="C81" s="3">
        <f t="shared" ref="C81:BN84" si="45">(C18-C$11)/C$11*100</f>
        <v>0</v>
      </c>
      <c r="D81" s="3">
        <f t="shared" si="45"/>
        <v>0.21186440677966101</v>
      </c>
      <c r="E81" s="3">
        <f t="shared" si="45"/>
        <v>7.3394495412844041</v>
      </c>
      <c r="F81" s="3">
        <f t="shared" si="45"/>
        <v>0</v>
      </c>
      <c r="G81" s="3">
        <f t="shared" si="45"/>
        <v>2.1032504780114722</v>
      </c>
      <c r="H81" s="3">
        <f t="shared" si="45"/>
        <v>0</v>
      </c>
      <c r="I81" s="3">
        <f t="shared" si="45"/>
        <v>0</v>
      </c>
      <c r="J81" s="3">
        <f t="shared" si="45"/>
        <v>0</v>
      </c>
      <c r="K81" s="3">
        <f t="shared" si="45"/>
        <v>0</v>
      </c>
      <c r="L81" s="3">
        <f t="shared" si="45"/>
        <v>0</v>
      </c>
      <c r="M81" s="3">
        <f t="shared" si="45"/>
        <v>0</v>
      </c>
      <c r="N81" s="3">
        <f t="shared" si="45"/>
        <v>1.4678899082568808</v>
      </c>
      <c r="O81" s="3">
        <f t="shared" si="45"/>
        <v>1.0373443983402488</v>
      </c>
      <c r="P81" s="3">
        <f t="shared" si="45"/>
        <v>1.6569200779727096</v>
      </c>
      <c r="Q81" s="3">
        <f t="shared" si="45"/>
        <v>0</v>
      </c>
      <c r="R81" s="3">
        <f t="shared" si="45"/>
        <v>0.58027079303675055</v>
      </c>
      <c r="S81" s="3">
        <f t="shared" si="45"/>
        <v>3.0542986425339365</v>
      </c>
      <c r="T81" s="3">
        <f t="shared" si="45"/>
        <v>0</v>
      </c>
      <c r="U81" s="3">
        <f t="shared" si="45"/>
        <v>0</v>
      </c>
      <c r="V81" s="3">
        <f t="shared" si="45"/>
        <v>0</v>
      </c>
      <c r="W81" s="3">
        <f t="shared" si="45"/>
        <v>3.6111111111111107</v>
      </c>
      <c r="X81" s="3">
        <f t="shared" si="45"/>
        <v>0.38759689922480622</v>
      </c>
      <c r="Y81" s="3">
        <f t="shared" si="45"/>
        <v>10</v>
      </c>
      <c r="Z81" s="3">
        <f t="shared" si="45"/>
        <v>0.28490028490028491</v>
      </c>
      <c r="AA81" s="3">
        <f t="shared" si="45"/>
        <v>0.66152149944873206</v>
      </c>
      <c r="AB81" s="3">
        <f t="shared" si="45"/>
        <v>1.7241379310344827</v>
      </c>
      <c r="AC81" s="3">
        <f t="shared" si="45"/>
        <v>1.2762762762762763</v>
      </c>
      <c r="AD81" s="3">
        <f t="shared" si="45"/>
        <v>0.54525627044711011</v>
      </c>
      <c r="AE81" s="3">
        <f t="shared" si="45"/>
        <v>0</v>
      </c>
      <c r="AF81" s="3">
        <f t="shared" si="45"/>
        <v>0.46511627906976744</v>
      </c>
      <c r="AG81" s="3">
        <f t="shared" si="45"/>
        <v>3.9814814814814818</v>
      </c>
      <c r="AH81" s="3">
        <f t="shared" si="45"/>
        <v>1.2021857923497268</v>
      </c>
      <c r="AI81" s="3">
        <f t="shared" si="45"/>
        <v>4.3357933579335795</v>
      </c>
      <c r="AJ81" s="3">
        <f t="shared" si="45"/>
        <v>0.54890219560878251</v>
      </c>
      <c r="AK81" s="3">
        <f t="shared" si="45"/>
        <v>6.666666666666667</v>
      </c>
      <c r="AL81" s="3">
        <f t="shared" si="45"/>
        <v>0</v>
      </c>
      <c r="AM81" s="3">
        <f t="shared" si="45"/>
        <v>0</v>
      </c>
      <c r="AN81" s="3">
        <f t="shared" si="45"/>
        <v>3.1539888682745829</v>
      </c>
      <c r="AO81" s="3">
        <f t="shared" si="45"/>
        <v>0</v>
      </c>
      <c r="AP81" s="3">
        <f t="shared" si="45"/>
        <v>0.21897810218978103</v>
      </c>
      <c r="AQ81" s="3">
        <f t="shared" si="45"/>
        <v>0</v>
      </c>
      <c r="AR81" s="3">
        <f t="shared" si="45"/>
        <v>0</v>
      </c>
      <c r="AS81" s="3">
        <f t="shared" si="45"/>
        <v>0</v>
      </c>
      <c r="AT81" s="3">
        <f t="shared" si="45"/>
        <v>0</v>
      </c>
      <c r="AU81" s="3">
        <f t="shared" si="45"/>
        <v>0</v>
      </c>
      <c r="AV81" s="3">
        <f t="shared" si="45"/>
        <v>0</v>
      </c>
      <c r="AW81" s="3">
        <f t="shared" si="45"/>
        <v>0</v>
      </c>
      <c r="AX81" s="3">
        <f t="shared" si="45"/>
        <v>0</v>
      </c>
      <c r="AY81" s="3">
        <f t="shared" si="45"/>
        <v>1.3717421124828533</v>
      </c>
      <c r="AZ81" s="3">
        <f t="shared" si="45"/>
        <v>2.4618991793669402</v>
      </c>
      <c r="BA81" s="3">
        <f t="shared" si="45"/>
        <v>0</v>
      </c>
      <c r="BB81" s="3">
        <f t="shared" si="45"/>
        <v>1.6189759036144578</v>
      </c>
      <c r="BC81" s="3">
        <f t="shared" si="45"/>
        <v>2.992633517495396</v>
      </c>
      <c r="BD81" s="3">
        <f t="shared" si="45"/>
        <v>0</v>
      </c>
      <c r="BE81" s="3">
        <f t="shared" si="45"/>
        <v>0</v>
      </c>
      <c r="BF81" s="3">
        <f t="shared" si="45"/>
        <v>0</v>
      </c>
      <c r="BG81" s="3">
        <f t="shared" si="45"/>
        <v>0</v>
      </c>
      <c r="BH81" s="3">
        <f t="shared" si="45"/>
        <v>3.7857430527587597</v>
      </c>
      <c r="BI81" s="3">
        <f t="shared" si="45"/>
        <v>7.0603337612323482</v>
      </c>
      <c r="BJ81" s="3">
        <f t="shared" si="45"/>
        <v>0.31908104658583281</v>
      </c>
      <c r="BK81" s="3">
        <f t="shared" si="45"/>
        <v>3.5564853556485359</v>
      </c>
      <c r="BL81" s="3">
        <f t="shared" si="45"/>
        <v>0</v>
      </c>
      <c r="BM81" s="3">
        <f t="shared" si="45"/>
        <v>4.1363636363636367</v>
      </c>
      <c r="BN81" s="3">
        <f t="shared" si="45"/>
        <v>2.0575046161962542</v>
      </c>
      <c r="BO81" s="3">
        <f t="shared" si="43"/>
        <v>1.8251398292611127</v>
      </c>
      <c r="BP81" s="3">
        <f t="shared" si="43"/>
        <v>1.9345238095238095</v>
      </c>
      <c r="BQ81" s="3">
        <f t="shared" si="43"/>
        <v>0</v>
      </c>
      <c r="BR81" s="3">
        <f t="shared" si="43"/>
        <v>2.2624434389140271</v>
      </c>
      <c r="BS81" s="3">
        <f t="shared" si="43"/>
        <v>4.4770206022187002</v>
      </c>
      <c r="BT81" s="3">
        <f t="shared" si="43"/>
        <v>2.6001195457262405</v>
      </c>
      <c r="BU81" s="3">
        <f t="shared" si="43"/>
        <v>6.004859423811177</v>
      </c>
      <c r="BV81" s="3">
        <f t="shared" si="43"/>
        <v>1.3297872340425532</v>
      </c>
      <c r="BW81" s="3">
        <f t="shared" si="43"/>
        <v>0</v>
      </c>
      <c r="BX81" s="3">
        <f t="shared" si="43"/>
        <v>1.2254901960784315</v>
      </c>
      <c r="BY81" s="3">
        <f t="shared" si="43"/>
        <v>2.358490566037736</v>
      </c>
      <c r="BZ81" s="3">
        <f t="shared" si="43"/>
        <v>0.16806722689075632</v>
      </c>
      <c r="CA81" s="3">
        <f t="shared" si="43"/>
        <v>4.562043795620438</v>
      </c>
      <c r="CB81" s="3">
        <f t="shared" si="43"/>
        <v>0</v>
      </c>
      <c r="CC81" s="3">
        <f t="shared" si="43"/>
        <v>0</v>
      </c>
      <c r="CD81" s="3">
        <f t="shared" si="43"/>
        <v>0</v>
      </c>
      <c r="CE81" s="3">
        <f t="shared" si="43"/>
        <v>0</v>
      </c>
      <c r="CF81" s="3">
        <f t="shared" si="43"/>
        <v>0</v>
      </c>
      <c r="CG81" s="3">
        <f t="shared" si="43"/>
        <v>0</v>
      </c>
      <c r="CH81" s="3">
        <f t="shared" si="43"/>
        <v>0.92165898617511521</v>
      </c>
      <c r="CI81" s="3">
        <f t="shared" si="43"/>
        <v>0</v>
      </c>
      <c r="CJ81" s="3">
        <f t="shared" si="43"/>
        <v>2.3423423423423424</v>
      </c>
      <c r="CK81" s="3">
        <f t="shared" si="43"/>
        <v>4.9197860962566846</v>
      </c>
      <c r="CL81" s="3">
        <f t="shared" si="43"/>
        <v>0</v>
      </c>
      <c r="CM81" s="3">
        <f t="shared" si="43"/>
        <v>0</v>
      </c>
      <c r="CN81" s="3">
        <f t="shared" si="43"/>
        <v>0</v>
      </c>
      <c r="CO81" s="3">
        <f t="shared" si="43"/>
        <v>0</v>
      </c>
      <c r="CP81" s="3">
        <f t="shared" si="43"/>
        <v>0</v>
      </c>
      <c r="CQ81" s="3">
        <f t="shared" si="43"/>
        <v>0</v>
      </c>
      <c r="CR81" s="3">
        <f t="shared" si="43"/>
        <v>2.1505376344086025</v>
      </c>
      <c r="CS81" s="3">
        <f t="shared" si="43"/>
        <v>5.3072625698324023</v>
      </c>
      <c r="CT81" s="3">
        <f t="shared" si="43"/>
        <v>0</v>
      </c>
      <c r="CU81" s="3">
        <f t="shared" si="43"/>
        <v>0</v>
      </c>
      <c r="CV81" s="3">
        <f t="shared" si="43"/>
        <v>0</v>
      </c>
      <c r="CW81" s="3">
        <f t="shared" si="43"/>
        <v>0</v>
      </c>
      <c r="CX81" s="3">
        <f t="shared" si="43"/>
        <v>0</v>
      </c>
      <c r="CY81" s="3">
        <f t="shared" si="43"/>
        <v>0</v>
      </c>
      <c r="CZ81" s="3">
        <f t="shared" si="43"/>
        <v>0</v>
      </c>
      <c r="DA81" s="3">
        <f t="shared" si="43"/>
        <v>0</v>
      </c>
      <c r="DB81" s="3">
        <f t="shared" si="43"/>
        <v>0.98765432098765427</v>
      </c>
      <c r="DC81" s="3">
        <f t="shared" si="43"/>
        <v>5.4718477398889771</v>
      </c>
      <c r="DD81" s="3">
        <f t="shared" si="43"/>
        <v>0.86206896551724133</v>
      </c>
      <c r="DE81" s="3">
        <f t="shared" si="43"/>
        <v>7.5700227100681303</v>
      </c>
      <c r="DF81" s="3">
        <f t="shared" si="43"/>
        <v>0</v>
      </c>
      <c r="DG81" s="3">
        <f t="shared" si="43"/>
        <v>0.46875</v>
      </c>
      <c r="DH81" s="3">
        <f t="shared" si="43"/>
        <v>0</v>
      </c>
      <c r="DI81" s="3">
        <f t="shared" si="43"/>
        <v>0.73597056117755288</v>
      </c>
      <c r="DJ81" s="3">
        <f t="shared" si="43"/>
        <v>0</v>
      </c>
      <c r="DK81" s="3">
        <f t="shared" si="43"/>
        <v>2.8616852146263914</v>
      </c>
      <c r="DL81" s="3">
        <f t="shared" si="43"/>
        <v>0</v>
      </c>
      <c r="DM81" s="3">
        <f t="shared" si="43"/>
        <v>0</v>
      </c>
      <c r="DN81" s="3">
        <f t="shared" si="43"/>
        <v>0</v>
      </c>
      <c r="DO81" s="3">
        <f t="shared" si="43"/>
        <v>0</v>
      </c>
      <c r="DP81" s="3">
        <f t="shared" si="43"/>
        <v>0</v>
      </c>
      <c r="DQ81" s="3">
        <f t="shared" si="43"/>
        <v>0</v>
      </c>
      <c r="DR81" s="3">
        <f t="shared" si="43"/>
        <v>0</v>
      </c>
      <c r="DS81" s="3">
        <f t="shared" si="43"/>
        <v>0</v>
      </c>
      <c r="DT81" s="3">
        <f t="shared" si="43"/>
        <v>1.4966740576496673</v>
      </c>
      <c r="DU81" s="3">
        <f t="shared" si="43"/>
        <v>2.0679468242245198</v>
      </c>
      <c r="DV81" s="3">
        <f t="shared" si="43"/>
        <v>0</v>
      </c>
      <c r="DW81" s="3">
        <f t="shared" si="43"/>
        <v>0</v>
      </c>
      <c r="DX81" s="3">
        <f t="shared" si="43"/>
        <v>0</v>
      </c>
      <c r="DY81" s="3">
        <f t="shared" si="43"/>
        <v>0</v>
      </c>
      <c r="DZ81" s="3">
        <f t="shared" si="40"/>
        <v>0</v>
      </c>
      <c r="EA81" s="3">
        <f t="shared" si="37"/>
        <v>3.125</v>
      </c>
      <c r="EB81" s="3">
        <f t="shared" si="37"/>
        <v>3.4814814814814814</v>
      </c>
      <c r="EC81" s="3">
        <f t="shared" si="37"/>
        <v>6.7636986301369868</v>
      </c>
      <c r="ED81" s="3">
        <f t="shared" si="37"/>
        <v>1.9243986254295533</v>
      </c>
      <c r="EE81" s="3">
        <f t="shared" si="37"/>
        <v>0</v>
      </c>
      <c r="EF81" s="3">
        <f t="shared" si="37"/>
        <v>2.9835390946502058</v>
      </c>
      <c r="EG81" s="3">
        <f t="shared" si="37"/>
        <v>2.4741506646971936</v>
      </c>
      <c r="EH81" s="3">
        <f t="shared" si="37"/>
        <v>1.8773135906927549</v>
      </c>
      <c r="EI81" s="3">
        <f t="shared" si="37"/>
        <v>0.42941492216854538</v>
      </c>
      <c r="EJ81" s="3">
        <f t="shared" si="37"/>
        <v>0.86050724637681164</v>
      </c>
      <c r="EK81" s="3">
        <f t="shared" si="37"/>
        <v>4.1920216362407032</v>
      </c>
      <c r="EL81" s="3">
        <f t="shared" si="37"/>
        <v>1.4071856287425151</v>
      </c>
      <c r="EM81" s="3">
        <f t="shared" si="37"/>
        <v>8.5097550850975505</v>
      </c>
      <c r="EN81" s="3">
        <f t="shared" si="37"/>
        <v>1.6137566137566137</v>
      </c>
      <c r="EO81" s="3">
        <f t="shared" si="37"/>
        <v>6.9145466405740379</v>
      </c>
      <c r="EP81" s="3">
        <f t="shared" si="37"/>
        <v>2.083333333333333</v>
      </c>
      <c r="EQ81" s="3">
        <f t="shared" si="37"/>
        <v>0</v>
      </c>
      <c r="ER81" s="3">
        <f t="shared" si="37"/>
        <v>1.7391304347826086</v>
      </c>
      <c r="ES81" s="3">
        <f t="shared" si="37"/>
        <v>0</v>
      </c>
      <c r="ET81" s="3">
        <f t="shared" si="37"/>
        <v>1.2658227848101267</v>
      </c>
      <c r="EU81" s="3">
        <f t="shared" si="37"/>
        <v>1.8922852983988356</v>
      </c>
      <c r="EV81" s="3">
        <f t="shared" si="37"/>
        <v>0</v>
      </c>
      <c r="EW81" s="3">
        <f t="shared" si="37"/>
        <v>0</v>
      </c>
      <c r="EX81" s="3">
        <f t="shared" si="37"/>
        <v>0</v>
      </c>
      <c r="EY81" s="3">
        <f t="shared" si="37"/>
        <v>0</v>
      </c>
      <c r="EZ81" s="3">
        <f t="shared" si="37"/>
        <v>0</v>
      </c>
      <c r="FA81" s="3">
        <f t="shared" si="37"/>
        <v>0</v>
      </c>
      <c r="FB81" s="3">
        <f t="shared" si="37"/>
        <v>0</v>
      </c>
      <c r="FC81" s="3">
        <f t="shared" si="37"/>
        <v>3.070175438596491</v>
      </c>
      <c r="FD81" s="3">
        <f t="shared" si="37"/>
        <v>2.1164021164021163</v>
      </c>
      <c r="FE81" s="3">
        <f t="shared" si="37"/>
        <v>0</v>
      </c>
      <c r="FF81" s="3">
        <f t="shared" si="37"/>
        <v>1.5517241379310345</v>
      </c>
      <c r="FG81" s="3">
        <f t="shared" si="37"/>
        <v>2.2346368715083798</v>
      </c>
      <c r="FH81" s="3">
        <f t="shared" si="37"/>
        <v>0</v>
      </c>
      <c r="FI81" s="3">
        <f t="shared" si="37"/>
        <v>0</v>
      </c>
      <c r="FJ81" s="3">
        <f t="shared" si="37"/>
        <v>0</v>
      </c>
      <c r="FK81" s="3">
        <f t="shared" si="37"/>
        <v>0</v>
      </c>
      <c r="FL81" s="3">
        <f t="shared" si="37"/>
        <v>2.083333333333333</v>
      </c>
      <c r="FM81" s="3">
        <f t="shared" si="37"/>
        <v>3.4511092851273619</v>
      </c>
      <c r="FN81" s="3">
        <f t="shared" si="37"/>
        <v>0</v>
      </c>
      <c r="FO81" s="3">
        <f t="shared" si="37"/>
        <v>5.0373134328358207</v>
      </c>
      <c r="FP81" s="3">
        <f t="shared" si="37"/>
        <v>0</v>
      </c>
      <c r="FQ81" s="3">
        <f t="shared" si="37"/>
        <v>0.75642965204236012</v>
      </c>
      <c r="FR81" s="3">
        <f t="shared" si="37"/>
        <v>3.0113636363636362</v>
      </c>
      <c r="FS81" s="3">
        <f t="shared" si="37"/>
        <v>0</v>
      </c>
      <c r="FT81" s="3">
        <f t="shared" si="37"/>
        <v>1.7068273092369479</v>
      </c>
      <c r="FU81" s="3">
        <f t="shared" si="37"/>
        <v>4.6814044213263983</v>
      </c>
      <c r="FV81" s="3">
        <f t="shared" si="37"/>
        <v>1.6793893129770994</v>
      </c>
      <c r="FW81" s="3">
        <f t="shared" si="37"/>
        <v>5.394190871369295</v>
      </c>
      <c r="FX81" s="3">
        <f t="shared" si="37"/>
        <v>1.8867924528301887</v>
      </c>
      <c r="FY81" s="3">
        <f t="shared" si="37"/>
        <v>7.3489010989010994</v>
      </c>
      <c r="FZ81" s="3">
        <f t="shared" si="37"/>
        <v>1.6304347826086956</v>
      </c>
      <c r="GA81" s="3">
        <f t="shared" si="37"/>
        <v>0</v>
      </c>
      <c r="GB81" s="3">
        <f t="shared" si="37"/>
        <v>1.8404907975460123</v>
      </c>
      <c r="GC81" s="3">
        <f t="shared" si="37"/>
        <v>3.6817102137767219</v>
      </c>
      <c r="GD81" s="3">
        <f t="shared" si="37"/>
        <v>0</v>
      </c>
      <c r="GE81" s="3">
        <f t="shared" si="37"/>
        <v>0</v>
      </c>
      <c r="GF81" s="3">
        <f t="shared" si="37"/>
        <v>0</v>
      </c>
      <c r="GG81" s="3">
        <f t="shared" si="37"/>
        <v>0</v>
      </c>
      <c r="GH81" s="3">
        <f t="shared" si="37"/>
        <v>0</v>
      </c>
      <c r="GI81" s="3">
        <f t="shared" si="37"/>
        <v>0</v>
      </c>
      <c r="GJ81" s="3">
        <f t="shared" si="37"/>
        <v>0</v>
      </c>
      <c r="GK81" s="3">
        <f t="shared" si="37"/>
        <v>0</v>
      </c>
      <c r="GL81" s="3">
        <f t="shared" si="29"/>
        <v>0.41806020066889632</v>
      </c>
      <c r="GM81" s="3">
        <f t="shared" si="41"/>
        <v>3.1758957654723128</v>
      </c>
      <c r="GN81" s="3">
        <f t="shared" si="41"/>
        <v>2.4914509037616024</v>
      </c>
      <c r="GO81" s="3">
        <f t="shared" si="41"/>
        <v>2.1727884117951368</v>
      </c>
      <c r="GP81" s="3">
        <f t="shared" si="41"/>
        <v>0</v>
      </c>
      <c r="GQ81" s="3">
        <f t="shared" si="41"/>
        <v>0</v>
      </c>
      <c r="GR81" s="3">
        <f t="shared" si="41"/>
        <v>0</v>
      </c>
      <c r="GS81" s="3">
        <f t="shared" si="41"/>
        <v>0</v>
      </c>
      <c r="GT81" s="3">
        <f t="shared" si="41"/>
        <v>0.93959731543624159</v>
      </c>
      <c r="GU81" s="3">
        <f t="shared" si="41"/>
        <v>0</v>
      </c>
      <c r="GV81" s="3">
        <f t="shared" si="41"/>
        <v>5.4829339143064635</v>
      </c>
      <c r="GW81" s="3">
        <f t="shared" si="41"/>
        <v>5.2655889145496539</v>
      </c>
      <c r="GX81" s="3">
        <f t="shared" si="41"/>
        <v>0.17123287671232876</v>
      </c>
      <c r="GY81" s="3">
        <f t="shared" si="41"/>
        <v>0</v>
      </c>
      <c r="GZ81" s="3">
        <f t="shared" si="41"/>
        <v>0</v>
      </c>
      <c r="HA81" s="3">
        <f t="shared" si="41"/>
        <v>1.4406184118060434</v>
      </c>
      <c r="HB81" s="3">
        <f t="shared" si="41"/>
        <v>1.4310246136233544</v>
      </c>
      <c r="HC81" s="3">
        <f t="shared" si="41"/>
        <v>0</v>
      </c>
      <c r="HD81" s="3">
        <f t="shared" si="41"/>
        <v>0.49751243781094528</v>
      </c>
      <c r="HE81" s="3">
        <f t="shared" si="41"/>
        <v>5.9674502712477393</v>
      </c>
      <c r="HF81" s="3">
        <f t="shared" si="41"/>
        <v>1.7453135100193924</v>
      </c>
      <c r="HG81" s="3">
        <f t="shared" si="41"/>
        <v>5.6541019955654104</v>
      </c>
      <c r="HH81" s="3">
        <f t="shared" si="41"/>
        <v>1.3218098627351298</v>
      </c>
      <c r="HI81" s="3">
        <f t="shared" si="41"/>
        <v>4.706601466992665</v>
      </c>
      <c r="HJ81" s="3">
        <f t="shared" si="41"/>
        <v>1.3953488372093024</v>
      </c>
      <c r="HK81" s="3">
        <f t="shared" si="41"/>
        <v>0.8875739644970414</v>
      </c>
      <c r="HL81" s="3">
        <f t="shared" si="41"/>
        <v>1.7543859649122806</v>
      </c>
      <c r="HM81" s="3">
        <f t="shared" si="41"/>
        <v>0</v>
      </c>
      <c r="HN81" s="3">
        <f t="shared" si="41"/>
        <v>2.2865853658536586</v>
      </c>
      <c r="HO81" s="3">
        <f t="shared" si="41"/>
        <v>0</v>
      </c>
      <c r="HP81" s="3">
        <f t="shared" si="41"/>
        <v>0</v>
      </c>
      <c r="HQ81" s="3">
        <f t="shared" si="41"/>
        <v>0</v>
      </c>
      <c r="HR81" s="3">
        <f t="shared" si="41"/>
        <v>0</v>
      </c>
      <c r="HS81" s="3">
        <f t="shared" si="41"/>
        <v>0</v>
      </c>
      <c r="HT81" s="3">
        <f t="shared" si="41"/>
        <v>0</v>
      </c>
      <c r="HU81" s="3">
        <f t="shared" si="41"/>
        <v>0</v>
      </c>
      <c r="HV81" s="3">
        <f t="shared" si="41"/>
        <v>0</v>
      </c>
      <c r="HW81" s="3">
        <f t="shared" si="41"/>
        <v>2</v>
      </c>
      <c r="HX81" s="3">
        <f t="shared" si="41"/>
        <v>2.147239263803681</v>
      </c>
      <c r="HY81" s="3">
        <f t="shared" si="41"/>
        <v>0</v>
      </c>
      <c r="HZ81" s="3">
        <f t="shared" si="41"/>
        <v>0.43478260869565216</v>
      </c>
      <c r="IA81" s="3">
        <f t="shared" si="41"/>
        <v>0</v>
      </c>
      <c r="IB81" s="3">
        <f t="shared" si="41"/>
        <v>0</v>
      </c>
      <c r="IC81" s="3">
        <f t="shared" si="41"/>
        <v>0</v>
      </c>
      <c r="ID81" s="3">
        <f t="shared" si="41"/>
        <v>0</v>
      </c>
      <c r="IE81" s="3">
        <f t="shared" si="41"/>
        <v>2.2754491017964074</v>
      </c>
      <c r="IF81" s="3">
        <f t="shared" si="41"/>
        <v>2.3460410557184752</v>
      </c>
      <c r="IG81" s="3">
        <f t="shared" si="41"/>
        <v>3.3882783882783882</v>
      </c>
      <c r="IH81" s="3">
        <f t="shared" si="41"/>
        <v>0</v>
      </c>
      <c r="II81" s="3">
        <f t="shared" si="41"/>
        <v>3.6257309941520468</v>
      </c>
      <c r="IJ81" s="3">
        <f t="shared" si="41"/>
        <v>0.70810385523210073</v>
      </c>
      <c r="IK81" s="3">
        <f t="shared" si="41"/>
        <v>2.5568181818181821</v>
      </c>
      <c r="IL81" s="3">
        <f t="shared" si="41"/>
        <v>0</v>
      </c>
      <c r="IM81" s="3">
        <f t="shared" si="41"/>
        <v>0</v>
      </c>
      <c r="IN81" s="3">
        <f t="shared" si="41"/>
        <v>0</v>
      </c>
      <c r="IO81" s="3">
        <f t="shared" si="41"/>
        <v>0</v>
      </c>
      <c r="IP81" s="3">
        <f t="shared" si="41"/>
        <v>2.0648967551622417</v>
      </c>
      <c r="IQ81" s="3">
        <f t="shared" si="41"/>
        <v>7.9754601226993866</v>
      </c>
      <c r="IR81" s="3">
        <f t="shared" si="41"/>
        <v>0.75231481481481477</v>
      </c>
      <c r="IS81" s="3">
        <f t="shared" si="41"/>
        <v>9.6816114359974002</v>
      </c>
      <c r="IT81" s="3">
        <f t="shared" si="41"/>
        <v>0</v>
      </c>
      <c r="IU81" s="3">
        <f t="shared" si="41"/>
        <v>1.7825311942959003</v>
      </c>
      <c r="IV81" s="3">
        <f t="shared" si="41"/>
        <v>2.4137931034482758</v>
      </c>
      <c r="IW81" s="3">
        <f t="shared" si="41"/>
        <v>0</v>
      </c>
      <c r="IX81" s="3">
        <f t="shared" si="41"/>
        <v>0.15974440894568689</v>
      </c>
      <c r="IY81" s="3">
        <f t="shared" si="38"/>
        <v>0</v>
      </c>
      <c r="IZ81" s="3">
        <f t="shared" si="38"/>
        <v>0</v>
      </c>
      <c r="JA81" s="3">
        <f t="shared" si="38"/>
        <v>0</v>
      </c>
      <c r="JB81" s="3">
        <f t="shared" si="38"/>
        <v>0</v>
      </c>
      <c r="JC81" s="3">
        <f t="shared" si="38"/>
        <v>0</v>
      </c>
      <c r="JD81" s="3">
        <f t="shared" si="38"/>
        <v>4.9529470034670627E-2</v>
      </c>
      <c r="JE81" s="3">
        <f t="shared" si="38"/>
        <v>0</v>
      </c>
      <c r="JF81" s="3">
        <f t="shared" si="38"/>
        <v>1.0416666666666665</v>
      </c>
      <c r="JG81" s="3">
        <f t="shared" si="38"/>
        <v>0</v>
      </c>
      <c r="JH81" s="3">
        <f t="shared" si="38"/>
        <v>0</v>
      </c>
      <c r="JI81" s="3">
        <f t="shared" si="38"/>
        <v>0</v>
      </c>
      <c r="JJ81" s="3">
        <f t="shared" si="38"/>
        <v>0</v>
      </c>
      <c r="JK81" s="3">
        <f t="shared" si="38"/>
        <v>0.26212319790301442</v>
      </c>
      <c r="JL81" s="3">
        <f t="shared" si="38"/>
        <v>0</v>
      </c>
      <c r="JM81" s="3">
        <f t="shared" si="38"/>
        <v>0</v>
      </c>
      <c r="JN81" s="3">
        <f t="shared" si="38"/>
        <v>0.19872813990461047</v>
      </c>
      <c r="JO81" s="3">
        <f t="shared" si="38"/>
        <v>1.9328585961342828</v>
      </c>
      <c r="JP81" s="3">
        <f t="shared" si="38"/>
        <v>4.6124763705103966</v>
      </c>
      <c r="JQ81" s="3">
        <f t="shared" si="38"/>
        <v>11.085016439643026</v>
      </c>
      <c r="JR81" s="3">
        <f t="shared" si="38"/>
        <v>0</v>
      </c>
      <c r="JS81" s="3">
        <f t="shared" si="38"/>
        <v>3.5760728218465543</v>
      </c>
      <c r="JT81" s="3">
        <f t="shared" si="38"/>
        <v>0.44323218547562221</v>
      </c>
      <c r="JU81" s="3">
        <f t="shared" si="38"/>
        <v>0</v>
      </c>
      <c r="JV81" s="3">
        <f t="shared" si="38"/>
        <v>2.2591534666320436</v>
      </c>
      <c r="JW81" s="3">
        <f t="shared" si="38"/>
        <v>0</v>
      </c>
      <c r="JX81" s="3">
        <f t="shared" si="38"/>
        <v>0.85616438356164382</v>
      </c>
      <c r="JY81" s="3">
        <f t="shared" si="38"/>
        <v>1.9066403681788298</v>
      </c>
      <c r="JZ81" s="3">
        <f t="shared" si="38"/>
        <v>1.4362057448229792</v>
      </c>
      <c r="KA81" s="3">
        <f t="shared" si="38"/>
        <v>4.5284431137724557</v>
      </c>
      <c r="KB81" s="3">
        <f t="shared" si="38"/>
        <v>2.3029966703662597</v>
      </c>
      <c r="KC81" s="3">
        <f t="shared" si="38"/>
        <v>6.4484769928710302</v>
      </c>
      <c r="KD81" s="3">
        <f t="shared" si="38"/>
        <v>0</v>
      </c>
      <c r="KE81" s="3">
        <f t="shared" si="38"/>
        <v>5.1428571428571423</v>
      </c>
      <c r="KF81" s="3">
        <f t="shared" si="38"/>
        <v>0</v>
      </c>
      <c r="KG81" s="3">
        <f t="shared" si="38"/>
        <v>5.2511415525114149</v>
      </c>
      <c r="KH81" s="3">
        <f t="shared" si="38"/>
        <v>0.14792899408284024</v>
      </c>
      <c r="KI81" s="3">
        <f t="shared" si="38"/>
        <v>3.6912751677852351</v>
      </c>
      <c r="KJ81" s="3">
        <f t="shared" si="38"/>
        <v>0</v>
      </c>
      <c r="KK81" s="3">
        <f t="shared" si="38"/>
        <v>0</v>
      </c>
      <c r="KL81" s="3">
        <f t="shared" si="38"/>
        <v>0</v>
      </c>
      <c r="KM81" s="3">
        <f t="shared" si="38"/>
        <v>0</v>
      </c>
      <c r="KN81" s="3">
        <f t="shared" si="38"/>
        <v>0</v>
      </c>
      <c r="KO81" s="3">
        <f t="shared" si="38"/>
        <v>0</v>
      </c>
      <c r="KP81" s="3">
        <f t="shared" si="38"/>
        <v>0</v>
      </c>
      <c r="KQ81" s="3">
        <f t="shared" si="38"/>
        <v>5.4545454545454541</v>
      </c>
      <c r="KR81" s="3">
        <f t="shared" si="38"/>
        <v>0.25510204081632654</v>
      </c>
      <c r="KS81" s="3">
        <f t="shared" si="38"/>
        <v>1.6797312430011198</v>
      </c>
      <c r="KT81" s="3">
        <f t="shared" si="38"/>
        <v>0</v>
      </c>
      <c r="KU81" s="3">
        <f t="shared" si="38"/>
        <v>0</v>
      </c>
      <c r="KV81" s="3">
        <f t="shared" si="38"/>
        <v>0</v>
      </c>
      <c r="KW81" s="3">
        <f t="shared" si="38"/>
        <v>0</v>
      </c>
      <c r="KX81" s="3">
        <f t="shared" si="38"/>
        <v>0</v>
      </c>
      <c r="KY81" s="3">
        <f t="shared" si="38"/>
        <v>0</v>
      </c>
      <c r="KZ81" s="3">
        <f t="shared" si="38"/>
        <v>1.9047619047619049</v>
      </c>
      <c r="LA81" s="3">
        <f t="shared" si="38"/>
        <v>7.5854700854700852</v>
      </c>
      <c r="LB81" s="3">
        <f t="shared" si="38"/>
        <v>2.4096385542168677</v>
      </c>
      <c r="LC81" s="3">
        <f t="shared" si="38"/>
        <v>0</v>
      </c>
      <c r="LD81" s="3">
        <f t="shared" si="38"/>
        <v>0.19607843137254902</v>
      </c>
      <c r="LE81" s="3">
        <f t="shared" si="38"/>
        <v>0.42052144659377627</v>
      </c>
      <c r="LF81" s="3">
        <f t="shared" si="38"/>
        <v>0</v>
      </c>
      <c r="LG81" s="3">
        <f t="shared" si="38"/>
        <v>0</v>
      </c>
      <c r="LH81" s="3">
        <f t="shared" si="38"/>
        <v>0</v>
      </c>
      <c r="LI81" s="3">
        <f t="shared" si="38"/>
        <v>2.7878787878787876</v>
      </c>
      <c r="LJ81" s="3">
        <f t="shared" si="31"/>
        <v>1.9756838905775076</v>
      </c>
      <c r="LK81" s="3">
        <f t="shared" ref="LK81:MW81" si="46">(LK18-LK$11)/LK$11*100</f>
        <v>3.306451612903226</v>
      </c>
      <c r="LL81" s="3">
        <f t="shared" si="46"/>
        <v>1.663798049340218</v>
      </c>
      <c r="LM81" s="3">
        <f t="shared" si="46"/>
        <v>5.786618444846293</v>
      </c>
      <c r="LN81" s="3">
        <f t="shared" si="46"/>
        <v>0</v>
      </c>
      <c r="LO81" s="3">
        <f t="shared" si="46"/>
        <v>0</v>
      </c>
      <c r="LP81" s="3">
        <f t="shared" si="46"/>
        <v>3.189300411522634</v>
      </c>
      <c r="LQ81" s="3">
        <f t="shared" si="46"/>
        <v>0.20470829068577279</v>
      </c>
      <c r="LR81" s="3">
        <f t="shared" si="46"/>
        <v>1.5202702702702704</v>
      </c>
      <c r="LS81" s="3">
        <f t="shared" si="46"/>
        <v>4.018691588785047</v>
      </c>
      <c r="LT81" s="3">
        <f t="shared" si="46"/>
        <v>0</v>
      </c>
      <c r="LU81" s="3">
        <f t="shared" si="46"/>
        <v>0</v>
      </c>
      <c r="LV81" s="3">
        <f t="shared" si="46"/>
        <v>0</v>
      </c>
      <c r="LW81" s="3">
        <f t="shared" si="46"/>
        <v>0</v>
      </c>
      <c r="LX81" s="3">
        <f t="shared" si="46"/>
        <v>0</v>
      </c>
      <c r="LY81" s="3">
        <f t="shared" si="46"/>
        <v>0</v>
      </c>
      <c r="LZ81" s="3">
        <f t="shared" si="46"/>
        <v>1.6858917480035491</v>
      </c>
      <c r="MA81" s="3">
        <f t="shared" si="46"/>
        <v>0</v>
      </c>
      <c r="MB81" s="3">
        <f t="shared" si="46"/>
        <v>2.1876519202722413</v>
      </c>
      <c r="MC81" s="3">
        <f t="shared" si="46"/>
        <v>0</v>
      </c>
      <c r="MD81" s="3">
        <f t="shared" si="46"/>
        <v>0.88372093023255816</v>
      </c>
      <c r="ME81" s="3">
        <f t="shared" si="46"/>
        <v>0</v>
      </c>
      <c r="MF81" s="3">
        <f t="shared" si="46"/>
        <v>0</v>
      </c>
      <c r="MG81" s="3">
        <f t="shared" si="46"/>
        <v>0</v>
      </c>
      <c r="MH81" s="3">
        <f t="shared" si="46"/>
        <v>1.9298245614035088</v>
      </c>
      <c r="MI81" s="3">
        <f t="shared" si="46"/>
        <v>0</v>
      </c>
      <c r="MJ81" s="3">
        <f t="shared" si="46"/>
        <v>4.3036946812829875</v>
      </c>
      <c r="MK81" s="3">
        <f t="shared" si="46"/>
        <v>3.3281127642913075</v>
      </c>
      <c r="ML81" s="3">
        <f t="shared" si="46"/>
        <v>1.5521064301552108</v>
      </c>
      <c r="MM81" s="3">
        <f t="shared" si="46"/>
        <v>0</v>
      </c>
      <c r="MN81" s="3">
        <f t="shared" si="46"/>
        <v>0.69906790945406128</v>
      </c>
      <c r="MO81" s="3">
        <f t="shared" si="46"/>
        <v>3.8663663663663668</v>
      </c>
      <c r="MP81" s="3">
        <f t="shared" si="46"/>
        <v>0</v>
      </c>
      <c r="MQ81" s="3">
        <f t="shared" si="46"/>
        <v>0</v>
      </c>
      <c r="MR81" s="3">
        <f t="shared" si="46"/>
        <v>1.0279001468428781</v>
      </c>
      <c r="MS81" s="3">
        <f t="shared" si="46"/>
        <v>0</v>
      </c>
      <c r="MT81" s="3">
        <f t="shared" si="46"/>
        <v>2.2955523672883791</v>
      </c>
      <c r="MU81" s="3">
        <f t="shared" si="46"/>
        <v>4.5195594379035322</v>
      </c>
      <c r="MV81" s="3">
        <f t="shared" si="46"/>
        <v>1.665799062988027</v>
      </c>
      <c r="MW81" s="3">
        <f t="shared" si="46"/>
        <v>5.6242274412855373</v>
      </c>
      <c r="MX81" s="3"/>
      <c r="MY81" s="3"/>
    </row>
    <row r="82" spans="1:363" x14ac:dyDescent="0.3">
      <c r="A82" s="3">
        <v>8</v>
      </c>
      <c r="B82" s="3">
        <f t="shared" si="33"/>
        <v>1.1494252873563218</v>
      </c>
      <c r="C82" s="3">
        <f t="shared" si="45"/>
        <v>0</v>
      </c>
      <c r="D82" s="3">
        <f t="shared" si="45"/>
        <v>0.21186440677966101</v>
      </c>
      <c r="E82" s="3">
        <f t="shared" si="45"/>
        <v>8.0275229357798175</v>
      </c>
      <c r="F82" s="3">
        <f t="shared" si="45"/>
        <v>0</v>
      </c>
      <c r="G82" s="3">
        <f t="shared" si="45"/>
        <v>2.1032504780114722</v>
      </c>
      <c r="H82" s="3">
        <f t="shared" si="45"/>
        <v>0</v>
      </c>
      <c r="I82" s="3">
        <f t="shared" si="45"/>
        <v>0</v>
      </c>
      <c r="J82" s="3">
        <f t="shared" si="45"/>
        <v>0</v>
      </c>
      <c r="K82" s="3">
        <f t="shared" si="45"/>
        <v>0</v>
      </c>
      <c r="L82" s="3">
        <f t="shared" si="45"/>
        <v>0</v>
      </c>
      <c r="M82" s="3">
        <f t="shared" si="45"/>
        <v>0</v>
      </c>
      <c r="N82" s="3">
        <f t="shared" si="45"/>
        <v>1.4678899082568808</v>
      </c>
      <c r="O82" s="3">
        <f t="shared" si="45"/>
        <v>1.0373443983402488</v>
      </c>
      <c r="P82" s="3">
        <f t="shared" si="45"/>
        <v>1.6569200779727096</v>
      </c>
      <c r="Q82" s="3">
        <f t="shared" si="45"/>
        <v>0</v>
      </c>
      <c r="R82" s="3">
        <f t="shared" si="45"/>
        <v>0.38684719535783368</v>
      </c>
      <c r="S82" s="3">
        <f t="shared" si="45"/>
        <v>2.9411764705882351</v>
      </c>
      <c r="T82" s="3">
        <f t="shared" si="45"/>
        <v>0</v>
      </c>
      <c r="U82" s="3">
        <f t="shared" si="45"/>
        <v>0</v>
      </c>
      <c r="V82" s="3">
        <f t="shared" si="45"/>
        <v>0</v>
      </c>
      <c r="W82" s="3">
        <f t="shared" si="45"/>
        <v>2.7777777777777777</v>
      </c>
      <c r="X82" s="3">
        <f t="shared" si="45"/>
        <v>1.0077519379844961</v>
      </c>
      <c r="Y82" s="3">
        <f t="shared" si="45"/>
        <v>10.326086956521738</v>
      </c>
      <c r="Z82" s="3">
        <f t="shared" si="45"/>
        <v>0.28490028490028491</v>
      </c>
      <c r="AA82" s="3">
        <f t="shared" si="45"/>
        <v>0.66152149944873206</v>
      </c>
      <c r="AB82" s="3">
        <f t="shared" si="45"/>
        <v>1.7241379310344827</v>
      </c>
      <c r="AC82" s="3">
        <f t="shared" si="45"/>
        <v>1.0510510510510511</v>
      </c>
      <c r="AD82" s="3">
        <f t="shared" si="45"/>
        <v>0.54525627044711011</v>
      </c>
      <c r="AE82" s="3">
        <f t="shared" si="45"/>
        <v>0</v>
      </c>
      <c r="AF82" s="3">
        <f t="shared" si="45"/>
        <v>0.46511627906976744</v>
      </c>
      <c r="AG82" s="3">
        <f t="shared" si="45"/>
        <v>3.9814814814814818</v>
      </c>
      <c r="AH82" s="3">
        <f t="shared" si="45"/>
        <v>1.2568306010928962</v>
      </c>
      <c r="AI82" s="3">
        <f t="shared" si="45"/>
        <v>4.7970479704797047</v>
      </c>
      <c r="AJ82" s="3">
        <f t="shared" si="45"/>
        <v>0.54890219560878251</v>
      </c>
      <c r="AK82" s="3">
        <f t="shared" si="45"/>
        <v>6.178861788617886</v>
      </c>
      <c r="AL82" s="3">
        <f t="shared" si="45"/>
        <v>0</v>
      </c>
      <c r="AM82" s="3">
        <f t="shared" si="45"/>
        <v>0</v>
      </c>
      <c r="AN82" s="3">
        <f t="shared" si="45"/>
        <v>3.0612244897959182</v>
      </c>
      <c r="AO82" s="3">
        <f t="shared" si="45"/>
        <v>0</v>
      </c>
      <c r="AP82" s="3">
        <f t="shared" si="45"/>
        <v>0.36496350364963503</v>
      </c>
      <c r="AQ82" s="3">
        <f t="shared" si="45"/>
        <v>0</v>
      </c>
      <c r="AR82" s="3">
        <f t="shared" si="45"/>
        <v>0</v>
      </c>
      <c r="AS82" s="3">
        <f t="shared" si="45"/>
        <v>0</v>
      </c>
      <c r="AT82" s="3">
        <f t="shared" si="45"/>
        <v>0</v>
      </c>
      <c r="AU82" s="3">
        <f t="shared" si="45"/>
        <v>0</v>
      </c>
      <c r="AV82" s="3">
        <f t="shared" si="45"/>
        <v>0</v>
      </c>
      <c r="AW82" s="3">
        <f t="shared" si="45"/>
        <v>0</v>
      </c>
      <c r="AX82" s="3">
        <f t="shared" si="45"/>
        <v>0</v>
      </c>
      <c r="AY82" s="3">
        <f t="shared" si="45"/>
        <v>0.96021947873799729</v>
      </c>
      <c r="AZ82" s="3">
        <f t="shared" si="45"/>
        <v>2.6377491207502932</v>
      </c>
      <c r="BA82" s="3">
        <f t="shared" si="45"/>
        <v>0</v>
      </c>
      <c r="BB82" s="3">
        <f t="shared" si="45"/>
        <v>2.0707831325301207</v>
      </c>
      <c r="BC82" s="3">
        <f t="shared" si="45"/>
        <v>2.6243093922651934</v>
      </c>
      <c r="BD82" s="3">
        <f t="shared" si="45"/>
        <v>0</v>
      </c>
      <c r="BE82" s="3">
        <f t="shared" si="45"/>
        <v>0</v>
      </c>
      <c r="BF82" s="3">
        <f t="shared" si="45"/>
        <v>0</v>
      </c>
      <c r="BG82" s="3">
        <f t="shared" si="45"/>
        <v>0</v>
      </c>
      <c r="BH82" s="3">
        <f t="shared" si="45"/>
        <v>2.8594442207007651</v>
      </c>
      <c r="BI82" s="3">
        <f t="shared" si="45"/>
        <v>7.4882327770646127</v>
      </c>
      <c r="BJ82" s="3">
        <f t="shared" si="45"/>
        <v>0.38289725590299939</v>
      </c>
      <c r="BK82" s="3">
        <f t="shared" si="45"/>
        <v>5.1255230125523017</v>
      </c>
      <c r="BL82" s="3">
        <f t="shared" si="45"/>
        <v>0</v>
      </c>
      <c r="BM82" s="3">
        <f t="shared" si="45"/>
        <v>4.2272727272727275</v>
      </c>
      <c r="BN82" s="3">
        <f t="shared" si="45"/>
        <v>2.0838828805064624</v>
      </c>
      <c r="BO82" s="3">
        <f t="shared" si="43"/>
        <v>1.4718869590815424</v>
      </c>
      <c r="BP82" s="3">
        <f t="shared" si="43"/>
        <v>2.083333333333333</v>
      </c>
      <c r="BQ82" s="3">
        <f t="shared" si="43"/>
        <v>0</v>
      </c>
      <c r="BR82" s="3">
        <f t="shared" si="43"/>
        <v>2.3755656108597285</v>
      </c>
      <c r="BS82" s="3">
        <f t="shared" si="43"/>
        <v>4.8335974643423141</v>
      </c>
      <c r="BT82" s="3">
        <f t="shared" si="43"/>
        <v>2.630005977286312</v>
      </c>
      <c r="BU82" s="3">
        <f t="shared" si="43"/>
        <v>5.2412356820548425</v>
      </c>
      <c r="BV82" s="3">
        <f t="shared" si="43"/>
        <v>1.3297872340425532</v>
      </c>
      <c r="BW82" s="3">
        <f t="shared" si="43"/>
        <v>0</v>
      </c>
      <c r="BX82" s="3">
        <f t="shared" si="43"/>
        <v>1.2254901960784315</v>
      </c>
      <c r="BY82" s="3">
        <f t="shared" si="43"/>
        <v>2.358490566037736</v>
      </c>
      <c r="BZ82" s="3">
        <f t="shared" si="43"/>
        <v>0.16806722689075632</v>
      </c>
      <c r="CA82" s="3">
        <f t="shared" si="43"/>
        <v>4.562043795620438</v>
      </c>
      <c r="CB82" s="3">
        <f t="shared" si="43"/>
        <v>0</v>
      </c>
      <c r="CC82" s="3">
        <f t="shared" si="43"/>
        <v>0</v>
      </c>
      <c r="CD82" s="3">
        <f t="shared" si="43"/>
        <v>0</v>
      </c>
      <c r="CE82" s="3">
        <f t="shared" si="43"/>
        <v>0</v>
      </c>
      <c r="CF82" s="3">
        <f t="shared" si="43"/>
        <v>0</v>
      </c>
      <c r="CG82" s="3">
        <f t="shared" si="43"/>
        <v>0</v>
      </c>
      <c r="CH82" s="3">
        <f t="shared" si="43"/>
        <v>0.92165898617511521</v>
      </c>
      <c r="CI82" s="3">
        <f t="shared" si="43"/>
        <v>0</v>
      </c>
      <c r="CJ82" s="3">
        <f t="shared" si="43"/>
        <v>2.4324324324324325</v>
      </c>
      <c r="CK82" s="3">
        <f t="shared" si="43"/>
        <v>4.7058823529411766</v>
      </c>
      <c r="CL82" s="3">
        <f t="shared" si="43"/>
        <v>0</v>
      </c>
      <c r="CM82" s="3">
        <f t="shared" si="43"/>
        <v>0</v>
      </c>
      <c r="CN82" s="3">
        <f t="shared" si="43"/>
        <v>0</v>
      </c>
      <c r="CO82" s="3">
        <f t="shared" si="43"/>
        <v>0</v>
      </c>
      <c r="CP82" s="3">
        <f t="shared" si="43"/>
        <v>0</v>
      </c>
      <c r="CQ82" s="3">
        <f t="shared" si="43"/>
        <v>0</v>
      </c>
      <c r="CR82" s="3">
        <f t="shared" si="43"/>
        <v>2.2939068100358422</v>
      </c>
      <c r="CS82" s="3">
        <f t="shared" si="43"/>
        <v>6.1452513966480442</v>
      </c>
      <c r="CT82" s="3">
        <f t="shared" si="43"/>
        <v>0</v>
      </c>
      <c r="CU82" s="3">
        <f t="shared" si="43"/>
        <v>0</v>
      </c>
      <c r="CV82" s="3">
        <f t="shared" si="43"/>
        <v>0</v>
      </c>
      <c r="CW82" s="3">
        <f t="shared" si="43"/>
        <v>0</v>
      </c>
      <c r="CX82" s="3">
        <f t="shared" si="43"/>
        <v>0</v>
      </c>
      <c r="CY82" s="3">
        <f t="shared" si="43"/>
        <v>0</v>
      </c>
      <c r="CZ82" s="3">
        <f t="shared" si="43"/>
        <v>0</v>
      </c>
      <c r="DA82" s="3">
        <f t="shared" si="43"/>
        <v>0</v>
      </c>
      <c r="DB82" s="3">
        <f t="shared" si="43"/>
        <v>1.0493827160493827</v>
      </c>
      <c r="DC82" s="3">
        <f t="shared" si="43"/>
        <v>4.7581284694686756</v>
      </c>
      <c r="DD82" s="3">
        <f t="shared" si="43"/>
        <v>0.8045977011494253</v>
      </c>
      <c r="DE82" s="3">
        <f t="shared" si="43"/>
        <v>7.8728236184708562</v>
      </c>
      <c r="DF82" s="3">
        <f t="shared" si="43"/>
        <v>0</v>
      </c>
      <c r="DG82" s="3">
        <f t="shared" si="43"/>
        <v>0.9375</v>
      </c>
      <c r="DH82" s="3">
        <f t="shared" si="43"/>
        <v>0</v>
      </c>
      <c r="DI82" s="3">
        <f t="shared" si="43"/>
        <v>1.1039558417663293</v>
      </c>
      <c r="DJ82" s="3">
        <f t="shared" si="43"/>
        <v>0</v>
      </c>
      <c r="DK82" s="3">
        <f t="shared" si="43"/>
        <v>2.3847376788553261</v>
      </c>
      <c r="DL82" s="3">
        <f t="shared" si="43"/>
        <v>0</v>
      </c>
      <c r="DM82" s="3">
        <f t="shared" si="43"/>
        <v>0</v>
      </c>
      <c r="DN82" s="3">
        <f t="shared" si="43"/>
        <v>0</v>
      </c>
      <c r="DO82" s="3">
        <f t="shared" si="43"/>
        <v>0</v>
      </c>
      <c r="DP82" s="3">
        <f t="shared" si="43"/>
        <v>0</v>
      </c>
      <c r="DQ82" s="3">
        <f t="shared" si="43"/>
        <v>0</v>
      </c>
      <c r="DR82" s="3">
        <f t="shared" si="43"/>
        <v>0</v>
      </c>
      <c r="DS82" s="3">
        <f t="shared" si="43"/>
        <v>0</v>
      </c>
      <c r="DT82" s="3">
        <f t="shared" si="43"/>
        <v>1.3858093126385811</v>
      </c>
      <c r="DU82" s="3">
        <f t="shared" si="43"/>
        <v>1.7232890201871001</v>
      </c>
      <c r="DV82" s="3">
        <f t="shared" si="43"/>
        <v>0</v>
      </c>
      <c r="DW82" s="3">
        <f t="shared" si="43"/>
        <v>0</v>
      </c>
      <c r="DX82" s="3">
        <f t="shared" si="43"/>
        <v>0</v>
      </c>
      <c r="DY82" s="3">
        <f t="shared" si="43"/>
        <v>0</v>
      </c>
      <c r="DZ82" s="3">
        <f t="shared" si="40"/>
        <v>0.13163668275559456</v>
      </c>
      <c r="EA82" s="3">
        <f t="shared" si="37"/>
        <v>3.8504464285714288</v>
      </c>
      <c r="EB82" s="3">
        <f t="shared" si="37"/>
        <v>3.1111111111111112</v>
      </c>
      <c r="EC82" s="3">
        <f t="shared" ref="EC82:GN85" si="47">(EC19-EC$11)/EC$11*100</f>
        <v>6.3784246575342474</v>
      </c>
      <c r="ED82" s="3">
        <f t="shared" si="47"/>
        <v>2.0618556701030926</v>
      </c>
      <c r="EE82" s="3">
        <f t="shared" si="47"/>
        <v>0</v>
      </c>
      <c r="EF82" s="3">
        <f t="shared" si="47"/>
        <v>2.9492455418381343</v>
      </c>
      <c r="EG82" s="3">
        <f t="shared" si="47"/>
        <v>2.031019202363368</v>
      </c>
      <c r="EH82" s="3">
        <f t="shared" si="47"/>
        <v>1.5335801163405607</v>
      </c>
      <c r="EI82" s="3">
        <f t="shared" si="47"/>
        <v>0.50993022007514766</v>
      </c>
      <c r="EJ82" s="3">
        <f t="shared" si="47"/>
        <v>0.90579710144927539</v>
      </c>
      <c r="EK82" s="3">
        <f t="shared" si="47"/>
        <v>3.9891818796484109</v>
      </c>
      <c r="EL82" s="3">
        <f t="shared" si="47"/>
        <v>1.347305389221557</v>
      </c>
      <c r="EM82" s="3">
        <f t="shared" si="47"/>
        <v>8.5512660855126619</v>
      </c>
      <c r="EN82" s="3">
        <f t="shared" si="47"/>
        <v>1.6137566137566137</v>
      </c>
      <c r="EO82" s="3">
        <f t="shared" si="47"/>
        <v>6.9471624266144811</v>
      </c>
      <c r="EP82" s="3">
        <f t="shared" si="47"/>
        <v>2.083333333333333</v>
      </c>
      <c r="EQ82" s="3">
        <f t="shared" si="47"/>
        <v>0</v>
      </c>
      <c r="ER82" s="3">
        <f t="shared" si="47"/>
        <v>1.7391304347826086</v>
      </c>
      <c r="ES82" s="3">
        <f t="shared" si="47"/>
        <v>0</v>
      </c>
      <c r="ET82" s="3">
        <f t="shared" si="47"/>
        <v>1.2658227848101267</v>
      </c>
      <c r="EU82" s="3">
        <f t="shared" si="47"/>
        <v>1.0189228529839884</v>
      </c>
      <c r="EV82" s="3">
        <f t="shared" si="47"/>
        <v>0</v>
      </c>
      <c r="EW82" s="3">
        <f t="shared" si="47"/>
        <v>0</v>
      </c>
      <c r="EX82" s="3">
        <f t="shared" si="47"/>
        <v>0</v>
      </c>
      <c r="EY82" s="3">
        <f t="shared" si="47"/>
        <v>0</v>
      </c>
      <c r="EZ82" s="3">
        <f t="shared" si="47"/>
        <v>0</v>
      </c>
      <c r="FA82" s="3">
        <f t="shared" si="47"/>
        <v>0</v>
      </c>
      <c r="FB82" s="3">
        <f t="shared" si="47"/>
        <v>0</v>
      </c>
      <c r="FC82" s="3">
        <f t="shared" si="47"/>
        <v>3.070175438596491</v>
      </c>
      <c r="FD82" s="3">
        <f t="shared" si="47"/>
        <v>2.2486772486772484</v>
      </c>
      <c r="FE82" s="3">
        <f t="shared" si="47"/>
        <v>0</v>
      </c>
      <c r="FF82" s="3">
        <f t="shared" si="47"/>
        <v>1.7241379310344827</v>
      </c>
      <c r="FG82" s="3">
        <f t="shared" si="47"/>
        <v>2.4208566108007448</v>
      </c>
      <c r="FH82" s="3">
        <f t="shared" si="47"/>
        <v>0</v>
      </c>
      <c r="FI82" s="3">
        <f t="shared" si="47"/>
        <v>0</v>
      </c>
      <c r="FJ82" s="3">
        <f t="shared" si="47"/>
        <v>0</v>
      </c>
      <c r="FK82" s="3">
        <f t="shared" si="47"/>
        <v>0</v>
      </c>
      <c r="FL82" s="3">
        <f t="shared" si="47"/>
        <v>1.5</v>
      </c>
      <c r="FM82" s="3">
        <f t="shared" si="47"/>
        <v>2.3007395234182417</v>
      </c>
      <c r="FN82" s="3">
        <f t="shared" si="47"/>
        <v>0</v>
      </c>
      <c r="FO82" s="3">
        <f t="shared" si="47"/>
        <v>5.0373134328358207</v>
      </c>
      <c r="FP82" s="3">
        <f t="shared" si="47"/>
        <v>0</v>
      </c>
      <c r="FQ82" s="3">
        <f t="shared" si="47"/>
        <v>0.90771558245083206</v>
      </c>
      <c r="FR82" s="3">
        <f t="shared" si="47"/>
        <v>3.1818181818181817</v>
      </c>
      <c r="FS82" s="3">
        <f t="shared" si="47"/>
        <v>0</v>
      </c>
      <c r="FT82" s="3">
        <f t="shared" si="47"/>
        <v>1.7068273092369479</v>
      </c>
      <c r="FU82" s="3">
        <f t="shared" si="47"/>
        <v>4.6814044213263983</v>
      </c>
      <c r="FV82" s="3">
        <f t="shared" si="47"/>
        <v>1.8320610687022902</v>
      </c>
      <c r="FW82" s="3">
        <f t="shared" si="47"/>
        <v>5.4771784232365146</v>
      </c>
      <c r="FX82" s="3">
        <f t="shared" si="47"/>
        <v>1.949685534591195</v>
      </c>
      <c r="FY82" s="3">
        <f t="shared" si="47"/>
        <v>8.5164835164835164</v>
      </c>
      <c r="FZ82" s="3">
        <f t="shared" si="47"/>
        <v>1.6304347826086956</v>
      </c>
      <c r="GA82" s="3">
        <f t="shared" si="47"/>
        <v>0</v>
      </c>
      <c r="GB82" s="3">
        <f t="shared" si="47"/>
        <v>2.1910604732690624</v>
      </c>
      <c r="GC82" s="3">
        <f t="shared" si="47"/>
        <v>4.513064133016627</v>
      </c>
      <c r="GD82" s="3">
        <f t="shared" si="47"/>
        <v>0</v>
      </c>
      <c r="GE82" s="3">
        <f t="shared" si="47"/>
        <v>0</v>
      </c>
      <c r="GF82" s="3">
        <f t="shared" si="47"/>
        <v>0</v>
      </c>
      <c r="GG82" s="3">
        <f t="shared" si="47"/>
        <v>0</v>
      </c>
      <c r="GH82" s="3">
        <f t="shared" si="47"/>
        <v>0</v>
      </c>
      <c r="GI82" s="3">
        <f t="shared" si="47"/>
        <v>0</v>
      </c>
      <c r="GJ82" s="3">
        <f t="shared" si="47"/>
        <v>0</v>
      </c>
      <c r="GK82" s="3">
        <f t="shared" si="47"/>
        <v>0</v>
      </c>
      <c r="GL82" s="3">
        <f t="shared" si="47"/>
        <v>0.50167224080267558</v>
      </c>
      <c r="GM82" s="3">
        <f t="shared" si="47"/>
        <v>3.1758957654723128</v>
      </c>
      <c r="GN82" s="3">
        <f t="shared" si="47"/>
        <v>2.1983390327308254</v>
      </c>
      <c r="GO82" s="3">
        <f t="shared" si="41"/>
        <v>2.0175892395240558</v>
      </c>
      <c r="GP82" s="3">
        <f t="shared" si="41"/>
        <v>0</v>
      </c>
      <c r="GQ82" s="3">
        <f t="shared" si="41"/>
        <v>0</v>
      </c>
      <c r="GR82" s="3">
        <f t="shared" si="41"/>
        <v>0</v>
      </c>
      <c r="GS82" s="3">
        <f t="shared" si="41"/>
        <v>0</v>
      </c>
      <c r="GT82" s="3">
        <f t="shared" si="41"/>
        <v>1.1633109619686801</v>
      </c>
      <c r="GU82" s="3">
        <f t="shared" si="41"/>
        <v>4.967709885742673E-2</v>
      </c>
      <c r="GV82" s="3">
        <f t="shared" si="41"/>
        <v>6.1728395061728394</v>
      </c>
      <c r="GW82" s="3">
        <f t="shared" si="41"/>
        <v>6.096997690531178</v>
      </c>
      <c r="GX82" s="3">
        <f t="shared" si="41"/>
        <v>0.28538812785388123</v>
      </c>
      <c r="GY82" s="3">
        <f t="shared" si="41"/>
        <v>0</v>
      </c>
      <c r="GZ82" s="3">
        <f t="shared" si="41"/>
        <v>0</v>
      </c>
      <c r="HA82" s="3">
        <f t="shared" si="41"/>
        <v>1.1946591707659873</v>
      </c>
      <c r="HB82" s="3">
        <f t="shared" si="41"/>
        <v>1.602747567258157</v>
      </c>
      <c r="HC82" s="3">
        <f t="shared" si="41"/>
        <v>0</v>
      </c>
      <c r="HD82" s="3">
        <f t="shared" si="41"/>
        <v>0.49751243781094528</v>
      </c>
      <c r="HE82" s="3">
        <f t="shared" si="41"/>
        <v>6.570223025919228</v>
      </c>
      <c r="HF82" s="3">
        <f t="shared" si="41"/>
        <v>1.5837104072398189</v>
      </c>
      <c r="HG82" s="3">
        <f t="shared" si="41"/>
        <v>5.6171470805617147</v>
      </c>
      <c r="HH82" s="3">
        <f t="shared" si="41"/>
        <v>1.3472292831723438</v>
      </c>
      <c r="HI82" s="3">
        <f t="shared" si="41"/>
        <v>4.0342298288508553</v>
      </c>
      <c r="HJ82" s="3">
        <f t="shared" si="41"/>
        <v>1.3953488372093024</v>
      </c>
      <c r="HK82" s="3">
        <f t="shared" si="41"/>
        <v>0.8875739644970414</v>
      </c>
      <c r="HL82" s="3">
        <f t="shared" si="41"/>
        <v>1.7543859649122806</v>
      </c>
      <c r="HM82" s="3">
        <f t="shared" si="41"/>
        <v>0</v>
      </c>
      <c r="HN82" s="3">
        <f t="shared" si="41"/>
        <v>2.2865853658536586</v>
      </c>
      <c r="HO82" s="3">
        <f t="shared" si="41"/>
        <v>0</v>
      </c>
      <c r="HP82" s="3">
        <f t="shared" si="41"/>
        <v>0</v>
      </c>
      <c r="HQ82" s="3">
        <f t="shared" si="41"/>
        <v>0</v>
      </c>
      <c r="HR82" s="3">
        <f t="shared" si="41"/>
        <v>0</v>
      </c>
      <c r="HS82" s="3">
        <f t="shared" si="41"/>
        <v>0</v>
      </c>
      <c r="HT82" s="3">
        <f t="shared" si="41"/>
        <v>0</v>
      </c>
      <c r="HU82" s="3">
        <f t="shared" si="41"/>
        <v>0</v>
      </c>
      <c r="HV82" s="3">
        <f t="shared" si="41"/>
        <v>0</v>
      </c>
      <c r="HW82" s="3">
        <f t="shared" si="41"/>
        <v>2</v>
      </c>
      <c r="HX82" s="3">
        <f t="shared" si="41"/>
        <v>2.147239263803681</v>
      </c>
      <c r="HY82" s="3">
        <f t="shared" si="41"/>
        <v>0</v>
      </c>
      <c r="HZ82" s="3">
        <f t="shared" si="41"/>
        <v>0.43478260869565216</v>
      </c>
      <c r="IA82" s="3">
        <f t="shared" si="41"/>
        <v>0</v>
      </c>
      <c r="IB82" s="3">
        <f t="shared" si="41"/>
        <v>0</v>
      </c>
      <c r="IC82" s="3">
        <f t="shared" si="41"/>
        <v>0</v>
      </c>
      <c r="ID82" s="3">
        <f t="shared" si="41"/>
        <v>0</v>
      </c>
      <c r="IE82" s="3">
        <f t="shared" si="41"/>
        <v>0.83832335329341312</v>
      </c>
      <c r="IF82" s="3">
        <f t="shared" si="41"/>
        <v>2.3460410557184752</v>
      </c>
      <c r="IG82" s="3">
        <f t="shared" si="41"/>
        <v>2.9304029304029302</v>
      </c>
      <c r="IH82" s="3">
        <f t="shared" si="41"/>
        <v>0</v>
      </c>
      <c r="II82" s="3">
        <f t="shared" si="41"/>
        <v>3.6257309941520468</v>
      </c>
      <c r="IJ82" s="3">
        <f t="shared" si="41"/>
        <v>0.55074744295830058</v>
      </c>
      <c r="IK82" s="3">
        <f t="shared" si="41"/>
        <v>2.6988636363636362</v>
      </c>
      <c r="IL82" s="3">
        <f t="shared" si="41"/>
        <v>0</v>
      </c>
      <c r="IM82" s="3">
        <f t="shared" si="41"/>
        <v>0</v>
      </c>
      <c r="IN82" s="3">
        <f t="shared" si="41"/>
        <v>0</v>
      </c>
      <c r="IO82" s="3">
        <f t="shared" si="41"/>
        <v>0</v>
      </c>
      <c r="IP82" s="3">
        <f t="shared" si="41"/>
        <v>2.3008849557522124</v>
      </c>
      <c r="IQ82" s="3">
        <f t="shared" si="41"/>
        <v>4.732690622261174</v>
      </c>
      <c r="IR82" s="3">
        <f t="shared" si="41"/>
        <v>0.63657407407407407</v>
      </c>
      <c r="IS82" s="3">
        <f t="shared" si="41"/>
        <v>8.8369070825211171</v>
      </c>
      <c r="IT82" s="3">
        <f t="shared" si="41"/>
        <v>0</v>
      </c>
      <c r="IU82" s="3">
        <f t="shared" si="41"/>
        <v>1.7825311942959003</v>
      </c>
      <c r="IV82" s="3">
        <f t="shared" si="41"/>
        <v>2.4137931034482758</v>
      </c>
      <c r="IW82" s="3">
        <f t="shared" si="41"/>
        <v>0</v>
      </c>
      <c r="IX82" s="3">
        <f t="shared" si="41"/>
        <v>0.47923322683706071</v>
      </c>
      <c r="IY82" s="3">
        <f t="shared" si="38"/>
        <v>0</v>
      </c>
      <c r="IZ82" s="3">
        <f t="shared" si="38"/>
        <v>0</v>
      </c>
      <c r="JA82" s="3">
        <f t="shared" ref="JA82:LL86" si="48">(JA19-JA$11)/JA$11*100</f>
        <v>0</v>
      </c>
      <c r="JB82" s="3">
        <f t="shared" si="48"/>
        <v>0</v>
      </c>
      <c r="JC82" s="3">
        <f t="shared" si="48"/>
        <v>0</v>
      </c>
      <c r="JD82" s="3">
        <f t="shared" si="48"/>
        <v>4.9529470034670627E-2</v>
      </c>
      <c r="JE82" s="3">
        <f t="shared" si="48"/>
        <v>0</v>
      </c>
      <c r="JF82" s="3">
        <f t="shared" si="48"/>
        <v>1.2152777777777779</v>
      </c>
      <c r="JG82" s="3">
        <f t="shared" si="48"/>
        <v>0</v>
      </c>
      <c r="JH82" s="3">
        <f t="shared" si="48"/>
        <v>0</v>
      </c>
      <c r="JI82" s="3">
        <f t="shared" si="48"/>
        <v>0</v>
      </c>
      <c r="JJ82" s="3">
        <f t="shared" si="48"/>
        <v>0</v>
      </c>
      <c r="JK82" s="3">
        <f t="shared" si="48"/>
        <v>0.91743119266055051</v>
      </c>
      <c r="JL82" s="3">
        <f t="shared" si="48"/>
        <v>0</v>
      </c>
      <c r="JM82" s="3">
        <f t="shared" si="48"/>
        <v>0</v>
      </c>
      <c r="JN82" s="3">
        <f t="shared" si="48"/>
        <v>0</v>
      </c>
      <c r="JO82" s="3">
        <f t="shared" si="48"/>
        <v>1.7802644964394709</v>
      </c>
      <c r="JP82" s="3">
        <f t="shared" si="48"/>
        <v>4.1965973534971646</v>
      </c>
      <c r="JQ82" s="3">
        <f t="shared" si="48"/>
        <v>9.4880225457961487</v>
      </c>
      <c r="JR82" s="3">
        <f t="shared" si="48"/>
        <v>0</v>
      </c>
      <c r="JS82" s="3">
        <f t="shared" si="48"/>
        <v>3.4460338101430428</v>
      </c>
      <c r="JT82" s="3">
        <f t="shared" si="48"/>
        <v>0.64780088646437095</v>
      </c>
      <c r="JU82" s="3">
        <f t="shared" si="48"/>
        <v>0</v>
      </c>
      <c r="JV82" s="3">
        <f t="shared" si="48"/>
        <v>1.9994806543754868</v>
      </c>
      <c r="JW82" s="3">
        <f t="shared" si="48"/>
        <v>0</v>
      </c>
      <c r="JX82" s="3">
        <f t="shared" si="48"/>
        <v>1.1415525114155249</v>
      </c>
      <c r="JY82" s="3">
        <f t="shared" si="48"/>
        <v>2.10387902695595</v>
      </c>
      <c r="JZ82" s="3">
        <f t="shared" si="48"/>
        <v>1.6032064128256511</v>
      </c>
      <c r="KA82" s="3">
        <f t="shared" si="48"/>
        <v>5.0898203592814371</v>
      </c>
      <c r="KB82" s="3">
        <f t="shared" si="48"/>
        <v>2.6359600443951163</v>
      </c>
      <c r="KC82" s="3">
        <f t="shared" si="48"/>
        <v>6.7725210628645494</v>
      </c>
      <c r="KD82" s="3">
        <f t="shared" si="48"/>
        <v>0</v>
      </c>
      <c r="KE82" s="3">
        <f t="shared" si="48"/>
        <v>5.1428571428571423</v>
      </c>
      <c r="KF82" s="3">
        <f t="shared" si="48"/>
        <v>0</v>
      </c>
      <c r="KG82" s="3">
        <f t="shared" si="48"/>
        <v>3.6529680365296802</v>
      </c>
      <c r="KH82" s="3">
        <f t="shared" si="48"/>
        <v>0.14792899408284024</v>
      </c>
      <c r="KI82" s="3">
        <f t="shared" si="48"/>
        <v>4.1946308724832218</v>
      </c>
      <c r="KJ82" s="3">
        <f t="shared" si="48"/>
        <v>0</v>
      </c>
      <c r="KK82" s="3">
        <f t="shared" si="48"/>
        <v>0</v>
      </c>
      <c r="KL82" s="3">
        <f t="shared" si="48"/>
        <v>0</v>
      </c>
      <c r="KM82" s="3">
        <f t="shared" si="48"/>
        <v>0</v>
      </c>
      <c r="KN82" s="3">
        <f t="shared" si="48"/>
        <v>0</v>
      </c>
      <c r="KO82" s="3">
        <f t="shared" si="48"/>
        <v>0</v>
      </c>
      <c r="KP82" s="3">
        <f t="shared" si="48"/>
        <v>0</v>
      </c>
      <c r="KQ82" s="3">
        <f t="shared" si="48"/>
        <v>5.4545454545454541</v>
      </c>
      <c r="KR82" s="3">
        <f t="shared" si="48"/>
        <v>0.25510204081632654</v>
      </c>
      <c r="KS82" s="3">
        <f t="shared" si="48"/>
        <v>1.6797312430011198</v>
      </c>
      <c r="KT82" s="3">
        <f t="shared" si="48"/>
        <v>0</v>
      </c>
      <c r="KU82" s="3">
        <f t="shared" si="48"/>
        <v>0</v>
      </c>
      <c r="KV82" s="3">
        <f t="shared" si="48"/>
        <v>0</v>
      </c>
      <c r="KW82" s="3">
        <f t="shared" si="48"/>
        <v>0</v>
      </c>
      <c r="KX82" s="3">
        <f t="shared" si="48"/>
        <v>0</v>
      </c>
      <c r="KY82" s="3">
        <f t="shared" si="48"/>
        <v>0</v>
      </c>
      <c r="KZ82" s="3">
        <f t="shared" si="48"/>
        <v>2.1245421245421245</v>
      </c>
      <c r="LA82" s="3">
        <f t="shared" si="48"/>
        <v>7.0512820512820511</v>
      </c>
      <c r="LB82" s="3">
        <f t="shared" si="48"/>
        <v>2.4096385542168677</v>
      </c>
      <c r="LC82" s="3">
        <f t="shared" si="48"/>
        <v>0</v>
      </c>
      <c r="LD82" s="3">
        <f t="shared" si="48"/>
        <v>0.26143790849673199</v>
      </c>
      <c r="LE82" s="3">
        <f t="shared" si="48"/>
        <v>0.84104289318755254</v>
      </c>
      <c r="LF82" s="3">
        <f t="shared" si="48"/>
        <v>0</v>
      </c>
      <c r="LG82" s="3">
        <f t="shared" si="48"/>
        <v>0</v>
      </c>
      <c r="LH82" s="3">
        <f t="shared" si="48"/>
        <v>0</v>
      </c>
      <c r="LI82" s="3">
        <f t="shared" si="48"/>
        <v>2.7878787878787876</v>
      </c>
      <c r="LJ82" s="3">
        <f t="shared" si="48"/>
        <v>1.8237082066869299</v>
      </c>
      <c r="LK82" s="3">
        <f t="shared" si="48"/>
        <v>4.838709677419355</v>
      </c>
      <c r="LL82" s="3">
        <f t="shared" si="48"/>
        <v>1.835915088927137</v>
      </c>
      <c r="LM82" s="3">
        <f t="shared" ref="LM82:MW82" si="49">(LM19-LM$11)/LM$11*100</f>
        <v>5.6057866184448457</v>
      </c>
      <c r="LN82" s="3">
        <f t="shared" si="49"/>
        <v>0</v>
      </c>
      <c r="LO82" s="3">
        <f t="shared" si="49"/>
        <v>0</v>
      </c>
      <c r="LP82" s="3">
        <f t="shared" si="49"/>
        <v>2.880658436213992</v>
      </c>
      <c r="LQ82" s="3">
        <f t="shared" si="49"/>
        <v>0.40941658137154557</v>
      </c>
      <c r="LR82" s="3">
        <f t="shared" si="49"/>
        <v>1.3513513513513513</v>
      </c>
      <c r="LS82" s="3">
        <f t="shared" si="49"/>
        <v>4.3925233644859816</v>
      </c>
      <c r="LT82" s="3">
        <f t="shared" si="49"/>
        <v>0</v>
      </c>
      <c r="LU82" s="3">
        <f t="shared" si="49"/>
        <v>0</v>
      </c>
      <c r="LV82" s="3">
        <f t="shared" si="49"/>
        <v>0</v>
      </c>
      <c r="LW82" s="3">
        <f t="shared" si="49"/>
        <v>0</v>
      </c>
      <c r="LX82" s="3">
        <f t="shared" si="49"/>
        <v>0</v>
      </c>
      <c r="LY82" s="3">
        <f t="shared" si="49"/>
        <v>0</v>
      </c>
      <c r="LZ82" s="3">
        <f t="shared" si="49"/>
        <v>1.7746228926353149</v>
      </c>
      <c r="MA82" s="3">
        <f t="shared" si="49"/>
        <v>0</v>
      </c>
      <c r="MB82" s="3">
        <f t="shared" si="49"/>
        <v>1.9445794846864366</v>
      </c>
      <c r="MC82" s="3">
        <f t="shared" si="49"/>
        <v>0</v>
      </c>
      <c r="MD82" s="3">
        <f t="shared" si="49"/>
        <v>0.79069767441860461</v>
      </c>
      <c r="ME82" s="3">
        <f t="shared" si="49"/>
        <v>0</v>
      </c>
      <c r="MF82" s="3">
        <f t="shared" si="49"/>
        <v>0</v>
      </c>
      <c r="MG82" s="3">
        <f t="shared" si="49"/>
        <v>0</v>
      </c>
      <c r="MH82" s="3">
        <f t="shared" si="49"/>
        <v>1.8421052631578945</v>
      </c>
      <c r="MI82" s="3">
        <f t="shared" si="49"/>
        <v>0</v>
      </c>
      <c r="MJ82" s="3">
        <f t="shared" si="49"/>
        <v>4.9533089727974016</v>
      </c>
      <c r="MK82" s="3">
        <f t="shared" si="49"/>
        <v>3.2498042286609241</v>
      </c>
      <c r="ML82" s="3">
        <f t="shared" si="49"/>
        <v>1.5521064301552108</v>
      </c>
      <c r="MM82" s="3">
        <f t="shared" si="49"/>
        <v>0</v>
      </c>
      <c r="MN82" s="3">
        <f t="shared" si="49"/>
        <v>0.56591211717709722</v>
      </c>
      <c r="MO82" s="3">
        <f t="shared" si="49"/>
        <v>4.3168168168168171</v>
      </c>
      <c r="MP82" s="3">
        <f t="shared" si="49"/>
        <v>0</v>
      </c>
      <c r="MQ82" s="3">
        <f t="shared" si="49"/>
        <v>0</v>
      </c>
      <c r="MR82" s="3">
        <f t="shared" si="49"/>
        <v>1.2726382770435634</v>
      </c>
      <c r="MS82" s="3">
        <f t="shared" si="49"/>
        <v>0</v>
      </c>
      <c r="MT82" s="3">
        <f t="shared" si="49"/>
        <v>2.187948350071736</v>
      </c>
      <c r="MU82" s="3">
        <f t="shared" si="49"/>
        <v>4.0638055450056969</v>
      </c>
      <c r="MV82" s="3">
        <f t="shared" si="49"/>
        <v>1.7699115044247788</v>
      </c>
      <c r="MW82" s="3">
        <f t="shared" si="49"/>
        <v>6.5822002472187888</v>
      </c>
      <c r="MX82" s="3"/>
      <c r="MY82" s="3"/>
    </row>
    <row r="83" spans="1:363" x14ac:dyDescent="0.3">
      <c r="A83" s="3">
        <v>9</v>
      </c>
      <c r="B83" s="3">
        <f t="shared" si="33"/>
        <v>1.1494252873563218</v>
      </c>
      <c r="C83" s="3">
        <f t="shared" si="45"/>
        <v>0</v>
      </c>
      <c r="D83" s="3">
        <f t="shared" si="45"/>
        <v>0.21186440677966101</v>
      </c>
      <c r="E83" s="3">
        <f t="shared" si="45"/>
        <v>6.8807339449541285</v>
      </c>
      <c r="F83" s="3">
        <f t="shared" si="45"/>
        <v>0</v>
      </c>
      <c r="G83" s="3">
        <f t="shared" si="45"/>
        <v>2.1032504780114722</v>
      </c>
      <c r="H83" s="3">
        <f t="shared" si="45"/>
        <v>0</v>
      </c>
      <c r="I83" s="3">
        <f t="shared" si="45"/>
        <v>0</v>
      </c>
      <c r="J83" s="3">
        <f t="shared" si="45"/>
        <v>0</v>
      </c>
      <c r="K83" s="3">
        <f t="shared" si="45"/>
        <v>0</v>
      </c>
      <c r="L83" s="3">
        <f t="shared" si="45"/>
        <v>0</v>
      </c>
      <c r="M83" s="3">
        <f t="shared" si="45"/>
        <v>0</v>
      </c>
      <c r="N83" s="3">
        <f t="shared" si="45"/>
        <v>1.4678899082568808</v>
      </c>
      <c r="O83" s="3">
        <f t="shared" si="45"/>
        <v>1.0373443983402488</v>
      </c>
      <c r="P83" s="3">
        <f t="shared" si="45"/>
        <v>1.6569200779727096</v>
      </c>
      <c r="Q83" s="3">
        <f t="shared" si="45"/>
        <v>0</v>
      </c>
      <c r="R83" s="3">
        <f t="shared" si="45"/>
        <v>0.48355899419729209</v>
      </c>
      <c r="S83" s="3">
        <f t="shared" si="45"/>
        <v>3.0542986425339365</v>
      </c>
      <c r="T83" s="3">
        <f t="shared" si="45"/>
        <v>0</v>
      </c>
      <c r="U83" s="3">
        <f t="shared" si="45"/>
        <v>0</v>
      </c>
      <c r="V83" s="3">
        <f t="shared" si="45"/>
        <v>0</v>
      </c>
      <c r="W83" s="3">
        <f t="shared" si="45"/>
        <v>2.7777777777777777</v>
      </c>
      <c r="X83" s="3">
        <f t="shared" si="45"/>
        <v>0.77519379844961245</v>
      </c>
      <c r="Y83" s="3">
        <f t="shared" si="45"/>
        <v>8.695652173913043</v>
      </c>
      <c r="Z83" s="3">
        <f t="shared" si="45"/>
        <v>0.28490028490028491</v>
      </c>
      <c r="AA83" s="3">
        <f t="shared" si="45"/>
        <v>0.66152149944873206</v>
      </c>
      <c r="AB83" s="3">
        <f t="shared" si="45"/>
        <v>1.7241379310344827</v>
      </c>
      <c r="AC83" s="3">
        <f t="shared" si="45"/>
        <v>0.37537537537537535</v>
      </c>
      <c r="AD83" s="3">
        <f t="shared" si="45"/>
        <v>0.5997818974918212</v>
      </c>
      <c r="AE83" s="3">
        <f t="shared" si="45"/>
        <v>0</v>
      </c>
      <c r="AF83" s="3">
        <f t="shared" si="45"/>
        <v>0.46511627906976744</v>
      </c>
      <c r="AG83" s="3">
        <f t="shared" si="45"/>
        <v>3.9814814814814818</v>
      </c>
      <c r="AH83" s="3">
        <f t="shared" si="45"/>
        <v>1.0382513661202186</v>
      </c>
      <c r="AI83" s="3">
        <f t="shared" si="45"/>
        <v>5.6273062730627306</v>
      </c>
      <c r="AJ83" s="3">
        <f t="shared" si="45"/>
        <v>0.64870259481037917</v>
      </c>
      <c r="AK83" s="3">
        <f t="shared" si="45"/>
        <v>6.5853658536585371</v>
      </c>
      <c r="AL83" s="3">
        <f t="shared" si="45"/>
        <v>0</v>
      </c>
      <c r="AM83" s="3">
        <f t="shared" si="45"/>
        <v>0</v>
      </c>
      <c r="AN83" s="3">
        <f t="shared" si="45"/>
        <v>3.1539888682745829</v>
      </c>
      <c r="AO83" s="3">
        <f t="shared" si="45"/>
        <v>0</v>
      </c>
      <c r="AP83" s="3">
        <f t="shared" si="45"/>
        <v>0.43795620437956206</v>
      </c>
      <c r="AQ83" s="3">
        <f t="shared" si="45"/>
        <v>0</v>
      </c>
      <c r="AR83" s="3">
        <f t="shared" si="45"/>
        <v>0</v>
      </c>
      <c r="AS83" s="3">
        <f t="shared" si="45"/>
        <v>0</v>
      </c>
      <c r="AT83" s="3">
        <f t="shared" si="45"/>
        <v>0</v>
      </c>
      <c r="AU83" s="3">
        <f t="shared" si="45"/>
        <v>0</v>
      </c>
      <c r="AV83" s="3">
        <f t="shared" si="45"/>
        <v>0</v>
      </c>
      <c r="AW83" s="3">
        <f t="shared" si="45"/>
        <v>0</v>
      </c>
      <c r="AX83" s="3">
        <f t="shared" si="45"/>
        <v>0</v>
      </c>
      <c r="AY83" s="3">
        <f t="shared" si="45"/>
        <v>1.0288065843621399</v>
      </c>
      <c r="AZ83" s="3">
        <f t="shared" si="45"/>
        <v>2.5791324736225087</v>
      </c>
      <c r="BA83" s="3">
        <f t="shared" si="45"/>
        <v>0</v>
      </c>
      <c r="BB83" s="3">
        <f t="shared" si="45"/>
        <v>2.1460843373493974</v>
      </c>
      <c r="BC83" s="3">
        <f t="shared" si="45"/>
        <v>2.3480662983425415</v>
      </c>
      <c r="BD83" s="3">
        <f t="shared" si="45"/>
        <v>0</v>
      </c>
      <c r="BE83" s="3">
        <f t="shared" si="45"/>
        <v>0</v>
      </c>
      <c r="BF83" s="3">
        <f t="shared" si="45"/>
        <v>0</v>
      </c>
      <c r="BG83" s="3">
        <f t="shared" si="45"/>
        <v>0</v>
      </c>
      <c r="BH83" s="3">
        <f t="shared" si="45"/>
        <v>3.5440998791784133</v>
      </c>
      <c r="BI83" s="3">
        <f t="shared" si="45"/>
        <v>6.7180145485665381</v>
      </c>
      <c r="BJ83" s="3">
        <f t="shared" si="45"/>
        <v>0.38289725590299939</v>
      </c>
      <c r="BK83" s="3">
        <f t="shared" si="45"/>
        <v>4.1841004184100417</v>
      </c>
      <c r="BL83" s="3">
        <f t="shared" si="45"/>
        <v>0</v>
      </c>
      <c r="BM83" s="3">
        <f t="shared" si="45"/>
        <v>3.7272727272727271</v>
      </c>
      <c r="BN83" s="3">
        <f t="shared" si="45"/>
        <v>1.8992350303350041</v>
      </c>
      <c r="BO83" s="3">
        <f t="shared" si="43"/>
        <v>2.1195172210774214</v>
      </c>
      <c r="BP83" s="3">
        <f t="shared" si="43"/>
        <v>2.0337301587301586</v>
      </c>
      <c r="BQ83" s="3">
        <f t="shared" si="43"/>
        <v>0</v>
      </c>
      <c r="BR83" s="3">
        <f t="shared" si="43"/>
        <v>2.2247360482654601</v>
      </c>
      <c r="BS83" s="3">
        <f t="shared" si="43"/>
        <v>5.0713153724247224</v>
      </c>
      <c r="BT83" s="3">
        <f t="shared" si="43"/>
        <v>2.4208009563658099</v>
      </c>
      <c r="BU83" s="3">
        <f t="shared" si="43"/>
        <v>6.108989934050677</v>
      </c>
      <c r="BV83" s="3">
        <f t="shared" si="43"/>
        <v>1.3297872340425532</v>
      </c>
      <c r="BW83" s="3">
        <f t="shared" si="43"/>
        <v>0</v>
      </c>
      <c r="BX83" s="3">
        <f t="shared" si="43"/>
        <v>1.2254901960784315</v>
      </c>
      <c r="BY83" s="3">
        <f t="shared" si="43"/>
        <v>2.358490566037736</v>
      </c>
      <c r="BZ83" s="3">
        <f t="shared" si="43"/>
        <v>0.16806722689075632</v>
      </c>
      <c r="CA83" s="3">
        <f t="shared" si="43"/>
        <v>4.562043795620438</v>
      </c>
      <c r="CB83" s="3">
        <f t="shared" si="43"/>
        <v>0</v>
      </c>
      <c r="CC83" s="3">
        <f t="shared" si="43"/>
        <v>0</v>
      </c>
      <c r="CD83" s="3">
        <f t="shared" si="43"/>
        <v>0</v>
      </c>
      <c r="CE83" s="3">
        <f t="shared" si="43"/>
        <v>0</v>
      </c>
      <c r="CF83" s="3">
        <f t="shared" si="43"/>
        <v>0</v>
      </c>
      <c r="CG83" s="3">
        <f t="shared" si="43"/>
        <v>0</v>
      </c>
      <c r="CH83" s="3">
        <f t="shared" si="43"/>
        <v>0.76804915514592931</v>
      </c>
      <c r="CI83" s="3">
        <f t="shared" si="43"/>
        <v>0</v>
      </c>
      <c r="CJ83" s="3">
        <f t="shared" si="43"/>
        <v>2.4324324324324325</v>
      </c>
      <c r="CK83" s="3">
        <f t="shared" si="43"/>
        <v>3.8502673796791447</v>
      </c>
      <c r="CL83" s="3">
        <f t="shared" si="43"/>
        <v>0</v>
      </c>
      <c r="CM83" s="3">
        <f t="shared" si="43"/>
        <v>0</v>
      </c>
      <c r="CN83" s="3">
        <f t="shared" si="43"/>
        <v>0</v>
      </c>
      <c r="CO83" s="3">
        <f t="shared" si="43"/>
        <v>0</v>
      </c>
      <c r="CP83" s="3">
        <f t="shared" si="43"/>
        <v>9.0334236675700091E-2</v>
      </c>
      <c r="CQ83" s="3">
        <f t="shared" si="43"/>
        <v>0</v>
      </c>
      <c r="CR83" s="3">
        <f t="shared" si="43"/>
        <v>2.2222222222222223</v>
      </c>
      <c r="CS83" s="3">
        <f t="shared" si="43"/>
        <v>5.6797020484171323</v>
      </c>
      <c r="CT83" s="3">
        <f t="shared" si="43"/>
        <v>0</v>
      </c>
      <c r="CU83" s="3">
        <f t="shared" si="43"/>
        <v>0</v>
      </c>
      <c r="CV83" s="3">
        <f t="shared" si="43"/>
        <v>0</v>
      </c>
      <c r="CW83" s="3">
        <f t="shared" si="43"/>
        <v>0</v>
      </c>
      <c r="CX83" s="3">
        <f t="shared" si="43"/>
        <v>0</v>
      </c>
      <c r="CY83" s="3">
        <f t="shared" si="43"/>
        <v>0</v>
      </c>
      <c r="CZ83" s="3">
        <f t="shared" si="43"/>
        <v>0</v>
      </c>
      <c r="DA83" s="3">
        <f t="shared" si="43"/>
        <v>0</v>
      </c>
      <c r="DB83" s="3">
        <f t="shared" si="43"/>
        <v>1.1111111111111112</v>
      </c>
      <c r="DC83" s="3">
        <f t="shared" si="43"/>
        <v>4.203013481363997</v>
      </c>
      <c r="DD83" s="3">
        <f t="shared" si="43"/>
        <v>0.8045977011494253</v>
      </c>
      <c r="DE83" s="3">
        <f t="shared" si="43"/>
        <v>8.6298258894776687</v>
      </c>
      <c r="DF83" s="3">
        <f t="shared" si="43"/>
        <v>0</v>
      </c>
      <c r="DG83" s="3">
        <f t="shared" si="43"/>
        <v>0.46875</v>
      </c>
      <c r="DH83" s="3">
        <f t="shared" si="43"/>
        <v>0</v>
      </c>
      <c r="DI83" s="3">
        <f t="shared" si="43"/>
        <v>0</v>
      </c>
      <c r="DJ83" s="3">
        <f t="shared" si="43"/>
        <v>0</v>
      </c>
      <c r="DK83" s="3">
        <f t="shared" si="43"/>
        <v>2.6232114467408585</v>
      </c>
      <c r="DL83" s="3">
        <f t="shared" si="43"/>
        <v>0</v>
      </c>
      <c r="DM83" s="3">
        <f t="shared" si="43"/>
        <v>0</v>
      </c>
      <c r="DN83" s="3">
        <f t="shared" si="43"/>
        <v>0</v>
      </c>
      <c r="DO83" s="3">
        <f t="shared" si="43"/>
        <v>0</v>
      </c>
      <c r="DP83" s="3">
        <f t="shared" si="43"/>
        <v>0</v>
      </c>
      <c r="DQ83" s="3">
        <f t="shared" si="43"/>
        <v>0</v>
      </c>
      <c r="DR83" s="3">
        <f t="shared" si="43"/>
        <v>0</v>
      </c>
      <c r="DS83" s="3">
        <f t="shared" si="43"/>
        <v>0</v>
      </c>
      <c r="DT83" s="3">
        <f t="shared" si="43"/>
        <v>1.5521064301552108</v>
      </c>
      <c r="DU83" s="3">
        <f t="shared" si="43"/>
        <v>1.8709995076317085</v>
      </c>
      <c r="DV83" s="3">
        <f t="shared" si="43"/>
        <v>0</v>
      </c>
      <c r="DW83" s="3">
        <f t="shared" si="43"/>
        <v>0</v>
      </c>
      <c r="DX83" s="3">
        <f t="shared" si="43"/>
        <v>0</v>
      </c>
      <c r="DY83" s="3">
        <f t="shared" si="43"/>
        <v>0</v>
      </c>
      <c r="DZ83" s="3">
        <f t="shared" si="40"/>
        <v>0.17551557700745943</v>
      </c>
      <c r="EA83" s="3">
        <f t="shared" ref="EA83:GL86" si="50">(EA20-EA$11)/EA$11*100</f>
        <v>3.6272321428571432</v>
      </c>
      <c r="EB83" s="3">
        <f t="shared" si="50"/>
        <v>3.8148148148148144</v>
      </c>
      <c r="EC83" s="3">
        <f t="shared" si="50"/>
        <v>6.3356164383561646</v>
      </c>
      <c r="ED83" s="3">
        <f t="shared" si="50"/>
        <v>2.268041237113402</v>
      </c>
      <c r="EE83" s="3">
        <f t="shared" si="50"/>
        <v>0</v>
      </c>
      <c r="EF83" s="3">
        <f t="shared" si="50"/>
        <v>3.0864197530864197</v>
      </c>
      <c r="EG83" s="3">
        <f t="shared" si="50"/>
        <v>2.3264401772525849</v>
      </c>
      <c r="EH83" s="3">
        <f t="shared" si="50"/>
        <v>1.8244315177154944</v>
      </c>
      <c r="EI83" s="3">
        <f t="shared" si="50"/>
        <v>0</v>
      </c>
      <c r="EJ83" s="3">
        <f t="shared" si="50"/>
        <v>0.99637681159420277</v>
      </c>
      <c r="EK83" s="3">
        <f t="shared" si="50"/>
        <v>2.7045300878972278</v>
      </c>
      <c r="EL83" s="3">
        <f t="shared" si="50"/>
        <v>1.5868263473053892</v>
      </c>
      <c r="EM83" s="3">
        <f t="shared" si="50"/>
        <v>8.7588210875882098</v>
      </c>
      <c r="EN83" s="3">
        <f t="shared" si="50"/>
        <v>1.4021164021164021</v>
      </c>
      <c r="EO83" s="3">
        <f t="shared" si="50"/>
        <v>7.0123939986953685</v>
      </c>
      <c r="EP83" s="3">
        <f t="shared" si="50"/>
        <v>2.083333333333333</v>
      </c>
      <c r="EQ83" s="3">
        <f t="shared" si="50"/>
        <v>0</v>
      </c>
      <c r="ER83" s="3">
        <f t="shared" si="50"/>
        <v>1.7391304347826086</v>
      </c>
      <c r="ES83" s="3">
        <f t="shared" si="50"/>
        <v>0</v>
      </c>
      <c r="ET83" s="3">
        <f t="shared" si="50"/>
        <v>1.2658227848101267</v>
      </c>
      <c r="EU83" s="3">
        <f t="shared" si="50"/>
        <v>1.7467248908296942</v>
      </c>
      <c r="EV83" s="3">
        <f t="shared" si="50"/>
        <v>0</v>
      </c>
      <c r="EW83" s="3">
        <f t="shared" si="50"/>
        <v>0</v>
      </c>
      <c r="EX83" s="3">
        <f t="shared" si="50"/>
        <v>0</v>
      </c>
      <c r="EY83" s="3">
        <f t="shared" si="50"/>
        <v>0</v>
      </c>
      <c r="EZ83" s="3">
        <f t="shared" si="50"/>
        <v>0</v>
      </c>
      <c r="FA83" s="3">
        <f t="shared" si="50"/>
        <v>0</v>
      </c>
      <c r="FB83" s="3">
        <f t="shared" si="50"/>
        <v>0</v>
      </c>
      <c r="FC83" s="3">
        <f t="shared" si="50"/>
        <v>3.070175438596491</v>
      </c>
      <c r="FD83" s="3">
        <f t="shared" si="50"/>
        <v>1.984126984126984</v>
      </c>
      <c r="FE83" s="3">
        <f t="shared" si="50"/>
        <v>0</v>
      </c>
      <c r="FF83" s="3">
        <f t="shared" si="50"/>
        <v>1.6379310344827587</v>
      </c>
      <c r="FG83" s="3">
        <f t="shared" si="50"/>
        <v>1.8621973929236499</v>
      </c>
      <c r="FH83" s="3">
        <f t="shared" si="50"/>
        <v>0</v>
      </c>
      <c r="FI83" s="3">
        <f t="shared" si="50"/>
        <v>0</v>
      </c>
      <c r="FJ83" s="3">
        <f t="shared" si="50"/>
        <v>0</v>
      </c>
      <c r="FK83" s="3">
        <f t="shared" si="50"/>
        <v>0</v>
      </c>
      <c r="FL83" s="3">
        <f t="shared" si="50"/>
        <v>1.6666666666666667</v>
      </c>
      <c r="FM83" s="3">
        <f t="shared" si="50"/>
        <v>3.2046014790468362</v>
      </c>
      <c r="FN83" s="3">
        <f t="shared" si="50"/>
        <v>0</v>
      </c>
      <c r="FO83" s="3">
        <f t="shared" si="50"/>
        <v>5.0373134328358207</v>
      </c>
      <c r="FP83" s="3">
        <f t="shared" si="50"/>
        <v>0</v>
      </c>
      <c r="FQ83" s="3">
        <f t="shared" si="50"/>
        <v>0.37821482602118006</v>
      </c>
      <c r="FR83" s="3">
        <f t="shared" si="50"/>
        <v>2.7272727272727271</v>
      </c>
      <c r="FS83" s="3">
        <f t="shared" si="50"/>
        <v>0</v>
      </c>
      <c r="FT83" s="3">
        <f t="shared" si="50"/>
        <v>1.6064257028112447</v>
      </c>
      <c r="FU83" s="3">
        <f t="shared" si="50"/>
        <v>4.6814044213263983</v>
      </c>
      <c r="FV83" s="3">
        <f t="shared" si="50"/>
        <v>1.4503816793893129</v>
      </c>
      <c r="FW83" s="3">
        <f t="shared" si="50"/>
        <v>5.4771784232365146</v>
      </c>
      <c r="FX83" s="3">
        <f t="shared" si="50"/>
        <v>1.6352201257861636</v>
      </c>
      <c r="FY83" s="3">
        <f t="shared" si="50"/>
        <v>7.2115384615384608</v>
      </c>
      <c r="FZ83" s="3">
        <f t="shared" si="50"/>
        <v>1.6304347826086956</v>
      </c>
      <c r="GA83" s="3">
        <f t="shared" si="50"/>
        <v>0</v>
      </c>
      <c r="GB83" s="3">
        <f t="shared" si="50"/>
        <v>1.6652059596844873</v>
      </c>
      <c r="GC83" s="3">
        <f t="shared" si="50"/>
        <v>4.3942992874109263</v>
      </c>
      <c r="GD83" s="3">
        <f t="shared" si="50"/>
        <v>0</v>
      </c>
      <c r="GE83" s="3">
        <f t="shared" si="50"/>
        <v>0</v>
      </c>
      <c r="GF83" s="3">
        <f t="shared" si="50"/>
        <v>0</v>
      </c>
      <c r="GG83" s="3">
        <f t="shared" si="50"/>
        <v>0</v>
      </c>
      <c r="GH83" s="3">
        <f t="shared" si="50"/>
        <v>0</v>
      </c>
      <c r="GI83" s="3">
        <f t="shared" si="50"/>
        <v>0</v>
      </c>
      <c r="GJ83" s="3">
        <f t="shared" si="50"/>
        <v>0</v>
      </c>
      <c r="GK83" s="3">
        <f t="shared" si="50"/>
        <v>0</v>
      </c>
      <c r="GL83" s="3">
        <f t="shared" si="50"/>
        <v>0.41806020066889632</v>
      </c>
      <c r="GM83" s="3">
        <f t="shared" si="47"/>
        <v>3.1758957654723128</v>
      </c>
      <c r="GN83" s="3">
        <f t="shared" si="47"/>
        <v>2.1983390327308254</v>
      </c>
      <c r="GO83" s="3">
        <f t="shared" si="41"/>
        <v>2.0175892395240558</v>
      </c>
      <c r="GP83" s="3">
        <f t="shared" ref="GP83:JA96" si="51">(GP20-GP$11)/GP$11*100</f>
        <v>0</v>
      </c>
      <c r="GQ83" s="3">
        <f t="shared" si="51"/>
        <v>0</v>
      </c>
      <c r="GR83" s="3">
        <f t="shared" si="51"/>
        <v>0</v>
      </c>
      <c r="GS83" s="3">
        <f t="shared" si="51"/>
        <v>0</v>
      </c>
      <c r="GT83" s="3">
        <f t="shared" si="51"/>
        <v>1.029082774049217</v>
      </c>
      <c r="GU83" s="3">
        <f t="shared" si="51"/>
        <v>0</v>
      </c>
      <c r="GV83" s="3">
        <f t="shared" si="51"/>
        <v>5.8460421205519246</v>
      </c>
      <c r="GW83" s="3">
        <f t="shared" si="51"/>
        <v>4.8036951501154741</v>
      </c>
      <c r="GX83" s="3">
        <f t="shared" si="51"/>
        <v>0.34246575342465752</v>
      </c>
      <c r="GY83" s="3">
        <f t="shared" si="51"/>
        <v>0</v>
      </c>
      <c r="GZ83" s="3">
        <f t="shared" si="51"/>
        <v>0</v>
      </c>
      <c r="HA83" s="3">
        <f t="shared" si="51"/>
        <v>0.98383696416022481</v>
      </c>
      <c r="HB83" s="3">
        <f t="shared" si="51"/>
        <v>1.4310246136233544</v>
      </c>
      <c r="HC83" s="3">
        <f t="shared" si="51"/>
        <v>0</v>
      </c>
      <c r="HD83" s="3">
        <f t="shared" si="51"/>
        <v>0.6467661691542288</v>
      </c>
      <c r="HE83" s="3">
        <f t="shared" si="51"/>
        <v>4.9427365883062082</v>
      </c>
      <c r="HF83" s="3">
        <f t="shared" si="51"/>
        <v>1.7776341305753069</v>
      </c>
      <c r="HG83" s="3">
        <f t="shared" si="51"/>
        <v>6.3192904656319282</v>
      </c>
      <c r="HH83" s="3">
        <f t="shared" si="51"/>
        <v>1.2963904422979156</v>
      </c>
      <c r="HI83" s="3">
        <f t="shared" si="51"/>
        <v>5.0122249388753062</v>
      </c>
      <c r="HJ83" s="3">
        <f t="shared" si="51"/>
        <v>1.3953488372093024</v>
      </c>
      <c r="HK83" s="3">
        <f t="shared" si="51"/>
        <v>0.8875739644970414</v>
      </c>
      <c r="HL83" s="3">
        <f t="shared" si="51"/>
        <v>1.7543859649122806</v>
      </c>
      <c r="HM83" s="3">
        <f t="shared" si="51"/>
        <v>0.36832412523020258</v>
      </c>
      <c r="HN83" s="3">
        <f t="shared" si="51"/>
        <v>2.2865853658536586</v>
      </c>
      <c r="HO83" s="3">
        <f t="shared" si="51"/>
        <v>0</v>
      </c>
      <c r="HP83" s="3">
        <f t="shared" si="51"/>
        <v>0</v>
      </c>
      <c r="HQ83" s="3">
        <f t="shared" si="51"/>
        <v>0</v>
      </c>
      <c r="HR83" s="3">
        <f t="shared" si="51"/>
        <v>0</v>
      </c>
      <c r="HS83" s="3">
        <f t="shared" si="51"/>
        <v>0</v>
      </c>
      <c r="HT83" s="3">
        <f t="shared" si="51"/>
        <v>0</v>
      </c>
      <c r="HU83" s="3">
        <f t="shared" si="51"/>
        <v>0</v>
      </c>
      <c r="HV83" s="3">
        <f t="shared" si="51"/>
        <v>0</v>
      </c>
      <c r="HW83" s="3">
        <f t="shared" si="51"/>
        <v>2</v>
      </c>
      <c r="HX83" s="3">
        <f t="shared" si="51"/>
        <v>2.147239263803681</v>
      </c>
      <c r="HY83" s="3">
        <f t="shared" si="51"/>
        <v>0</v>
      </c>
      <c r="HZ83" s="3">
        <f t="shared" si="51"/>
        <v>0.86956521739130432</v>
      </c>
      <c r="IA83" s="3">
        <f t="shared" si="51"/>
        <v>0</v>
      </c>
      <c r="IB83" s="3">
        <f t="shared" si="51"/>
        <v>0</v>
      </c>
      <c r="IC83" s="3">
        <f t="shared" si="51"/>
        <v>0</v>
      </c>
      <c r="ID83" s="3">
        <f t="shared" si="51"/>
        <v>0</v>
      </c>
      <c r="IE83" s="3">
        <f t="shared" si="51"/>
        <v>1.437125748502994</v>
      </c>
      <c r="IF83" s="3">
        <f t="shared" si="51"/>
        <v>2.1260997067448679</v>
      </c>
      <c r="IG83" s="3">
        <f t="shared" si="51"/>
        <v>3.296703296703297</v>
      </c>
      <c r="IH83" s="3">
        <f t="shared" si="51"/>
        <v>0</v>
      </c>
      <c r="II83" s="3">
        <f t="shared" si="51"/>
        <v>3.6257309941520468</v>
      </c>
      <c r="IJ83" s="3">
        <f t="shared" si="51"/>
        <v>0.55074744295830058</v>
      </c>
      <c r="IK83" s="3">
        <f t="shared" si="51"/>
        <v>3.1960227272727271</v>
      </c>
      <c r="IL83" s="3">
        <f t="shared" si="51"/>
        <v>0</v>
      </c>
      <c r="IM83" s="3">
        <f t="shared" si="51"/>
        <v>0</v>
      </c>
      <c r="IN83" s="3">
        <f t="shared" si="51"/>
        <v>0</v>
      </c>
      <c r="IO83" s="3">
        <f t="shared" si="51"/>
        <v>0</v>
      </c>
      <c r="IP83" s="3">
        <f t="shared" si="51"/>
        <v>1.887905604719764</v>
      </c>
      <c r="IQ83" s="3">
        <f t="shared" si="51"/>
        <v>8.2383873794916731</v>
      </c>
      <c r="IR83" s="3">
        <f t="shared" si="51"/>
        <v>0.75231481481481477</v>
      </c>
      <c r="IS83" s="3">
        <f t="shared" si="51"/>
        <v>10.266406757634828</v>
      </c>
      <c r="IT83" s="3">
        <f t="shared" si="51"/>
        <v>0</v>
      </c>
      <c r="IU83" s="3">
        <f t="shared" si="51"/>
        <v>1.7825311942959003</v>
      </c>
      <c r="IV83" s="3">
        <f t="shared" si="51"/>
        <v>2.2988505747126435</v>
      </c>
      <c r="IW83" s="3">
        <f t="shared" si="51"/>
        <v>0</v>
      </c>
      <c r="IX83" s="3">
        <f t="shared" si="51"/>
        <v>0.31948881789137379</v>
      </c>
      <c r="IY83" s="3">
        <f t="shared" si="51"/>
        <v>0</v>
      </c>
      <c r="IZ83" s="3">
        <f t="shared" si="51"/>
        <v>0</v>
      </c>
      <c r="JA83" s="3">
        <f t="shared" si="51"/>
        <v>0</v>
      </c>
      <c r="JB83" s="3">
        <f t="shared" si="48"/>
        <v>0</v>
      </c>
      <c r="JC83" s="3">
        <f t="shared" si="48"/>
        <v>0</v>
      </c>
      <c r="JD83" s="3">
        <f t="shared" si="48"/>
        <v>4.9529470034670627E-2</v>
      </c>
      <c r="JE83" s="3">
        <f t="shared" si="48"/>
        <v>0</v>
      </c>
      <c r="JF83" s="3">
        <f t="shared" si="48"/>
        <v>1.0416666666666665</v>
      </c>
      <c r="JG83" s="3">
        <f t="shared" si="48"/>
        <v>0</v>
      </c>
      <c r="JH83" s="3">
        <f t="shared" si="48"/>
        <v>0</v>
      </c>
      <c r="JI83" s="3">
        <f t="shared" si="48"/>
        <v>0</v>
      </c>
      <c r="JJ83" s="3">
        <f t="shared" si="48"/>
        <v>0</v>
      </c>
      <c r="JK83" s="3">
        <f t="shared" si="48"/>
        <v>0.17474879860200962</v>
      </c>
      <c r="JL83" s="3">
        <f t="shared" si="48"/>
        <v>0</v>
      </c>
      <c r="JM83" s="3">
        <f t="shared" si="48"/>
        <v>0</v>
      </c>
      <c r="JN83" s="3">
        <f t="shared" si="48"/>
        <v>0.1589825119236884</v>
      </c>
      <c r="JO83" s="3">
        <f t="shared" si="48"/>
        <v>2.5432349949135302</v>
      </c>
      <c r="JP83" s="3">
        <f t="shared" si="48"/>
        <v>5.0283553875236295</v>
      </c>
      <c r="JQ83" s="3">
        <f t="shared" si="48"/>
        <v>9.9107562235791455</v>
      </c>
      <c r="JR83" s="3">
        <f t="shared" si="48"/>
        <v>0</v>
      </c>
      <c r="JS83" s="3">
        <f t="shared" si="48"/>
        <v>3.05591677503251</v>
      </c>
      <c r="JT83" s="3">
        <f t="shared" si="48"/>
        <v>0.57961131946812139</v>
      </c>
      <c r="JU83" s="3">
        <f t="shared" si="48"/>
        <v>0</v>
      </c>
      <c r="JV83" s="3">
        <f t="shared" si="48"/>
        <v>2.3889898727603223</v>
      </c>
      <c r="JW83" s="3">
        <f t="shared" si="48"/>
        <v>0</v>
      </c>
      <c r="JX83" s="3">
        <f t="shared" si="48"/>
        <v>0.91324200913242004</v>
      </c>
      <c r="JY83" s="3">
        <f t="shared" si="48"/>
        <v>2.5641025641025639</v>
      </c>
      <c r="JZ83" s="3">
        <f t="shared" si="48"/>
        <v>1.2692050768203071</v>
      </c>
      <c r="KA83" s="3">
        <f t="shared" si="48"/>
        <v>5.5763473053892216</v>
      </c>
      <c r="KB83" s="3">
        <f t="shared" si="48"/>
        <v>2.9134295227524971</v>
      </c>
      <c r="KC83" s="3">
        <f t="shared" si="48"/>
        <v>5.3143227478937138</v>
      </c>
      <c r="KD83" s="3">
        <f t="shared" si="48"/>
        <v>0</v>
      </c>
      <c r="KE83" s="3">
        <f t="shared" si="48"/>
        <v>5.1428571428571423</v>
      </c>
      <c r="KF83" s="3">
        <f t="shared" si="48"/>
        <v>0</v>
      </c>
      <c r="KG83" s="3">
        <f t="shared" si="48"/>
        <v>4.7945205479452051</v>
      </c>
      <c r="KH83" s="3">
        <f t="shared" si="48"/>
        <v>0</v>
      </c>
      <c r="KI83" s="3">
        <f t="shared" si="48"/>
        <v>3.523489932885906</v>
      </c>
      <c r="KJ83" s="3">
        <f t="shared" si="48"/>
        <v>0</v>
      </c>
      <c r="KK83" s="3">
        <f t="shared" si="48"/>
        <v>0</v>
      </c>
      <c r="KL83" s="3">
        <f t="shared" si="48"/>
        <v>0</v>
      </c>
      <c r="KM83" s="3">
        <f t="shared" si="48"/>
        <v>0</v>
      </c>
      <c r="KN83" s="3">
        <f t="shared" si="48"/>
        <v>0</v>
      </c>
      <c r="KO83" s="3">
        <f t="shared" si="48"/>
        <v>0</v>
      </c>
      <c r="KP83" s="3">
        <f t="shared" si="48"/>
        <v>0</v>
      </c>
      <c r="KQ83" s="3">
        <f t="shared" si="48"/>
        <v>5.4545454545454541</v>
      </c>
      <c r="KR83" s="3">
        <f t="shared" si="48"/>
        <v>0.25510204081632654</v>
      </c>
      <c r="KS83" s="3">
        <f t="shared" si="48"/>
        <v>1.6797312430011198</v>
      </c>
      <c r="KT83" s="3">
        <f t="shared" si="48"/>
        <v>0</v>
      </c>
      <c r="KU83" s="3">
        <f t="shared" si="48"/>
        <v>0</v>
      </c>
      <c r="KV83" s="3">
        <f t="shared" si="48"/>
        <v>0</v>
      </c>
      <c r="KW83" s="3">
        <f t="shared" si="48"/>
        <v>0</v>
      </c>
      <c r="KX83" s="3">
        <f t="shared" si="48"/>
        <v>0</v>
      </c>
      <c r="KY83" s="3">
        <f t="shared" si="48"/>
        <v>0</v>
      </c>
      <c r="KZ83" s="3">
        <f t="shared" si="48"/>
        <v>1.9780219780219779</v>
      </c>
      <c r="LA83" s="3">
        <f t="shared" si="48"/>
        <v>7.799145299145299</v>
      </c>
      <c r="LB83" s="3">
        <f t="shared" si="48"/>
        <v>2.4096385542168677</v>
      </c>
      <c r="LC83" s="3">
        <f t="shared" si="48"/>
        <v>0</v>
      </c>
      <c r="LD83" s="3">
        <f t="shared" si="48"/>
        <v>0.32679738562091504</v>
      </c>
      <c r="LE83" s="3">
        <f t="shared" si="48"/>
        <v>0.25231286795626579</v>
      </c>
      <c r="LF83" s="3">
        <f t="shared" si="48"/>
        <v>0</v>
      </c>
      <c r="LG83" s="3">
        <f t="shared" si="48"/>
        <v>0</v>
      </c>
      <c r="LH83" s="3">
        <f t="shared" si="48"/>
        <v>0</v>
      </c>
      <c r="LI83" s="3">
        <f t="shared" si="48"/>
        <v>2.7878787878787876</v>
      </c>
      <c r="LJ83" s="3">
        <f t="shared" si="48"/>
        <v>1.9756838905775076</v>
      </c>
      <c r="LK83" s="3">
        <f t="shared" si="48"/>
        <v>3.6290322580645165</v>
      </c>
      <c r="LL83" s="3">
        <f t="shared" si="48"/>
        <v>1.835915088927137</v>
      </c>
      <c r="LM83" s="3">
        <f t="shared" ref="LM83:MW83" si="52">(LM20-LM$11)/LM$11*100</f>
        <v>5.9071729957805905</v>
      </c>
      <c r="LN83" s="3">
        <f t="shared" si="52"/>
        <v>0</v>
      </c>
      <c r="LO83" s="3">
        <f t="shared" si="52"/>
        <v>0</v>
      </c>
      <c r="LP83" s="3">
        <f t="shared" si="52"/>
        <v>3.3950617283950617</v>
      </c>
      <c r="LQ83" s="3">
        <f t="shared" si="52"/>
        <v>0</v>
      </c>
      <c r="LR83" s="3">
        <f t="shared" si="52"/>
        <v>1.3513513513513513</v>
      </c>
      <c r="LS83" s="3">
        <f t="shared" si="52"/>
        <v>3.1775700934579438</v>
      </c>
      <c r="LT83" s="3">
        <f t="shared" si="52"/>
        <v>0</v>
      </c>
      <c r="LU83" s="3">
        <f t="shared" si="52"/>
        <v>0</v>
      </c>
      <c r="LV83" s="3">
        <f t="shared" si="52"/>
        <v>0</v>
      </c>
      <c r="LW83" s="3">
        <f t="shared" si="52"/>
        <v>0</v>
      </c>
      <c r="LX83" s="3">
        <f t="shared" si="52"/>
        <v>0</v>
      </c>
      <c r="LY83" s="3">
        <f t="shared" si="52"/>
        <v>0</v>
      </c>
      <c r="LZ83" s="3">
        <f t="shared" si="52"/>
        <v>1.7746228926353149</v>
      </c>
      <c r="MA83" s="3">
        <f t="shared" si="52"/>
        <v>0</v>
      </c>
      <c r="MB83" s="3">
        <f t="shared" si="52"/>
        <v>1.8959649975692758</v>
      </c>
      <c r="MC83" s="3">
        <f t="shared" si="52"/>
        <v>0</v>
      </c>
      <c r="MD83" s="3">
        <f t="shared" si="52"/>
        <v>0.46511627906976744</v>
      </c>
      <c r="ME83" s="3">
        <f t="shared" si="52"/>
        <v>0</v>
      </c>
      <c r="MF83" s="3">
        <f t="shared" si="52"/>
        <v>0</v>
      </c>
      <c r="MG83" s="3">
        <f t="shared" si="52"/>
        <v>0</v>
      </c>
      <c r="MH83" s="3">
        <f t="shared" si="52"/>
        <v>1.9736842105263157</v>
      </c>
      <c r="MI83" s="3">
        <f t="shared" si="52"/>
        <v>0</v>
      </c>
      <c r="MJ83" s="3">
        <f t="shared" si="52"/>
        <v>4.9127080795777509</v>
      </c>
      <c r="MK83" s="3">
        <f t="shared" si="52"/>
        <v>2.9757243539545808</v>
      </c>
      <c r="ML83" s="3">
        <f t="shared" si="52"/>
        <v>1.3303769401330376</v>
      </c>
      <c r="MM83" s="3">
        <f t="shared" si="52"/>
        <v>0</v>
      </c>
      <c r="MN83" s="3">
        <f t="shared" si="52"/>
        <v>0.69906790945406128</v>
      </c>
      <c r="MO83" s="3">
        <f t="shared" si="52"/>
        <v>4.3543543543543537</v>
      </c>
      <c r="MP83" s="3">
        <f t="shared" si="52"/>
        <v>0</v>
      </c>
      <c r="MQ83" s="3">
        <f t="shared" si="52"/>
        <v>0</v>
      </c>
      <c r="MR83" s="3">
        <f t="shared" si="52"/>
        <v>1.2236906510034264</v>
      </c>
      <c r="MS83" s="3">
        <f t="shared" si="52"/>
        <v>0</v>
      </c>
      <c r="MT83" s="3">
        <f t="shared" si="52"/>
        <v>2.0086083213773311</v>
      </c>
      <c r="MU83" s="3">
        <f t="shared" si="52"/>
        <v>4.5575389289783521</v>
      </c>
      <c r="MV83" s="3">
        <f t="shared" si="52"/>
        <v>1.5096304008328996</v>
      </c>
      <c r="MW83" s="3">
        <f t="shared" si="52"/>
        <v>6.5822002472187888</v>
      </c>
      <c r="MX83" s="3"/>
      <c r="MY83" s="3"/>
    </row>
    <row r="84" spans="1:363" x14ac:dyDescent="0.3">
      <c r="A84" s="3">
        <v>10</v>
      </c>
      <c r="B84" s="3">
        <f t="shared" si="33"/>
        <v>1.1494252873563218</v>
      </c>
      <c r="C84" s="3">
        <f t="shared" si="45"/>
        <v>0</v>
      </c>
      <c r="D84" s="3">
        <f t="shared" si="45"/>
        <v>0.21186440677966101</v>
      </c>
      <c r="E84" s="3">
        <f t="shared" si="45"/>
        <v>6.8807339449541285</v>
      </c>
      <c r="F84" s="3">
        <f t="shared" si="45"/>
        <v>0</v>
      </c>
      <c r="G84" s="3">
        <f t="shared" si="45"/>
        <v>2.1032504780114722</v>
      </c>
      <c r="H84" s="3">
        <f t="shared" si="45"/>
        <v>0</v>
      </c>
      <c r="I84" s="3">
        <f t="shared" si="45"/>
        <v>0</v>
      </c>
      <c r="J84" s="3">
        <f t="shared" si="45"/>
        <v>0</v>
      </c>
      <c r="K84" s="3">
        <f t="shared" si="45"/>
        <v>0</v>
      </c>
      <c r="L84" s="3">
        <f t="shared" si="45"/>
        <v>0</v>
      </c>
      <c r="M84" s="3">
        <f t="shared" si="45"/>
        <v>0</v>
      </c>
      <c r="N84" s="3">
        <f t="shared" si="45"/>
        <v>1.4678899082568808</v>
      </c>
      <c r="O84" s="3">
        <f t="shared" si="45"/>
        <v>1.0373443983402488</v>
      </c>
      <c r="P84" s="3">
        <f t="shared" si="45"/>
        <v>1.6569200779727096</v>
      </c>
      <c r="Q84" s="3">
        <f t="shared" si="45"/>
        <v>0</v>
      </c>
      <c r="R84" s="3">
        <f t="shared" si="45"/>
        <v>0.58027079303675055</v>
      </c>
      <c r="S84" s="3">
        <f t="shared" si="45"/>
        <v>3.0542986425339365</v>
      </c>
      <c r="T84" s="3">
        <f t="shared" si="45"/>
        <v>0</v>
      </c>
      <c r="U84" s="3">
        <f t="shared" si="45"/>
        <v>0</v>
      </c>
      <c r="V84" s="3">
        <f t="shared" si="45"/>
        <v>0</v>
      </c>
      <c r="W84" s="3">
        <f t="shared" si="45"/>
        <v>2.7777777777777777</v>
      </c>
      <c r="X84" s="3">
        <f t="shared" si="45"/>
        <v>0.62015503875968991</v>
      </c>
      <c r="Y84" s="3">
        <f t="shared" si="45"/>
        <v>8.804347826086957</v>
      </c>
      <c r="Z84" s="3">
        <f t="shared" si="45"/>
        <v>0.28490028490028491</v>
      </c>
      <c r="AA84" s="3">
        <f t="shared" si="45"/>
        <v>0.66152149944873206</v>
      </c>
      <c r="AB84" s="3">
        <f t="shared" si="45"/>
        <v>1.5517241379310345</v>
      </c>
      <c r="AC84" s="3">
        <f t="shared" si="45"/>
        <v>1.0510510510510511</v>
      </c>
      <c r="AD84" s="3">
        <f t="shared" si="45"/>
        <v>0.32715376226826609</v>
      </c>
      <c r="AE84" s="3">
        <f t="shared" si="45"/>
        <v>0</v>
      </c>
      <c r="AF84" s="3">
        <f t="shared" si="45"/>
        <v>0.46511627906976744</v>
      </c>
      <c r="AG84" s="3">
        <f t="shared" si="45"/>
        <v>3.9814814814814818</v>
      </c>
      <c r="AH84" s="3">
        <f t="shared" si="45"/>
        <v>1.0928961748633881</v>
      </c>
      <c r="AI84" s="3">
        <f t="shared" si="45"/>
        <v>3.8745387453874542</v>
      </c>
      <c r="AJ84" s="3">
        <f t="shared" si="45"/>
        <v>0.5988023952095809</v>
      </c>
      <c r="AK84" s="3">
        <f t="shared" si="45"/>
        <v>6.3414634146341466</v>
      </c>
      <c r="AL84" s="3">
        <f t="shared" si="45"/>
        <v>0</v>
      </c>
      <c r="AM84" s="3">
        <f t="shared" si="45"/>
        <v>0</v>
      </c>
      <c r="AN84" s="3">
        <f t="shared" si="45"/>
        <v>2.7829313543599259</v>
      </c>
      <c r="AO84" s="3">
        <f t="shared" si="45"/>
        <v>0</v>
      </c>
      <c r="AP84" s="3">
        <f t="shared" si="45"/>
        <v>7.2992700729927001E-2</v>
      </c>
      <c r="AQ84" s="3">
        <f t="shared" si="45"/>
        <v>0</v>
      </c>
      <c r="AR84" s="3">
        <f t="shared" si="45"/>
        <v>0</v>
      </c>
      <c r="AS84" s="3">
        <f t="shared" si="45"/>
        <v>0</v>
      </c>
      <c r="AT84" s="3">
        <f t="shared" si="45"/>
        <v>0</v>
      </c>
      <c r="AU84" s="3">
        <f t="shared" si="45"/>
        <v>0</v>
      </c>
      <c r="AV84" s="3">
        <f t="shared" si="45"/>
        <v>0</v>
      </c>
      <c r="AW84" s="3">
        <f t="shared" si="45"/>
        <v>0</v>
      </c>
      <c r="AX84" s="3">
        <f t="shared" si="45"/>
        <v>0</v>
      </c>
      <c r="AY84" s="3">
        <f t="shared" si="45"/>
        <v>0.82304526748971196</v>
      </c>
      <c r="AZ84" s="3">
        <f t="shared" si="45"/>
        <v>2.6963657678780772</v>
      </c>
      <c r="BA84" s="3">
        <f t="shared" si="45"/>
        <v>0</v>
      </c>
      <c r="BB84" s="3">
        <f t="shared" si="45"/>
        <v>1.7695783132530123</v>
      </c>
      <c r="BC84" s="3">
        <f t="shared" si="45"/>
        <v>2.6703499079189688</v>
      </c>
      <c r="BD84" s="3">
        <f t="shared" si="45"/>
        <v>0</v>
      </c>
      <c r="BE84" s="3">
        <f t="shared" si="45"/>
        <v>0</v>
      </c>
      <c r="BF84" s="3">
        <f t="shared" si="45"/>
        <v>0</v>
      </c>
      <c r="BG84" s="3">
        <f t="shared" si="45"/>
        <v>0</v>
      </c>
      <c r="BH84" s="3">
        <f t="shared" si="45"/>
        <v>3.8260169150221506</v>
      </c>
      <c r="BI84" s="3">
        <f t="shared" si="45"/>
        <v>6.6324347454000856</v>
      </c>
      <c r="BJ84" s="3">
        <f t="shared" si="45"/>
        <v>0.38289725590299939</v>
      </c>
      <c r="BK84" s="3">
        <f t="shared" si="45"/>
        <v>3.7656903765690379</v>
      </c>
      <c r="BL84" s="3">
        <f t="shared" si="45"/>
        <v>0</v>
      </c>
      <c r="BM84" s="3">
        <f t="shared" si="45"/>
        <v>3.6363636363636362</v>
      </c>
      <c r="BN84" s="3">
        <f t="shared" ref="BN84:DY87" si="53">(BN21-BN$11)/BN$11*100</f>
        <v>2.0047480875758374</v>
      </c>
      <c r="BO84" s="3">
        <f t="shared" si="53"/>
        <v>2.1489549602590521</v>
      </c>
      <c r="BP84" s="3">
        <f t="shared" si="53"/>
        <v>2.1329365079365079</v>
      </c>
      <c r="BQ84" s="3">
        <f t="shared" si="53"/>
        <v>0</v>
      </c>
      <c r="BR84" s="3">
        <f t="shared" si="53"/>
        <v>2.5263951734539969</v>
      </c>
      <c r="BS84" s="3">
        <f t="shared" si="53"/>
        <v>6.0618066561014263</v>
      </c>
      <c r="BT84" s="3">
        <f t="shared" si="53"/>
        <v>2.7794381350866706</v>
      </c>
      <c r="BU84" s="3">
        <f t="shared" si="53"/>
        <v>6.0395695938910103</v>
      </c>
      <c r="BV84" s="3">
        <f t="shared" si="53"/>
        <v>1.3297872340425532</v>
      </c>
      <c r="BW84" s="3">
        <f t="shared" si="53"/>
        <v>0</v>
      </c>
      <c r="BX84" s="3">
        <f t="shared" si="53"/>
        <v>1.2254901960784315</v>
      </c>
      <c r="BY84" s="3">
        <f t="shared" si="53"/>
        <v>2.358490566037736</v>
      </c>
      <c r="BZ84" s="3">
        <f t="shared" si="53"/>
        <v>0.33613445378151263</v>
      </c>
      <c r="CA84" s="3">
        <f t="shared" si="53"/>
        <v>4.562043795620438</v>
      </c>
      <c r="CB84" s="3">
        <f t="shared" si="53"/>
        <v>0</v>
      </c>
      <c r="CC84" s="3">
        <f t="shared" si="53"/>
        <v>0</v>
      </c>
      <c r="CD84" s="3">
        <f t="shared" si="53"/>
        <v>0</v>
      </c>
      <c r="CE84" s="3">
        <f t="shared" si="53"/>
        <v>0</v>
      </c>
      <c r="CF84" s="3">
        <f t="shared" si="53"/>
        <v>0</v>
      </c>
      <c r="CG84" s="3">
        <f t="shared" si="53"/>
        <v>0</v>
      </c>
      <c r="CH84" s="3">
        <f t="shared" si="53"/>
        <v>0.92165898617511521</v>
      </c>
      <c r="CI84" s="3">
        <f t="shared" si="53"/>
        <v>0</v>
      </c>
      <c r="CJ84" s="3">
        <f t="shared" si="53"/>
        <v>2.4324324324324325</v>
      </c>
      <c r="CK84" s="3">
        <f t="shared" si="53"/>
        <v>3.8502673796791447</v>
      </c>
      <c r="CL84" s="3">
        <f t="shared" si="53"/>
        <v>0</v>
      </c>
      <c r="CM84" s="3">
        <f t="shared" si="53"/>
        <v>0</v>
      </c>
      <c r="CN84" s="3">
        <f t="shared" si="53"/>
        <v>0</v>
      </c>
      <c r="CO84" s="3">
        <f t="shared" si="53"/>
        <v>0</v>
      </c>
      <c r="CP84" s="3">
        <f t="shared" si="53"/>
        <v>0</v>
      </c>
      <c r="CQ84" s="3">
        <f t="shared" si="53"/>
        <v>0</v>
      </c>
      <c r="CR84" s="3">
        <f t="shared" si="53"/>
        <v>2.2939068100358422</v>
      </c>
      <c r="CS84" s="3">
        <f t="shared" si="53"/>
        <v>5.1210428305400377</v>
      </c>
      <c r="CT84" s="3">
        <f t="shared" si="53"/>
        <v>0</v>
      </c>
      <c r="CU84" s="3">
        <f t="shared" si="53"/>
        <v>0</v>
      </c>
      <c r="CV84" s="3">
        <f t="shared" si="53"/>
        <v>0</v>
      </c>
      <c r="CW84" s="3">
        <f t="shared" si="53"/>
        <v>0</v>
      </c>
      <c r="CX84" s="3">
        <f t="shared" si="53"/>
        <v>0</v>
      </c>
      <c r="CY84" s="3">
        <f t="shared" si="53"/>
        <v>0</v>
      </c>
      <c r="CZ84" s="3">
        <f t="shared" si="53"/>
        <v>0</v>
      </c>
      <c r="DA84" s="3">
        <f t="shared" si="53"/>
        <v>0</v>
      </c>
      <c r="DB84" s="3">
        <f t="shared" si="53"/>
        <v>1.1111111111111112</v>
      </c>
      <c r="DC84" s="3">
        <f t="shared" si="53"/>
        <v>5.5511498810467881</v>
      </c>
      <c r="DD84" s="3">
        <f t="shared" si="53"/>
        <v>0.86206896551724133</v>
      </c>
      <c r="DE84" s="3">
        <f t="shared" si="53"/>
        <v>7.4186222558667678</v>
      </c>
      <c r="DF84" s="3">
        <f t="shared" si="53"/>
        <v>0</v>
      </c>
      <c r="DG84" s="3">
        <f t="shared" si="53"/>
        <v>0.9375</v>
      </c>
      <c r="DH84" s="3">
        <f t="shared" si="53"/>
        <v>0</v>
      </c>
      <c r="DI84" s="3">
        <f t="shared" si="53"/>
        <v>0.45998160073597055</v>
      </c>
      <c r="DJ84" s="3">
        <f t="shared" si="53"/>
        <v>0</v>
      </c>
      <c r="DK84" s="3">
        <f t="shared" si="53"/>
        <v>2.8616852146263914</v>
      </c>
      <c r="DL84" s="3">
        <f t="shared" si="53"/>
        <v>0</v>
      </c>
      <c r="DM84" s="3">
        <f t="shared" si="53"/>
        <v>0</v>
      </c>
      <c r="DN84" s="3">
        <f t="shared" si="53"/>
        <v>0</v>
      </c>
      <c r="DO84" s="3">
        <f t="shared" si="53"/>
        <v>0</v>
      </c>
      <c r="DP84" s="3">
        <f t="shared" si="53"/>
        <v>0</v>
      </c>
      <c r="DQ84" s="3">
        <f t="shared" si="53"/>
        <v>0</v>
      </c>
      <c r="DR84" s="3">
        <f t="shared" si="53"/>
        <v>0</v>
      </c>
      <c r="DS84" s="3">
        <f t="shared" si="53"/>
        <v>0</v>
      </c>
      <c r="DT84" s="3">
        <f t="shared" si="53"/>
        <v>1.5521064301552108</v>
      </c>
      <c r="DU84" s="3">
        <f t="shared" si="53"/>
        <v>1.9202363367799113</v>
      </c>
      <c r="DV84" s="3">
        <f t="shared" si="53"/>
        <v>0</v>
      </c>
      <c r="DW84" s="3">
        <f t="shared" si="53"/>
        <v>0</v>
      </c>
      <c r="DX84" s="3">
        <f t="shared" si="53"/>
        <v>0</v>
      </c>
      <c r="DY84" s="3">
        <f t="shared" si="53"/>
        <v>0</v>
      </c>
      <c r="DZ84" s="3">
        <f t="shared" si="40"/>
        <v>4.3878894251864857E-2</v>
      </c>
      <c r="EA84" s="3">
        <f t="shared" si="50"/>
        <v>3.7388392857142856</v>
      </c>
      <c r="EB84" s="3">
        <f t="shared" si="50"/>
        <v>3.4074074074074074</v>
      </c>
      <c r="EC84" s="3">
        <f t="shared" si="50"/>
        <v>6.7208904109589049</v>
      </c>
      <c r="ED84" s="3">
        <f t="shared" si="50"/>
        <v>1.9931271477663228</v>
      </c>
      <c r="EE84" s="3">
        <f t="shared" si="50"/>
        <v>0</v>
      </c>
      <c r="EF84" s="3">
        <f t="shared" si="50"/>
        <v>2.7777777777777777</v>
      </c>
      <c r="EG84" s="3">
        <f t="shared" si="50"/>
        <v>2.6587887740029541</v>
      </c>
      <c r="EH84" s="3">
        <f t="shared" si="50"/>
        <v>1.9301956636700159</v>
      </c>
      <c r="EI84" s="3">
        <f t="shared" si="50"/>
        <v>0.64412238325281801</v>
      </c>
      <c r="EJ84" s="3">
        <f t="shared" si="50"/>
        <v>0.58876811594202905</v>
      </c>
      <c r="EK84" s="3">
        <f t="shared" si="50"/>
        <v>3.4482758620689653</v>
      </c>
      <c r="EL84" s="3">
        <f t="shared" si="50"/>
        <v>1.3173652694610778</v>
      </c>
      <c r="EM84" s="3">
        <f t="shared" si="50"/>
        <v>8.6757990867579906</v>
      </c>
      <c r="EN84" s="3">
        <f t="shared" si="50"/>
        <v>1.4021164021164021</v>
      </c>
      <c r="EO84" s="3">
        <f t="shared" si="50"/>
        <v>7.1754729288975856</v>
      </c>
      <c r="EP84" s="3">
        <f t="shared" si="50"/>
        <v>2.083333333333333</v>
      </c>
      <c r="EQ84" s="3">
        <f t="shared" si="50"/>
        <v>0</v>
      </c>
      <c r="ER84" s="3">
        <f t="shared" si="50"/>
        <v>1.7391304347826086</v>
      </c>
      <c r="ES84" s="3">
        <f t="shared" si="50"/>
        <v>0</v>
      </c>
      <c r="ET84" s="3">
        <f t="shared" si="50"/>
        <v>1.2658227848101267</v>
      </c>
      <c r="EU84" s="3">
        <f t="shared" si="50"/>
        <v>1.0189228529839884</v>
      </c>
      <c r="EV84" s="3">
        <f t="shared" si="50"/>
        <v>0</v>
      </c>
      <c r="EW84" s="3">
        <f t="shared" si="50"/>
        <v>0</v>
      </c>
      <c r="EX84" s="3">
        <f t="shared" si="50"/>
        <v>0</v>
      </c>
      <c r="EY84" s="3">
        <f t="shared" si="50"/>
        <v>0</v>
      </c>
      <c r="EZ84" s="3">
        <f t="shared" si="50"/>
        <v>0</v>
      </c>
      <c r="FA84" s="3">
        <f t="shared" si="50"/>
        <v>0</v>
      </c>
      <c r="FB84" s="3">
        <f t="shared" si="50"/>
        <v>0</v>
      </c>
      <c r="FC84" s="3">
        <f t="shared" si="50"/>
        <v>3.070175438596491</v>
      </c>
      <c r="FD84" s="3">
        <f t="shared" si="50"/>
        <v>2.1164021164021163</v>
      </c>
      <c r="FE84" s="3">
        <f t="shared" si="50"/>
        <v>0</v>
      </c>
      <c r="FF84" s="3">
        <f t="shared" si="50"/>
        <v>1.6379310344827587</v>
      </c>
      <c r="FG84" s="3">
        <f t="shared" si="50"/>
        <v>2.4208566108007448</v>
      </c>
      <c r="FH84" s="3">
        <f t="shared" si="50"/>
        <v>0</v>
      </c>
      <c r="FI84" s="3">
        <f t="shared" si="50"/>
        <v>0</v>
      </c>
      <c r="FJ84" s="3">
        <f t="shared" si="50"/>
        <v>0</v>
      </c>
      <c r="FK84" s="3">
        <f t="shared" si="50"/>
        <v>0</v>
      </c>
      <c r="FL84" s="3">
        <f t="shared" si="50"/>
        <v>1.5833333333333335</v>
      </c>
      <c r="FM84" s="3">
        <f t="shared" si="50"/>
        <v>2.1364009860312243</v>
      </c>
      <c r="FN84" s="3">
        <f t="shared" si="50"/>
        <v>0</v>
      </c>
      <c r="FO84" s="3">
        <f t="shared" si="50"/>
        <v>5.0373134328358207</v>
      </c>
      <c r="FP84" s="3">
        <f t="shared" si="50"/>
        <v>0</v>
      </c>
      <c r="FQ84" s="3">
        <f t="shared" si="50"/>
        <v>0.90771558245083206</v>
      </c>
      <c r="FR84" s="3">
        <f t="shared" si="50"/>
        <v>2.6704545454545454</v>
      </c>
      <c r="FS84" s="3">
        <f t="shared" si="50"/>
        <v>0</v>
      </c>
      <c r="FT84" s="3">
        <f t="shared" si="50"/>
        <v>1.3052208835341366</v>
      </c>
      <c r="FU84" s="3">
        <f t="shared" si="50"/>
        <v>4.6814044213263983</v>
      </c>
      <c r="FV84" s="3">
        <f t="shared" si="50"/>
        <v>1.6030534351145038</v>
      </c>
      <c r="FW84" s="3">
        <f t="shared" si="50"/>
        <v>5.6431535269709547</v>
      </c>
      <c r="FX84" s="3">
        <f t="shared" si="50"/>
        <v>1.7610062893081762</v>
      </c>
      <c r="FY84" s="3">
        <f t="shared" si="50"/>
        <v>7.6236263736263741</v>
      </c>
      <c r="FZ84" s="3">
        <f t="shared" si="50"/>
        <v>1.6304347826086956</v>
      </c>
      <c r="GA84" s="3">
        <f t="shared" si="50"/>
        <v>0</v>
      </c>
      <c r="GB84" s="3">
        <f t="shared" si="50"/>
        <v>1.9281332164767746</v>
      </c>
      <c r="GC84" s="3">
        <f t="shared" si="50"/>
        <v>3.5629453681710213</v>
      </c>
      <c r="GD84" s="3">
        <f t="shared" si="50"/>
        <v>0</v>
      </c>
      <c r="GE84" s="3">
        <f t="shared" si="50"/>
        <v>0</v>
      </c>
      <c r="GF84" s="3">
        <f t="shared" si="50"/>
        <v>0</v>
      </c>
      <c r="GG84" s="3">
        <f t="shared" si="50"/>
        <v>0</v>
      </c>
      <c r="GH84" s="3">
        <f t="shared" si="50"/>
        <v>0</v>
      </c>
      <c r="GI84" s="3">
        <f t="shared" si="50"/>
        <v>0</v>
      </c>
      <c r="GJ84" s="3">
        <f t="shared" si="50"/>
        <v>0</v>
      </c>
      <c r="GK84" s="3">
        <f t="shared" si="50"/>
        <v>0</v>
      </c>
      <c r="GL84" s="3">
        <f t="shared" si="50"/>
        <v>0.41806020066889632</v>
      </c>
      <c r="GM84" s="3">
        <f t="shared" si="47"/>
        <v>3.5016286644951142</v>
      </c>
      <c r="GN84" s="3">
        <f t="shared" si="47"/>
        <v>2.1983390327308254</v>
      </c>
      <c r="GO84" s="3">
        <f t="shared" ref="GO84:IZ96" si="54">(GO21-GO$11)/GO$11*100</f>
        <v>2.431453698913606</v>
      </c>
      <c r="GP84" s="3">
        <f t="shared" si="54"/>
        <v>0</v>
      </c>
      <c r="GQ84" s="3">
        <f t="shared" si="54"/>
        <v>0</v>
      </c>
      <c r="GR84" s="3">
        <f t="shared" si="54"/>
        <v>0</v>
      </c>
      <c r="GS84" s="3">
        <f t="shared" si="54"/>
        <v>0</v>
      </c>
      <c r="GT84" s="3">
        <f t="shared" si="54"/>
        <v>1.2527964205816555</v>
      </c>
      <c r="GU84" s="3">
        <f t="shared" si="54"/>
        <v>0</v>
      </c>
      <c r="GV84" s="3">
        <f t="shared" si="54"/>
        <v>5.8823529411764701</v>
      </c>
      <c r="GW84" s="3">
        <f t="shared" si="54"/>
        <v>5.7274826789838338</v>
      </c>
      <c r="GX84" s="3">
        <f t="shared" si="54"/>
        <v>5.7077625570776253E-2</v>
      </c>
      <c r="GY84" s="3">
        <f t="shared" si="54"/>
        <v>0</v>
      </c>
      <c r="GZ84" s="3">
        <f t="shared" si="54"/>
        <v>0</v>
      </c>
      <c r="HA84" s="3">
        <f t="shared" si="54"/>
        <v>1.1243851018973998</v>
      </c>
      <c r="HB84" s="3">
        <f t="shared" si="54"/>
        <v>1.6886090440755581</v>
      </c>
      <c r="HC84" s="3">
        <f t="shared" si="54"/>
        <v>0</v>
      </c>
      <c r="HD84" s="3">
        <f t="shared" si="54"/>
        <v>0.54726368159203986</v>
      </c>
      <c r="HE84" s="3">
        <f t="shared" si="54"/>
        <v>5.8468957203134417</v>
      </c>
      <c r="HF84" s="3">
        <f t="shared" si="54"/>
        <v>1.809954751131222</v>
      </c>
      <c r="HG84" s="3">
        <f t="shared" si="54"/>
        <v>6.0236511456023649</v>
      </c>
      <c r="HH84" s="3">
        <f t="shared" si="54"/>
        <v>1.2963904422979156</v>
      </c>
      <c r="HI84" s="3">
        <f t="shared" si="54"/>
        <v>4.4315403422982884</v>
      </c>
      <c r="HJ84" s="3">
        <f t="shared" si="54"/>
        <v>1.3953488372093024</v>
      </c>
      <c r="HK84" s="3">
        <f t="shared" si="54"/>
        <v>0.8875739644970414</v>
      </c>
      <c r="HL84" s="3">
        <f t="shared" si="54"/>
        <v>1.7543859649122806</v>
      </c>
      <c r="HM84" s="3">
        <f t="shared" si="54"/>
        <v>0</v>
      </c>
      <c r="HN84" s="3">
        <f t="shared" si="54"/>
        <v>2.2865853658536586</v>
      </c>
      <c r="HO84" s="3">
        <f t="shared" si="54"/>
        <v>0</v>
      </c>
      <c r="HP84" s="3">
        <f t="shared" si="54"/>
        <v>0</v>
      </c>
      <c r="HQ84" s="3">
        <f t="shared" si="54"/>
        <v>0</v>
      </c>
      <c r="HR84" s="3">
        <f t="shared" si="54"/>
        <v>0</v>
      </c>
      <c r="HS84" s="3">
        <f t="shared" si="54"/>
        <v>0</v>
      </c>
      <c r="HT84" s="3">
        <f t="shared" si="54"/>
        <v>0</v>
      </c>
      <c r="HU84" s="3">
        <f t="shared" si="54"/>
        <v>0</v>
      </c>
      <c r="HV84" s="3">
        <f t="shared" si="54"/>
        <v>0</v>
      </c>
      <c r="HW84" s="3">
        <f t="shared" si="54"/>
        <v>2</v>
      </c>
      <c r="HX84" s="3">
        <f t="shared" si="54"/>
        <v>2.147239263803681</v>
      </c>
      <c r="HY84" s="3">
        <f t="shared" si="54"/>
        <v>0</v>
      </c>
      <c r="HZ84" s="3">
        <f t="shared" si="54"/>
        <v>0.57971014492753625</v>
      </c>
      <c r="IA84" s="3">
        <f t="shared" si="54"/>
        <v>0</v>
      </c>
      <c r="IB84" s="3">
        <f t="shared" si="54"/>
        <v>0</v>
      </c>
      <c r="IC84" s="3">
        <f t="shared" si="54"/>
        <v>0</v>
      </c>
      <c r="ID84" s="3">
        <f t="shared" si="54"/>
        <v>0</v>
      </c>
      <c r="IE84" s="3">
        <f t="shared" si="54"/>
        <v>1.7964071856287425</v>
      </c>
      <c r="IF84" s="3">
        <f t="shared" si="54"/>
        <v>2.1260997067448679</v>
      </c>
      <c r="IG84" s="3">
        <f t="shared" si="54"/>
        <v>3.5714285714285712</v>
      </c>
      <c r="IH84" s="3">
        <f t="shared" si="54"/>
        <v>0</v>
      </c>
      <c r="II84" s="3">
        <f t="shared" si="54"/>
        <v>3.6257309941520468</v>
      </c>
      <c r="IJ84" s="3">
        <f t="shared" si="54"/>
        <v>0.55074744295830058</v>
      </c>
      <c r="IK84" s="3">
        <f t="shared" si="54"/>
        <v>2.4857954545454546</v>
      </c>
      <c r="IL84" s="3">
        <f t="shared" si="54"/>
        <v>0</v>
      </c>
      <c r="IM84" s="3">
        <f t="shared" si="54"/>
        <v>0</v>
      </c>
      <c r="IN84" s="3">
        <f t="shared" si="54"/>
        <v>0</v>
      </c>
      <c r="IO84" s="3">
        <f t="shared" si="54"/>
        <v>0</v>
      </c>
      <c r="IP84" s="3">
        <f t="shared" si="54"/>
        <v>2.1828908554572273</v>
      </c>
      <c r="IQ84" s="3">
        <f t="shared" si="54"/>
        <v>9.027169149868536</v>
      </c>
      <c r="IR84" s="3">
        <f t="shared" si="54"/>
        <v>0.81018518518518512</v>
      </c>
      <c r="IS84" s="3">
        <f t="shared" si="54"/>
        <v>9.4866796621182576</v>
      </c>
      <c r="IT84" s="3">
        <f t="shared" si="54"/>
        <v>0</v>
      </c>
      <c r="IU84" s="3">
        <f t="shared" si="54"/>
        <v>1.7825311942959003</v>
      </c>
      <c r="IV84" s="3">
        <f t="shared" si="54"/>
        <v>2.5287356321839081</v>
      </c>
      <c r="IW84" s="3">
        <f t="shared" si="54"/>
        <v>0</v>
      </c>
      <c r="IX84" s="3">
        <f t="shared" si="54"/>
        <v>0.31948881789137379</v>
      </c>
      <c r="IY84" s="3">
        <f t="shared" si="54"/>
        <v>0</v>
      </c>
      <c r="IZ84" s="3">
        <f t="shared" si="54"/>
        <v>0</v>
      </c>
      <c r="JA84" s="3">
        <f t="shared" si="51"/>
        <v>0</v>
      </c>
      <c r="JB84" s="3">
        <f t="shared" si="48"/>
        <v>0</v>
      </c>
      <c r="JC84" s="3">
        <f t="shared" si="48"/>
        <v>0</v>
      </c>
      <c r="JD84" s="3">
        <f t="shared" si="48"/>
        <v>0</v>
      </c>
      <c r="JE84" s="3">
        <f t="shared" si="48"/>
        <v>0</v>
      </c>
      <c r="JF84" s="3">
        <f t="shared" si="48"/>
        <v>1.2152777777777779</v>
      </c>
      <c r="JG84" s="3">
        <f t="shared" si="48"/>
        <v>0</v>
      </c>
      <c r="JH84" s="3">
        <f t="shared" si="48"/>
        <v>0</v>
      </c>
      <c r="JI84" s="3">
        <f t="shared" si="48"/>
        <v>0</v>
      </c>
      <c r="JJ84" s="3">
        <f t="shared" si="48"/>
        <v>0</v>
      </c>
      <c r="JK84" s="3">
        <f t="shared" si="48"/>
        <v>0.6116207951070336</v>
      </c>
      <c r="JL84" s="3">
        <f t="shared" si="48"/>
        <v>0</v>
      </c>
      <c r="JM84" s="3">
        <f t="shared" si="48"/>
        <v>0</v>
      </c>
      <c r="JN84" s="3">
        <f t="shared" si="48"/>
        <v>7.9491255961844198E-2</v>
      </c>
      <c r="JO84" s="3">
        <f t="shared" si="48"/>
        <v>1.5259409969481181</v>
      </c>
      <c r="JP84" s="3">
        <f t="shared" si="48"/>
        <v>4.7258979206049148</v>
      </c>
      <c r="JQ84" s="3">
        <f t="shared" si="48"/>
        <v>9.9107562235791455</v>
      </c>
      <c r="JR84" s="3">
        <f t="shared" si="48"/>
        <v>0</v>
      </c>
      <c r="JS84" s="3">
        <f t="shared" si="48"/>
        <v>3.4460338101430428</v>
      </c>
      <c r="JT84" s="3">
        <f t="shared" si="48"/>
        <v>0.71599045346062051</v>
      </c>
      <c r="JU84" s="3">
        <f t="shared" si="48"/>
        <v>0</v>
      </c>
      <c r="JV84" s="3">
        <f t="shared" si="48"/>
        <v>1.8956115294728644</v>
      </c>
      <c r="JW84" s="3">
        <f t="shared" si="48"/>
        <v>0</v>
      </c>
      <c r="JX84" s="3">
        <f t="shared" si="48"/>
        <v>1.0273972602739725</v>
      </c>
      <c r="JY84" s="3">
        <f t="shared" si="48"/>
        <v>1.1834319526627219</v>
      </c>
      <c r="JZ84" s="3">
        <f t="shared" si="48"/>
        <v>1.3026052104208417</v>
      </c>
      <c r="KA84" s="3">
        <f t="shared" si="48"/>
        <v>4.5658682634730541</v>
      </c>
      <c r="KB84" s="3">
        <f t="shared" si="48"/>
        <v>2.6914539400665927</v>
      </c>
      <c r="KC84" s="3">
        <f t="shared" si="48"/>
        <v>5.5411535968891767</v>
      </c>
      <c r="KD84" s="3">
        <f t="shared" si="48"/>
        <v>0</v>
      </c>
      <c r="KE84" s="3">
        <f t="shared" si="48"/>
        <v>5.1428571428571423</v>
      </c>
      <c r="KF84" s="3">
        <f t="shared" si="48"/>
        <v>0</v>
      </c>
      <c r="KG84" s="3">
        <f t="shared" si="48"/>
        <v>3.4246575342465753</v>
      </c>
      <c r="KH84" s="3">
        <f t="shared" si="48"/>
        <v>0</v>
      </c>
      <c r="KI84" s="3">
        <f t="shared" si="48"/>
        <v>5.0335570469798654</v>
      </c>
      <c r="KJ84" s="3">
        <f t="shared" si="48"/>
        <v>0</v>
      </c>
      <c r="KK84" s="3">
        <f t="shared" si="48"/>
        <v>0</v>
      </c>
      <c r="KL84" s="3">
        <f t="shared" si="48"/>
        <v>0</v>
      </c>
      <c r="KM84" s="3">
        <f t="shared" si="48"/>
        <v>0</v>
      </c>
      <c r="KN84" s="3">
        <f t="shared" si="48"/>
        <v>0</v>
      </c>
      <c r="KO84" s="3">
        <f t="shared" si="48"/>
        <v>0</v>
      </c>
      <c r="KP84" s="3">
        <f t="shared" si="48"/>
        <v>0</v>
      </c>
      <c r="KQ84" s="3">
        <f t="shared" si="48"/>
        <v>5.4545454545454541</v>
      </c>
      <c r="KR84" s="3">
        <f t="shared" si="48"/>
        <v>0.25510204081632654</v>
      </c>
      <c r="KS84" s="3">
        <f t="shared" si="48"/>
        <v>1.6797312430011198</v>
      </c>
      <c r="KT84" s="3">
        <f t="shared" si="48"/>
        <v>0</v>
      </c>
      <c r="KU84" s="3">
        <f t="shared" si="48"/>
        <v>0</v>
      </c>
      <c r="KV84" s="3">
        <f t="shared" si="48"/>
        <v>0</v>
      </c>
      <c r="KW84" s="3">
        <f t="shared" si="48"/>
        <v>0</v>
      </c>
      <c r="KX84" s="3">
        <f t="shared" si="48"/>
        <v>0</v>
      </c>
      <c r="KY84" s="3">
        <f t="shared" si="48"/>
        <v>0</v>
      </c>
      <c r="KZ84" s="3">
        <f t="shared" si="48"/>
        <v>2.197802197802198</v>
      </c>
      <c r="LA84" s="3">
        <f t="shared" si="48"/>
        <v>6.3034188034188032</v>
      </c>
      <c r="LB84" s="3">
        <f t="shared" si="48"/>
        <v>2.4096385542168677</v>
      </c>
      <c r="LC84" s="3">
        <f t="shared" si="48"/>
        <v>0</v>
      </c>
      <c r="LD84" s="3">
        <f t="shared" si="48"/>
        <v>0.19607843137254902</v>
      </c>
      <c r="LE84" s="3">
        <f t="shared" si="48"/>
        <v>0.50462573591253157</v>
      </c>
      <c r="LF84" s="3">
        <f t="shared" si="48"/>
        <v>0</v>
      </c>
      <c r="LG84" s="3">
        <f t="shared" si="48"/>
        <v>0</v>
      </c>
      <c r="LH84" s="3">
        <f t="shared" si="48"/>
        <v>0</v>
      </c>
      <c r="LI84" s="3">
        <f t="shared" si="48"/>
        <v>2.7878787878787876</v>
      </c>
      <c r="LJ84" s="3">
        <f t="shared" si="48"/>
        <v>1.8237082066869299</v>
      </c>
      <c r="LK84" s="3">
        <f t="shared" si="48"/>
        <v>3.6290322580645165</v>
      </c>
      <c r="LL84" s="3">
        <f t="shared" si="48"/>
        <v>1.7785427423981641</v>
      </c>
      <c r="LM84" s="3">
        <f t="shared" ref="LM84:MW84" si="55">(LM21-LM$11)/LM$11*100</f>
        <v>6.4496684749849305</v>
      </c>
      <c r="LN84" s="3">
        <f t="shared" si="55"/>
        <v>0</v>
      </c>
      <c r="LO84" s="3">
        <f t="shared" si="55"/>
        <v>0</v>
      </c>
      <c r="LP84" s="3">
        <f t="shared" si="55"/>
        <v>3.3950617283950617</v>
      </c>
      <c r="LQ84" s="3">
        <f t="shared" si="55"/>
        <v>0.40941658137154557</v>
      </c>
      <c r="LR84" s="3">
        <f t="shared" si="55"/>
        <v>1.3513513513513513</v>
      </c>
      <c r="LS84" s="3">
        <f t="shared" si="55"/>
        <v>4.4859813084112146</v>
      </c>
      <c r="LT84" s="3">
        <f t="shared" si="55"/>
        <v>0</v>
      </c>
      <c r="LU84" s="3">
        <f t="shared" si="55"/>
        <v>0</v>
      </c>
      <c r="LV84" s="3">
        <f t="shared" si="55"/>
        <v>0</v>
      </c>
      <c r="LW84" s="3">
        <f t="shared" si="55"/>
        <v>0</v>
      </c>
      <c r="LX84" s="3">
        <f t="shared" si="55"/>
        <v>0</v>
      </c>
      <c r="LY84" s="3">
        <f t="shared" si="55"/>
        <v>0</v>
      </c>
      <c r="LZ84" s="3">
        <f t="shared" si="55"/>
        <v>1.6858917480035491</v>
      </c>
      <c r="MA84" s="3">
        <f t="shared" si="55"/>
        <v>0</v>
      </c>
      <c r="MB84" s="3">
        <f t="shared" si="55"/>
        <v>1.8959649975692758</v>
      </c>
      <c r="MC84" s="3">
        <f t="shared" si="55"/>
        <v>0</v>
      </c>
      <c r="MD84" s="3">
        <f t="shared" si="55"/>
        <v>0.65116279069767447</v>
      </c>
      <c r="ME84" s="3">
        <f t="shared" si="55"/>
        <v>0</v>
      </c>
      <c r="MF84" s="3">
        <f t="shared" si="55"/>
        <v>0</v>
      </c>
      <c r="MG84" s="3">
        <f t="shared" si="55"/>
        <v>0</v>
      </c>
      <c r="MH84" s="3">
        <f t="shared" si="55"/>
        <v>1.9298245614035088</v>
      </c>
      <c r="MI84" s="3">
        <f t="shared" si="55"/>
        <v>0</v>
      </c>
      <c r="MJ84" s="3">
        <f t="shared" si="55"/>
        <v>4.8315062931384487</v>
      </c>
      <c r="MK84" s="3">
        <f t="shared" si="55"/>
        <v>3.2889584964761158</v>
      </c>
      <c r="ML84" s="3">
        <f t="shared" si="55"/>
        <v>1.662971175166297</v>
      </c>
      <c r="MM84" s="3">
        <f t="shared" si="55"/>
        <v>0</v>
      </c>
      <c r="MN84" s="3">
        <f t="shared" si="55"/>
        <v>0.49933422103861519</v>
      </c>
      <c r="MO84" s="3">
        <f t="shared" si="55"/>
        <v>3.9414414414414414</v>
      </c>
      <c r="MP84" s="3">
        <f t="shared" si="55"/>
        <v>0</v>
      </c>
      <c r="MQ84" s="3">
        <f t="shared" si="55"/>
        <v>0</v>
      </c>
      <c r="MR84" s="3">
        <f t="shared" si="55"/>
        <v>1.3705335291238374</v>
      </c>
      <c r="MS84" s="3">
        <f t="shared" si="55"/>
        <v>0</v>
      </c>
      <c r="MT84" s="3">
        <f t="shared" si="55"/>
        <v>2.2955523672883791</v>
      </c>
      <c r="MU84" s="3">
        <f t="shared" si="55"/>
        <v>5.317128750474744</v>
      </c>
      <c r="MV84" s="3">
        <f t="shared" si="55"/>
        <v>1.7699115044247788</v>
      </c>
      <c r="MW84" s="3">
        <f t="shared" si="55"/>
        <v>6.6749072929542645</v>
      </c>
      <c r="MX84" s="3"/>
      <c r="MY84" s="3"/>
    </row>
    <row r="85" spans="1:363" x14ac:dyDescent="0.3">
      <c r="A85" s="3">
        <v>11</v>
      </c>
      <c r="B85" s="3">
        <f t="shared" si="33"/>
        <v>1.1494252873563218</v>
      </c>
      <c r="C85" s="3">
        <f t="shared" ref="C85:BN88" si="56">(C22-C$11)/C$11*100</f>
        <v>0</v>
      </c>
      <c r="D85" s="3">
        <f t="shared" si="56"/>
        <v>0.21186440677966101</v>
      </c>
      <c r="E85" s="3">
        <f t="shared" si="56"/>
        <v>8.2568807339449553</v>
      </c>
      <c r="F85" s="3">
        <f t="shared" si="56"/>
        <v>0</v>
      </c>
      <c r="G85" s="3">
        <f t="shared" si="56"/>
        <v>2.1032504780114722</v>
      </c>
      <c r="H85" s="3">
        <f t="shared" si="56"/>
        <v>0</v>
      </c>
      <c r="I85" s="3">
        <f t="shared" si="56"/>
        <v>0</v>
      </c>
      <c r="J85" s="3">
        <f t="shared" si="56"/>
        <v>0</v>
      </c>
      <c r="K85" s="3">
        <f t="shared" si="56"/>
        <v>0</v>
      </c>
      <c r="L85" s="3">
        <f t="shared" si="56"/>
        <v>0</v>
      </c>
      <c r="M85" s="3">
        <f t="shared" si="56"/>
        <v>0</v>
      </c>
      <c r="N85" s="3">
        <f t="shared" si="56"/>
        <v>1.4678899082568808</v>
      </c>
      <c r="O85" s="3">
        <f t="shared" si="56"/>
        <v>1.0373443983402488</v>
      </c>
      <c r="P85" s="3">
        <f t="shared" si="56"/>
        <v>1.6569200779727096</v>
      </c>
      <c r="Q85" s="3">
        <f t="shared" si="56"/>
        <v>0</v>
      </c>
      <c r="R85" s="3">
        <f t="shared" si="56"/>
        <v>0.58027079303675055</v>
      </c>
      <c r="S85" s="3">
        <f t="shared" si="56"/>
        <v>3.2805429864253397</v>
      </c>
      <c r="T85" s="3">
        <f t="shared" si="56"/>
        <v>0</v>
      </c>
      <c r="U85" s="3">
        <f t="shared" si="56"/>
        <v>0</v>
      </c>
      <c r="V85" s="3">
        <f t="shared" si="56"/>
        <v>0</v>
      </c>
      <c r="W85" s="3">
        <f t="shared" si="56"/>
        <v>2.7777777777777777</v>
      </c>
      <c r="X85" s="3">
        <f t="shared" si="56"/>
        <v>0.38759689922480622</v>
      </c>
      <c r="Y85" s="3">
        <f t="shared" si="56"/>
        <v>9.2391304347826075</v>
      </c>
      <c r="Z85" s="3">
        <f t="shared" si="56"/>
        <v>0.47483380816714149</v>
      </c>
      <c r="AA85" s="3">
        <f t="shared" si="56"/>
        <v>0.66152149944873206</v>
      </c>
      <c r="AB85" s="3">
        <f t="shared" si="56"/>
        <v>1.5517241379310345</v>
      </c>
      <c r="AC85" s="3">
        <f t="shared" si="56"/>
        <v>1.2012012012012012</v>
      </c>
      <c r="AD85" s="3">
        <f t="shared" si="56"/>
        <v>0.38167938931297707</v>
      </c>
      <c r="AE85" s="3">
        <f t="shared" si="56"/>
        <v>0</v>
      </c>
      <c r="AF85" s="3">
        <f t="shared" si="56"/>
        <v>0.46511627906976744</v>
      </c>
      <c r="AG85" s="3">
        <f t="shared" si="56"/>
        <v>3.9814814814814818</v>
      </c>
      <c r="AH85" s="3">
        <f t="shared" si="56"/>
        <v>1.3114754098360655</v>
      </c>
      <c r="AI85" s="3">
        <f t="shared" si="56"/>
        <v>4.7970479704797047</v>
      </c>
      <c r="AJ85" s="3">
        <f t="shared" si="56"/>
        <v>0.54890219560878251</v>
      </c>
      <c r="AK85" s="3">
        <f t="shared" si="56"/>
        <v>7.5609756097560972</v>
      </c>
      <c r="AL85" s="3">
        <f t="shared" si="56"/>
        <v>0</v>
      </c>
      <c r="AM85" s="3">
        <f t="shared" si="56"/>
        <v>0</v>
      </c>
      <c r="AN85" s="3">
        <f t="shared" si="56"/>
        <v>3.0612244897959182</v>
      </c>
      <c r="AO85" s="3">
        <f t="shared" si="56"/>
        <v>0</v>
      </c>
      <c r="AP85" s="3">
        <f t="shared" si="56"/>
        <v>0.21897810218978103</v>
      </c>
      <c r="AQ85" s="3">
        <f t="shared" si="56"/>
        <v>0</v>
      </c>
      <c r="AR85" s="3">
        <f t="shared" si="56"/>
        <v>0</v>
      </c>
      <c r="AS85" s="3">
        <f t="shared" si="56"/>
        <v>0</v>
      </c>
      <c r="AT85" s="3">
        <f t="shared" si="56"/>
        <v>0</v>
      </c>
      <c r="AU85" s="3">
        <f t="shared" si="56"/>
        <v>0</v>
      </c>
      <c r="AV85" s="3">
        <f t="shared" si="56"/>
        <v>0</v>
      </c>
      <c r="AW85" s="3">
        <f t="shared" si="56"/>
        <v>0</v>
      </c>
      <c r="AX85" s="3">
        <f t="shared" si="56"/>
        <v>0</v>
      </c>
      <c r="AY85" s="3">
        <f t="shared" si="56"/>
        <v>0.1371742112482853</v>
      </c>
      <c r="AZ85" s="3">
        <f t="shared" si="56"/>
        <v>2.6963657678780772</v>
      </c>
      <c r="BA85" s="3">
        <f t="shared" si="56"/>
        <v>0</v>
      </c>
      <c r="BB85" s="3">
        <f t="shared" si="56"/>
        <v>1.8825301204819278</v>
      </c>
      <c r="BC85" s="3">
        <f t="shared" si="56"/>
        <v>2.992633517495396</v>
      </c>
      <c r="BD85" s="3">
        <f t="shared" si="56"/>
        <v>0</v>
      </c>
      <c r="BE85" s="3">
        <f t="shared" si="56"/>
        <v>0</v>
      </c>
      <c r="BF85" s="3">
        <f t="shared" si="56"/>
        <v>3.9745627980922099E-2</v>
      </c>
      <c r="BG85" s="3">
        <f t="shared" si="56"/>
        <v>0.14720314033366044</v>
      </c>
      <c r="BH85" s="3">
        <f t="shared" si="56"/>
        <v>4.1079339508658874</v>
      </c>
      <c r="BI85" s="3">
        <f t="shared" si="56"/>
        <v>7.3170731707317067</v>
      </c>
      <c r="BJ85" s="3">
        <f t="shared" si="56"/>
        <v>0.44671346522016592</v>
      </c>
      <c r="BK85" s="3">
        <f t="shared" si="56"/>
        <v>3.5564853556485359</v>
      </c>
      <c r="BL85" s="3">
        <f t="shared" si="56"/>
        <v>0</v>
      </c>
      <c r="BM85" s="3">
        <f t="shared" si="56"/>
        <v>4.0909090909090908</v>
      </c>
      <c r="BN85" s="3">
        <f t="shared" si="56"/>
        <v>1.9783698232656293</v>
      </c>
      <c r="BO85" s="3">
        <f t="shared" si="53"/>
        <v>2.1783926994406828</v>
      </c>
      <c r="BP85" s="3">
        <f t="shared" si="53"/>
        <v>2.083333333333333</v>
      </c>
      <c r="BQ85" s="3">
        <f t="shared" si="53"/>
        <v>0</v>
      </c>
      <c r="BR85" s="3">
        <f t="shared" si="53"/>
        <v>2.1493212669683257</v>
      </c>
      <c r="BS85" s="3">
        <f t="shared" si="53"/>
        <v>4.8335974643423141</v>
      </c>
      <c r="BT85" s="3">
        <f t="shared" si="53"/>
        <v>2.6001195457262405</v>
      </c>
      <c r="BU85" s="3">
        <f t="shared" si="53"/>
        <v>6.004859423811177</v>
      </c>
      <c r="BV85" s="3">
        <f t="shared" si="53"/>
        <v>1.3297872340425532</v>
      </c>
      <c r="BW85" s="3">
        <f t="shared" si="53"/>
        <v>0</v>
      </c>
      <c r="BX85" s="3">
        <f t="shared" si="53"/>
        <v>1.2254901960784315</v>
      </c>
      <c r="BY85" s="3">
        <f t="shared" si="53"/>
        <v>2.358490566037736</v>
      </c>
      <c r="BZ85" s="3">
        <f t="shared" si="53"/>
        <v>0.50420168067226889</v>
      </c>
      <c r="CA85" s="3">
        <f t="shared" si="53"/>
        <v>4.562043795620438</v>
      </c>
      <c r="CB85" s="3">
        <f t="shared" si="53"/>
        <v>0</v>
      </c>
      <c r="CC85" s="3">
        <f t="shared" si="53"/>
        <v>0</v>
      </c>
      <c r="CD85" s="3">
        <f t="shared" si="53"/>
        <v>0</v>
      </c>
      <c r="CE85" s="3">
        <f t="shared" si="53"/>
        <v>0</v>
      </c>
      <c r="CF85" s="3">
        <f t="shared" si="53"/>
        <v>0</v>
      </c>
      <c r="CG85" s="3">
        <f t="shared" si="53"/>
        <v>0</v>
      </c>
      <c r="CH85" s="3">
        <f t="shared" si="53"/>
        <v>0.76804915514592931</v>
      </c>
      <c r="CI85" s="3">
        <f t="shared" si="53"/>
        <v>0</v>
      </c>
      <c r="CJ85" s="3">
        <f t="shared" si="53"/>
        <v>2.4324324324324325</v>
      </c>
      <c r="CK85" s="3">
        <f t="shared" si="53"/>
        <v>3.8502673796791447</v>
      </c>
      <c r="CL85" s="3">
        <f t="shared" si="53"/>
        <v>0</v>
      </c>
      <c r="CM85" s="3">
        <f t="shared" si="53"/>
        <v>0</v>
      </c>
      <c r="CN85" s="3">
        <f t="shared" si="53"/>
        <v>0</v>
      </c>
      <c r="CO85" s="3">
        <f t="shared" si="53"/>
        <v>0</v>
      </c>
      <c r="CP85" s="3">
        <f t="shared" si="53"/>
        <v>9.0334236675700091E-2</v>
      </c>
      <c r="CQ85" s="3">
        <f t="shared" si="53"/>
        <v>0</v>
      </c>
      <c r="CR85" s="3">
        <f t="shared" si="53"/>
        <v>2.0071684587813619</v>
      </c>
      <c r="CS85" s="3">
        <f t="shared" si="53"/>
        <v>6.4245810055865924</v>
      </c>
      <c r="CT85" s="3">
        <f t="shared" si="53"/>
        <v>0</v>
      </c>
      <c r="CU85" s="3">
        <f t="shared" si="53"/>
        <v>0</v>
      </c>
      <c r="CV85" s="3">
        <f t="shared" si="53"/>
        <v>0</v>
      </c>
      <c r="CW85" s="3">
        <f t="shared" si="53"/>
        <v>0</v>
      </c>
      <c r="CX85" s="3">
        <f t="shared" si="53"/>
        <v>0</v>
      </c>
      <c r="CY85" s="3">
        <f t="shared" si="53"/>
        <v>0</v>
      </c>
      <c r="CZ85" s="3">
        <f t="shared" si="53"/>
        <v>0</v>
      </c>
      <c r="DA85" s="3">
        <f t="shared" si="53"/>
        <v>0</v>
      </c>
      <c r="DB85" s="3">
        <f t="shared" si="53"/>
        <v>1.2962962962962963</v>
      </c>
      <c r="DC85" s="3">
        <f t="shared" si="53"/>
        <v>4.9167327517842985</v>
      </c>
      <c r="DD85" s="3">
        <f t="shared" si="53"/>
        <v>1.0344827586206897</v>
      </c>
      <c r="DE85" s="3">
        <f t="shared" si="53"/>
        <v>7.4186222558667678</v>
      </c>
      <c r="DF85" s="3">
        <f t="shared" si="53"/>
        <v>0</v>
      </c>
      <c r="DG85" s="3">
        <f t="shared" si="53"/>
        <v>0.46875</v>
      </c>
      <c r="DH85" s="3">
        <f t="shared" si="53"/>
        <v>0</v>
      </c>
      <c r="DI85" s="3">
        <f t="shared" si="53"/>
        <v>0</v>
      </c>
      <c r="DJ85" s="3">
        <f t="shared" si="53"/>
        <v>0</v>
      </c>
      <c r="DK85" s="3">
        <f t="shared" si="53"/>
        <v>2.4642289348171702</v>
      </c>
      <c r="DL85" s="3">
        <f t="shared" si="53"/>
        <v>0</v>
      </c>
      <c r="DM85" s="3">
        <f t="shared" si="53"/>
        <v>0</v>
      </c>
      <c r="DN85" s="3">
        <f t="shared" si="53"/>
        <v>0</v>
      </c>
      <c r="DO85" s="3">
        <f t="shared" si="53"/>
        <v>0</v>
      </c>
      <c r="DP85" s="3">
        <f t="shared" si="53"/>
        <v>0</v>
      </c>
      <c r="DQ85" s="3">
        <f t="shared" si="53"/>
        <v>0</v>
      </c>
      <c r="DR85" s="3">
        <f t="shared" si="53"/>
        <v>0</v>
      </c>
      <c r="DS85" s="3">
        <f t="shared" si="53"/>
        <v>0</v>
      </c>
      <c r="DT85" s="3">
        <f t="shared" si="53"/>
        <v>1.662971175166297</v>
      </c>
      <c r="DU85" s="3">
        <f t="shared" si="53"/>
        <v>1.9202363367799113</v>
      </c>
      <c r="DV85" s="3">
        <f t="shared" si="53"/>
        <v>0</v>
      </c>
      <c r="DW85" s="3">
        <f t="shared" si="53"/>
        <v>0</v>
      </c>
      <c r="DX85" s="3">
        <f t="shared" si="53"/>
        <v>0</v>
      </c>
      <c r="DY85" s="3">
        <f t="shared" si="53"/>
        <v>0</v>
      </c>
      <c r="DZ85" s="3">
        <f t="shared" si="40"/>
        <v>0</v>
      </c>
      <c r="EA85" s="3">
        <f t="shared" si="50"/>
        <v>3.1808035714285712</v>
      </c>
      <c r="EB85" s="3">
        <f t="shared" si="50"/>
        <v>3.1851851851851851</v>
      </c>
      <c r="EC85" s="3">
        <f t="shared" si="50"/>
        <v>6.5924657534246576</v>
      </c>
      <c r="ED85" s="3">
        <f t="shared" si="50"/>
        <v>2.0618556701030926</v>
      </c>
      <c r="EE85" s="3">
        <f t="shared" si="50"/>
        <v>0</v>
      </c>
      <c r="EF85" s="3">
        <f t="shared" si="50"/>
        <v>3.0521262002743481</v>
      </c>
      <c r="EG85" s="3">
        <f t="shared" si="50"/>
        <v>1.5140324963072378</v>
      </c>
      <c r="EH85" s="3">
        <f t="shared" si="50"/>
        <v>1.7451084082496033</v>
      </c>
      <c r="EI85" s="3">
        <f t="shared" si="50"/>
        <v>0.53676865271068175</v>
      </c>
      <c r="EJ85" s="3">
        <f t="shared" si="50"/>
        <v>1.0416666666666665</v>
      </c>
      <c r="EK85" s="3">
        <f t="shared" si="50"/>
        <v>4.1920216362407032</v>
      </c>
      <c r="EL85" s="3">
        <f t="shared" si="50"/>
        <v>1.5568862275449102</v>
      </c>
      <c r="EM85" s="3">
        <f t="shared" si="50"/>
        <v>9.2984640929846414</v>
      </c>
      <c r="EN85" s="3">
        <f t="shared" si="50"/>
        <v>1.6931216931216932</v>
      </c>
      <c r="EO85" s="3">
        <f t="shared" si="50"/>
        <v>6.6536203522504884</v>
      </c>
      <c r="EP85" s="3">
        <f t="shared" si="50"/>
        <v>2.083333333333333</v>
      </c>
      <c r="EQ85" s="3">
        <f t="shared" si="50"/>
        <v>0</v>
      </c>
      <c r="ER85" s="3">
        <f t="shared" si="50"/>
        <v>1.7391304347826086</v>
      </c>
      <c r="ES85" s="3">
        <f t="shared" si="50"/>
        <v>0</v>
      </c>
      <c r="ET85" s="3">
        <f t="shared" si="50"/>
        <v>1.2658227848101267</v>
      </c>
      <c r="EU85" s="3">
        <f t="shared" si="50"/>
        <v>1.1644832605531297</v>
      </c>
      <c r="EV85" s="3">
        <f t="shared" si="50"/>
        <v>0</v>
      </c>
      <c r="EW85" s="3">
        <f t="shared" si="50"/>
        <v>0</v>
      </c>
      <c r="EX85" s="3">
        <f t="shared" si="50"/>
        <v>0</v>
      </c>
      <c r="EY85" s="3">
        <f t="shared" si="50"/>
        <v>0</v>
      </c>
      <c r="EZ85" s="3">
        <f t="shared" si="50"/>
        <v>0</v>
      </c>
      <c r="FA85" s="3">
        <f t="shared" si="50"/>
        <v>0</v>
      </c>
      <c r="FB85" s="3">
        <f t="shared" si="50"/>
        <v>0</v>
      </c>
      <c r="FC85" s="3">
        <f t="shared" si="50"/>
        <v>3.070175438596491</v>
      </c>
      <c r="FD85" s="3">
        <f t="shared" si="50"/>
        <v>1.984126984126984</v>
      </c>
      <c r="FE85" s="3">
        <f t="shared" si="50"/>
        <v>0</v>
      </c>
      <c r="FF85" s="3">
        <f t="shared" si="50"/>
        <v>1.6379310344827587</v>
      </c>
      <c r="FG85" s="3">
        <f t="shared" si="50"/>
        <v>1.8621973929236499</v>
      </c>
      <c r="FH85" s="3">
        <f t="shared" si="50"/>
        <v>0</v>
      </c>
      <c r="FI85" s="3">
        <f t="shared" si="50"/>
        <v>0</v>
      </c>
      <c r="FJ85" s="3">
        <f t="shared" si="50"/>
        <v>0</v>
      </c>
      <c r="FK85" s="3">
        <f t="shared" si="50"/>
        <v>0</v>
      </c>
      <c r="FL85" s="3">
        <f t="shared" si="50"/>
        <v>1.7500000000000002</v>
      </c>
      <c r="FM85" s="3">
        <f t="shared" si="50"/>
        <v>3.2046014790468362</v>
      </c>
      <c r="FN85" s="3">
        <f t="shared" si="50"/>
        <v>0</v>
      </c>
      <c r="FO85" s="3">
        <f t="shared" si="50"/>
        <v>5.0373134328358207</v>
      </c>
      <c r="FP85" s="3">
        <f t="shared" si="50"/>
        <v>0</v>
      </c>
      <c r="FQ85" s="3">
        <f t="shared" si="50"/>
        <v>0.75642965204236012</v>
      </c>
      <c r="FR85" s="3">
        <f t="shared" si="50"/>
        <v>2.7272727272727271</v>
      </c>
      <c r="FS85" s="3">
        <f t="shared" si="50"/>
        <v>0</v>
      </c>
      <c r="FT85" s="3">
        <f t="shared" si="50"/>
        <v>1.8072289156626504</v>
      </c>
      <c r="FU85" s="3">
        <f t="shared" si="50"/>
        <v>4.6814044213263983</v>
      </c>
      <c r="FV85" s="3">
        <f t="shared" si="50"/>
        <v>1.6793893129770994</v>
      </c>
      <c r="FW85" s="3">
        <f t="shared" si="50"/>
        <v>5.394190871369295</v>
      </c>
      <c r="FX85" s="3">
        <f t="shared" si="50"/>
        <v>1.8238993710691824</v>
      </c>
      <c r="FY85" s="3">
        <f t="shared" si="50"/>
        <v>7.6236263736263741</v>
      </c>
      <c r="FZ85" s="3">
        <f t="shared" si="50"/>
        <v>1.6304347826086956</v>
      </c>
      <c r="GA85" s="3">
        <f t="shared" si="50"/>
        <v>0</v>
      </c>
      <c r="GB85" s="3">
        <f t="shared" si="50"/>
        <v>2.1034180543382996</v>
      </c>
      <c r="GC85" s="3">
        <f t="shared" si="50"/>
        <v>3.6817102137767219</v>
      </c>
      <c r="GD85" s="3">
        <f t="shared" si="50"/>
        <v>0</v>
      </c>
      <c r="GE85" s="3">
        <f t="shared" si="50"/>
        <v>0</v>
      </c>
      <c r="GF85" s="3">
        <f t="shared" si="50"/>
        <v>0</v>
      </c>
      <c r="GG85" s="3">
        <f t="shared" si="50"/>
        <v>0</v>
      </c>
      <c r="GH85" s="3">
        <f t="shared" si="50"/>
        <v>0</v>
      </c>
      <c r="GI85" s="3">
        <f t="shared" si="50"/>
        <v>0</v>
      </c>
      <c r="GJ85" s="3">
        <f t="shared" si="50"/>
        <v>0</v>
      </c>
      <c r="GK85" s="3">
        <f t="shared" si="50"/>
        <v>0</v>
      </c>
      <c r="GL85" s="3">
        <f t="shared" si="50"/>
        <v>0.50167224080267558</v>
      </c>
      <c r="GM85" s="3">
        <f t="shared" si="47"/>
        <v>3.4201954397394139</v>
      </c>
      <c r="GN85" s="3">
        <f t="shared" si="47"/>
        <v>2.0517830972154369</v>
      </c>
      <c r="GO85" s="3">
        <f t="shared" si="54"/>
        <v>2.586652871184687</v>
      </c>
      <c r="GP85" s="3">
        <f t="shared" si="54"/>
        <v>0</v>
      </c>
      <c r="GQ85" s="3">
        <f t="shared" si="54"/>
        <v>0</v>
      </c>
      <c r="GR85" s="3">
        <f t="shared" si="54"/>
        <v>0</v>
      </c>
      <c r="GS85" s="3">
        <f t="shared" si="54"/>
        <v>0</v>
      </c>
      <c r="GT85" s="3">
        <f t="shared" si="54"/>
        <v>0.9843400447427294</v>
      </c>
      <c r="GU85" s="3">
        <f t="shared" si="54"/>
        <v>0</v>
      </c>
      <c r="GV85" s="3">
        <f t="shared" si="54"/>
        <v>4.5025417574437183</v>
      </c>
      <c r="GW85" s="3">
        <f t="shared" si="54"/>
        <v>6.2817551963048501</v>
      </c>
      <c r="GX85" s="3">
        <f t="shared" si="54"/>
        <v>5.7077625570776253E-2</v>
      </c>
      <c r="GY85" s="3">
        <f t="shared" si="54"/>
        <v>0</v>
      </c>
      <c r="GZ85" s="3">
        <f t="shared" si="54"/>
        <v>0</v>
      </c>
      <c r="HA85" s="3">
        <f t="shared" si="54"/>
        <v>2.4244553759662684</v>
      </c>
      <c r="HB85" s="3">
        <f t="shared" si="54"/>
        <v>1.2879221522610189</v>
      </c>
      <c r="HC85" s="3">
        <f t="shared" si="54"/>
        <v>0</v>
      </c>
      <c r="HD85" s="3">
        <f t="shared" si="54"/>
        <v>0.6467661691542288</v>
      </c>
      <c r="HE85" s="3">
        <f t="shared" si="54"/>
        <v>5.3646775165762506</v>
      </c>
      <c r="HF85" s="3">
        <f t="shared" si="54"/>
        <v>1.8745959922430511</v>
      </c>
      <c r="HG85" s="3">
        <f t="shared" si="54"/>
        <v>5.4323725055432366</v>
      </c>
      <c r="HH85" s="3">
        <f t="shared" si="54"/>
        <v>1.2455516014234875</v>
      </c>
      <c r="HI85" s="3">
        <f t="shared" si="54"/>
        <v>5.2261613691931537</v>
      </c>
      <c r="HJ85" s="3">
        <f t="shared" si="54"/>
        <v>1.3953488372093024</v>
      </c>
      <c r="HK85" s="3">
        <f t="shared" si="54"/>
        <v>0.8875739644970414</v>
      </c>
      <c r="HL85" s="3">
        <f t="shared" si="54"/>
        <v>1.7543859649122806</v>
      </c>
      <c r="HM85" s="3">
        <f t="shared" si="54"/>
        <v>0</v>
      </c>
      <c r="HN85" s="3">
        <f t="shared" si="54"/>
        <v>2.2865853658536586</v>
      </c>
      <c r="HO85" s="3">
        <f t="shared" si="54"/>
        <v>0</v>
      </c>
      <c r="HP85" s="3">
        <f t="shared" si="54"/>
        <v>0</v>
      </c>
      <c r="HQ85" s="3">
        <f t="shared" si="54"/>
        <v>0</v>
      </c>
      <c r="HR85" s="3">
        <f t="shared" si="54"/>
        <v>0</v>
      </c>
      <c r="HS85" s="3">
        <f t="shared" si="54"/>
        <v>0</v>
      </c>
      <c r="HT85" s="3">
        <f t="shared" si="54"/>
        <v>0</v>
      </c>
      <c r="HU85" s="3">
        <f t="shared" si="54"/>
        <v>0</v>
      </c>
      <c r="HV85" s="3">
        <f t="shared" si="54"/>
        <v>0</v>
      </c>
      <c r="HW85" s="3">
        <f t="shared" si="54"/>
        <v>2</v>
      </c>
      <c r="HX85" s="3">
        <f t="shared" si="54"/>
        <v>2.147239263803681</v>
      </c>
      <c r="HY85" s="3">
        <f t="shared" si="54"/>
        <v>0</v>
      </c>
      <c r="HZ85" s="3">
        <f t="shared" si="54"/>
        <v>0.57971014492753625</v>
      </c>
      <c r="IA85" s="3">
        <f t="shared" si="54"/>
        <v>0</v>
      </c>
      <c r="IB85" s="3">
        <f t="shared" si="54"/>
        <v>0</v>
      </c>
      <c r="IC85" s="3">
        <f t="shared" si="54"/>
        <v>0</v>
      </c>
      <c r="ID85" s="3">
        <f t="shared" si="54"/>
        <v>0</v>
      </c>
      <c r="IE85" s="3">
        <f t="shared" si="54"/>
        <v>1.6766467065868262</v>
      </c>
      <c r="IF85" s="3">
        <f t="shared" si="54"/>
        <v>2.4193548387096775</v>
      </c>
      <c r="IG85" s="3">
        <f t="shared" si="54"/>
        <v>3.5714285714285712</v>
      </c>
      <c r="IH85" s="3">
        <f t="shared" si="54"/>
        <v>0</v>
      </c>
      <c r="II85" s="3">
        <f t="shared" si="54"/>
        <v>3.8596491228070176</v>
      </c>
      <c r="IJ85" s="3">
        <f t="shared" si="54"/>
        <v>0.70810385523210073</v>
      </c>
      <c r="IK85" s="3">
        <f t="shared" si="54"/>
        <v>2.9119318181818179</v>
      </c>
      <c r="IL85" s="3">
        <f t="shared" si="54"/>
        <v>0</v>
      </c>
      <c r="IM85" s="3">
        <f t="shared" si="54"/>
        <v>0</v>
      </c>
      <c r="IN85" s="3">
        <f t="shared" si="54"/>
        <v>0</v>
      </c>
      <c r="IO85" s="3">
        <f t="shared" si="54"/>
        <v>0</v>
      </c>
      <c r="IP85" s="3">
        <f t="shared" si="54"/>
        <v>2.1238938053097343</v>
      </c>
      <c r="IQ85" s="3">
        <f t="shared" si="54"/>
        <v>7.1866783523225246</v>
      </c>
      <c r="IR85" s="3">
        <f t="shared" si="54"/>
        <v>0.75231481481481477</v>
      </c>
      <c r="IS85" s="3">
        <f t="shared" si="54"/>
        <v>10.071474983755685</v>
      </c>
      <c r="IT85" s="3">
        <f t="shared" si="54"/>
        <v>0</v>
      </c>
      <c r="IU85" s="3">
        <f t="shared" si="54"/>
        <v>1.7825311942959003</v>
      </c>
      <c r="IV85" s="3">
        <f t="shared" si="54"/>
        <v>2.7586206896551726</v>
      </c>
      <c r="IW85" s="3">
        <f t="shared" si="54"/>
        <v>0</v>
      </c>
      <c r="IX85" s="3">
        <f t="shared" si="54"/>
        <v>0.47923322683706071</v>
      </c>
      <c r="IY85" s="3">
        <f t="shared" si="54"/>
        <v>0</v>
      </c>
      <c r="IZ85" s="3">
        <f t="shared" si="54"/>
        <v>0</v>
      </c>
      <c r="JA85" s="3">
        <f t="shared" si="51"/>
        <v>0</v>
      </c>
      <c r="JB85" s="3">
        <f t="shared" si="48"/>
        <v>0</v>
      </c>
      <c r="JC85" s="3">
        <f t="shared" si="48"/>
        <v>0</v>
      </c>
      <c r="JD85" s="3">
        <f t="shared" si="48"/>
        <v>0</v>
      </c>
      <c r="JE85" s="3">
        <f t="shared" si="48"/>
        <v>0</v>
      </c>
      <c r="JF85" s="3">
        <f t="shared" si="48"/>
        <v>1.0416666666666665</v>
      </c>
      <c r="JG85" s="3">
        <f t="shared" si="48"/>
        <v>0</v>
      </c>
      <c r="JH85" s="3">
        <f t="shared" si="48"/>
        <v>0</v>
      </c>
      <c r="JI85" s="3">
        <f t="shared" si="48"/>
        <v>0</v>
      </c>
      <c r="JJ85" s="3">
        <f t="shared" si="48"/>
        <v>0</v>
      </c>
      <c r="JK85" s="3">
        <f t="shared" si="48"/>
        <v>0.13106159895150721</v>
      </c>
      <c r="JL85" s="3">
        <f t="shared" si="48"/>
        <v>0</v>
      </c>
      <c r="JM85" s="3">
        <f t="shared" si="48"/>
        <v>0</v>
      </c>
      <c r="JN85" s="3">
        <f t="shared" si="48"/>
        <v>3.9745627980922099E-2</v>
      </c>
      <c r="JO85" s="3">
        <f t="shared" si="48"/>
        <v>1.4750762970498474</v>
      </c>
      <c r="JP85" s="3">
        <f t="shared" si="48"/>
        <v>4.688090737240076</v>
      </c>
      <c r="JQ85" s="3">
        <f t="shared" si="48"/>
        <v>9.3471113198684819</v>
      </c>
      <c r="JR85" s="3">
        <f t="shared" si="48"/>
        <v>0</v>
      </c>
      <c r="JS85" s="3">
        <f t="shared" si="48"/>
        <v>3.7061118335500653</v>
      </c>
      <c r="JT85" s="3">
        <f t="shared" si="48"/>
        <v>0.40913740197749743</v>
      </c>
      <c r="JU85" s="3">
        <f t="shared" si="48"/>
        <v>0</v>
      </c>
      <c r="JV85" s="3">
        <f t="shared" si="48"/>
        <v>2.129317060503765</v>
      </c>
      <c r="JW85" s="3">
        <f t="shared" si="48"/>
        <v>5.8479532163742694E-2</v>
      </c>
      <c r="JX85" s="3">
        <f t="shared" si="48"/>
        <v>1.0273972602739725</v>
      </c>
      <c r="JY85" s="3">
        <f t="shared" si="48"/>
        <v>2.4983563445101908</v>
      </c>
      <c r="JZ85" s="3">
        <f t="shared" si="48"/>
        <v>1.5364061456245823</v>
      </c>
      <c r="KA85" s="3">
        <f t="shared" si="48"/>
        <v>4.2664670658682642</v>
      </c>
      <c r="KB85" s="3">
        <f t="shared" si="48"/>
        <v>2.6914539400665927</v>
      </c>
      <c r="KC85" s="3">
        <f t="shared" si="48"/>
        <v>6.7401166558651973</v>
      </c>
      <c r="KD85" s="3">
        <f t="shared" si="48"/>
        <v>0</v>
      </c>
      <c r="KE85" s="3">
        <f t="shared" si="48"/>
        <v>5.1428571428571423</v>
      </c>
      <c r="KF85" s="3">
        <f t="shared" si="48"/>
        <v>0</v>
      </c>
      <c r="KG85" s="3">
        <f t="shared" si="48"/>
        <v>3.6529680365296802</v>
      </c>
      <c r="KH85" s="3">
        <f t="shared" si="48"/>
        <v>0.14792899408284024</v>
      </c>
      <c r="KI85" s="3">
        <f t="shared" si="48"/>
        <v>3.523489932885906</v>
      </c>
      <c r="KJ85" s="3">
        <f t="shared" si="48"/>
        <v>0</v>
      </c>
      <c r="KK85" s="3">
        <f t="shared" si="48"/>
        <v>0</v>
      </c>
      <c r="KL85" s="3">
        <f t="shared" si="48"/>
        <v>0</v>
      </c>
      <c r="KM85" s="3">
        <f t="shared" si="48"/>
        <v>0</v>
      </c>
      <c r="KN85" s="3">
        <f t="shared" si="48"/>
        <v>0</v>
      </c>
      <c r="KO85" s="3">
        <f t="shared" si="48"/>
        <v>0</v>
      </c>
      <c r="KP85" s="3">
        <f t="shared" si="48"/>
        <v>0</v>
      </c>
      <c r="KQ85" s="3">
        <f t="shared" si="48"/>
        <v>5.4545454545454541</v>
      </c>
      <c r="KR85" s="3">
        <f t="shared" si="48"/>
        <v>0.25510204081632654</v>
      </c>
      <c r="KS85" s="3">
        <f t="shared" si="48"/>
        <v>1.6797312430011198</v>
      </c>
      <c r="KT85" s="3">
        <f t="shared" si="48"/>
        <v>0</v>
      </c>
      <c r="KU85" s="3">
        <f t="shared" si="48"/>
        <v>0</v>
      </c>
      <c r="KV85" s="3">
        <f t="shared" si="48"/>
        <v>0</v>
      </c>
      <c r="KW85" s="3">
        <f t="shared" si="48"/>
        <v>0</v>
      </c>
      <c r="KX85" s="3">
        <f t="shared" si="48"/>
        <v>0</v>
      </c>
      <c r="KY85" s="3">
        <f t="shared" si="48"/>
        <v>0</v>
      </c>
      <c r="KZ85" s="3">
        <f t="shared" si="48"/>
        <v>2.3443223443223444</v>
      </c>
      <c r="LA85" s="3">
        <f t="shared" si="48"/>
        <v>7.0512820512820511</v>
      </c>
      <c r="LB85" s="3">
        <f t="shared" si="48"/>
        <v>2.4096385542168677</v>
      </c>
      <c r="LC85" s="3">
        <f t="shared" si="48"/>
        <v>0</v>
      </c>
      <c r="LD85" s="3">
        <f t="shared" si="48"/>
        <v>0.45751633986928109</v>
      </c>
      <c r="LE85" s="3">
        <f t="shared" si="48"/>
        <v>0.84104289318755254</v>
      </c>
      <c r="LF85" s="3">
        <f t="shared" si="48"/>
        <v>0</v>
      </c>
      <c r="LG85" s="3">
        <f t="shared" si="48"/>
        <v>0</v>
      </c>
      <c r="LH85" s="3">
        <f t="shared" si="48"/>
        <v>0</v>
      </c>
      <c r="LI85" s="3">
        <f t="shared" si="48"/>
        <v>2.7878787878787876</v>
      </c>
      <c r="LJ85" s="3">
        <f t="shared" si="48"/>
        <v>2.2036474164133737</v>
      </c>
      <c r="LK85" s="3">
        <f t="shared" si="48"/>
        <v>3.6290322580645165</v>
      </c>
      <c r="LL85" s="3">
        <f t="shared" si="48"/>
        <v>1.6064257028112447</v>
      </c>
      <c r="LM85" s="3">
        <f t="shared" ref="LM85:MW85" si="57">(LM22-LM$11)/LM$11*100</f>
        <v>5.5455093429776978</v>
      </c>
      <c r="LN85" s="3">
        <f t="shared" si="57"/>
        <v>0</v>
      </c>
      <c r="LO85" s="3">
        <f t="shared" si="57"/>
        <v>0</v>
      </c>
      <c r="LP85" s="3">
        <f t="shared" si="57"/>
        <v>3.189300411522634</v>
      </c>
      <c r="LQ85" s="3">
        <f t="shared" si="57"/>
        <v>0</v>
      </c>
      <c r="LR85" s="3">
        <f t="shared" si="57"/>
        <v>1.097972972972973</v>
      </c>
      <c r="LS85" s="3">
        <f t="shared" si="57"/>
        <v>3.8317757009345796</v>
      </c>
      <c r="LT85" s="3">
        <f t="shared" si="57"/>
        <v>0</v>
      </c>
      <c r="LU85" s="3">
        <f t="shared" si="57"/>
        <v>0</v>
      </c>
      <c r="LV85" s="3">
        <f t="shared" si="57"/>
        <v>0</v>
      </c>
      <c r="LW85" s="3">
        <f t="shared" si="57"/>
        <v>0</v>
      </c>
      <c r="LX85" s="3">
        <f t="shared" si="57"/>
        <v>0</v>
      </c>
      <c r="LY85" s="3">
        <f t="shared" si="57"/>
        <v>0</v>
      </c>
      <c r="LZ85" s="3">
        <f t="shared" si="57"/>
        <v>1.6858917480035491</v>
      </c>
      <c r="MA85" s="3">
        <f t="shared" si="57"/>
        <v>0</v>
      </c>
      <c r="MB85" s="3">
        <f t="shared" si="57"/>
        <v>2.3334953816237238</v>
      </c>
      <c r="MC85" s="3">
        <f t="shared" si="57"/>
        <v>0</v>
      </c>
      <c r="MD85" s="3">
        <f t="shared" si="57"/>
        <v>0.93023255813953487</v>
      </c>
      <c r="ME85" s="3">
        <f t="shared" si="57"/>
        <v>0</v>
      </c>
      <c r="MF85" s="3">
        <f t="shared" si="57"/>
        <v>0</v>
      </c>
      <c r="MG85" s="3">
        <f t="shared" si="57"/>
        <v>0</v>
      </c>
      <c r="MH85" s="3">
        <f t="shared" si="57"/>
        <v>2.0175438596491229</v>
      </c>
      <c r="MI85" s="3">
        <f t="shared" si="57"/>
        <v>0</v>
      </c>
      <c r="MJ85" s="3">
        <f t="shared" si="57"/>
        <v>4.8721071863580994</v>
      </c>
      <c r="MK85" s="3">
        <f t="shared" si="57"/>
        <v>3.2106499608457324</v>
      </c>
      <c r="ML85" s="3">
        <f t="shared" si="57"/>
        <v>1.6075388026607538</v>
      </c>
      <c r="MM85" s="3">
        <f t="shared" si="57"/>
        <v>0</v>
      </c>
      <c r="MN85" s="3">
        <f t="shared" si="57"/>
        <v>0.5992010652463382</v>
      </c>
      <c r="MO85" s="3">
        <f t="shared" si="57"/>
        <v>3.0780780780780779</v>
      </c>
      <c r="MP85" s="3">
        <f t="shared" si="57"/>
        <v>0</v>
      </c>
      <c r="MQ85" s="3">
        <f t="shared" si="57"/>
        <v>0</v>
      </c>
      <c r="MR85" s="3">
        <f t="shared" si="57"/>
        <v>1.3705335291238374</v>
      </c>
      <c r="MS85" s="3">
        <f t="shared" si="57"/>
        <v>0</v>
      </c>
      <c r="MT85" s="3">
        <f t="shared" si="57"/>
        <v>1.9727403156384504</v>
      </c>
      <c r="MU85" s="3">
        <f t="shared" si="57"/>
        <v>3.7599696164071403</v>
      </c>
      <c r="MV85" s="3">
        <f t="shared" si="57"/>
        <v>1.6397709526288391</v>
      </c>
      <c r="MW85" s="3">
        <f t="shared" si="57"/>
        <v>7.354758961681088</v>
      </c>
      <c r="MX85" s="3"/>
      <c r="MY85" s="3"/>
    </row>
    <row r="86" spans="1:363" x14ac:dyDescent="0.3">
      <c r="A86" s="3">
        <v>12</v>
      </c>
      <c r="B86" s="3">
        <f t="shared" si="33"/>
        <v>1.1494252873563218</v>
      </c>
      <c r="C86" s="3">
        <f t="shared" si="56"/>
        <v>0</v>
      </c>
      <c r="D86" s="3">
        <f t="shared" si="56"/>
        <v>0.21186440677966101</v>
      </c>
      <c r="E86" s="3">
        <f t="shared" si="56"/>
        <v>6.4220183486238538</v>
      </c>
      <c r="F86" s="3">
        <f t="shared" si="56"/>
        <v>0</v>
      </c>
      <c r="G86" s="3">
        <f t="shared" si="56"/>
        <v>2.1032504780114722</v>
      </c>
      <c r="H86" s="3">
        <f t="shared" si="56"/>
        <v>0</v>
      </c>
      <c r="I86" s="3">
        <f t="shared" si="56"/>
        <v>0</v>
      </c>
      <c r="J86" s="3">
        <f t="shared" si="56"/>
        <v>0</v>
      </c>
      <c r="K86" s="3">
        <f t="shared" si="56"/>
        <v>0</v>
      </c>
      <c r="L86" s="3">
        <f t="shared" si="56"/>
        <v>0</v>
      </c>
      <c r="M86" s="3">
        <f t="shared" si="56"/>
        <v>0</v>
      </c>
      <c r="N86" s="3">
        <f t="shared" si="56"/>
        <v>1.4678899082568808</v>
      </c>
      <c r="O86" s="3">
        <f t="shared" si="56"/>
        <v>1.0373443983402488</v>
      </c>
      <c r="P86" s="3">
        <f t="shared" si="56"/>
        <v>1.5594541910331383</v>
      </c>
      <c r="Q86" s="3">
        <f t="shared" si="56"/>
        <v>0</v>
      </c>
      <c r="R86" s="3">
        <f t="shared" si="56"/>
        <v>0.48355899419729209</v>
      </c>
      <c r="S86" s="3">
        <f t="shared" si="56"/>
        <v>2.8280542986425341</v>
      </c>
      <c r="T86" s="3">
        <f t="shared" si="56"/>
        <v>0</v>
      </c>
      <c r="U86" s="3">
        <f t="shared" si="56"/>
        <v>0</v>
      </c>
      <c r="V86" s="3">
        <f t="shared" si="56"/>
        <v>0</v>
      </c>
      <c r="W86" s="3">
        <f t="shared" si="56"/>
        <v>2.7777777777777777</v>
      </c>
      <c r="X86" s="3">
        <f t="shared" si="56"/>
        <v>0.31007751937984496</v>
      </c>
      <c r="Y86" s="3">
        <f t="shared" si="56"/>
        <v>9.0217391304347831</v>
      </c>
      <c r="Z86" s="3">
        <f t="shared" si="56"/>
        <v>0.28490028490028491</v>
      </c>
      <c r="AA86" s="3">
        <f t="shared" si="56"/>
        <v>0.66152149944873206</v>
      </c>
      <c r="AB86" s="3">
        <f t="shared" si="56"/>
        <v>1.6379310344827587</v>
      </c>
      <c r="AC86" s="3">
        <f t="shared" si="56"/>
        <v>1.2012012012012012</v>
      </c>
      <c r="AD86" s="3">
        <f t="shared" si="56"/>
        <v>0.49073064340239914</v>
      </c>
      <c r="AE86" s="3">
        <f t="shared" si="56"/>
        <v>0</v>
      </c>
      <c r="AF86" s="3">
        <f t="shared" si="56"/>
        <v>0.46511627906976744</v>
      </c>
      <c r="AG86" s="3">
        <f t="shared" si="56"/>
        <v>3.9814814814814818</v>
      </c>
      <c r="AH86" s="3">
        <f t="shared" si="56"/>
        <v>1.0382513661202186</v>
      </c>
      <c r="AI86" s="3">
        <f t="shared" si="56"/>
        <v>4.8892988929889292</v>
      </c>
      <c r="AJ86" s="3">
        <f t="shared" si="56"/>
        <v>0.64870259481037917</v>
      </c>
      <c r="AK86" s="3">
        <f t="shared" si="56"/>
        <v>7.1544715447154479</v>
      </c>
      <c r="AL86" s="3">
        <f t="shared" si="56"/>
        <v>0</v>
      </c>
      <c r="AM86" s="3">
        <f t="shared" si="56"/>
        <v>0</v>
      </c>
      <c r="AN86" s="3">
        <f t="shared" si="56"/>
        <v>2.7829313543599259</v>
      </c>
      <c r="AO86" s="3">
        <f t="shared" si="56"/>
        <v>0</v>
      </c>
      <c r="AP86" s="3">
        <f t="shared" si="56"/>
        <v>0.43795620437956206</v>
      </c>
      <c r="AQ86" s="3">
        <f t="shared" si="56"/>
        <v>0</v>
      </c>
      <c r="AR86" s="3">
        <f t="shared" si="56"/>
        <v>0</v>
      </c>
      <c r="AS86" s="3">
        <f t="shared" si="56"/>
        <v>0</v>
      </c>
      <c r="AT86" s="3">
        <f t="shared" si="56"/>
        <v>0</v>
      </c>
      <c r="AU86" s="3">
        <f t="shared" si="56"/>
        <v>0</v>
      </c>
      <c r="AV86" s="3">
        <f t="shared" si="56"/>
        <v>0</v>
      </c>
      <c r="AW86" s="3">
        <f t="shared" si="56"/>
        <v>0</v>
      </c>
      <c r="AX86" s="3">
        <f t="shared" si="56"/>
        <v>0</v>
      </c>
      <c r="AY86" s="3">
        <f t="shared" si="56"/>
        <v>1.3717421124828533</v>
      </c>
      <c r="AZ86" s="3">
        <f t="shared" si="56"/>
        <v>2.8722157092614302</v>
      </c>
      <c r="BA86" s="3">
        <f t="shared" si="56"/>
        <v>0</v>
      </c>
      <c r="BB86" s="3">
        <f t="shared" si="56"/>
        <v>1.5060240963855422</v>
      </c>
      <c r="BC86" s="3">
        <f t="shared" si="56"/>
        <v>1.979742173112339</v>
      </c>
      <c r="BD86" s="3">
        <f t="shared" si="56"/>
        <v>0</v>
      </c>
      <c r="BE86" s="3">
        <f t="shared" si="56"/>
        <v>0</v>
      </c>
      <c r="BF86" s="3">
        <f t="shared" si="56"/>
        <v>0</v>
      </c>
      <c r="BG86" s="3">
        <f t="shared" si="56"/>
        <v>0</v>
      </c>
      <c r="BH86" s="3">
        <f t="shared" si="56"/>
        <v>4.3495771244462338</v>
      </c>
      <c r="BI86" s="3">
        <f t="shared" si="56"/>
        <v>7.8733418913136495</v>
      </c>
      <c r="BJ86" s="3">
        <f t="shared" si="56"/>
        <v>0.57434588385449903</v>
      </c>
      <c r="BK86" s="3">
        <f t="shared" si="56"/>
        <v>4.3933054393305433</v>
      </c>
      <c r="BL86" s="3">
        <f t="shared" si="56"/>
        <v>0</v>
      </c>
      <c r="BM86" s="3">
        <f t="shared" si="56"/>
        <v>3.7727272727272729</v>
      </c>
      <c r="BN86" s="3">
        <f t="shared" si="56"/>
        <v>2.0311263518860456</v>
      </c>
      <c r="BO86" s="3">
        <f t="shared" si="53"/>
        <v>2.0900794818957906</v>
      </c>
      <c r="BP86" s="3">
        <f t="shared" si="53"/>
        <v>2.083333333333333</v>
      </c>
      <c r="BQ86" s="3">
        <f t="shared" si="53"/>
        <v>0</v>
      </c>
      <c r="BR86" s="3">
        <f t="shared" si="53"/>
        <v>2.4509803921568629</v>
      </c>
      <c r="BS86" s="3">
        <f t="shared" si="53"/>
        <v>6.1014263074484942</v>
      </c>
      <c r="BT86" s="3">
        <f t="shared" si="53"/>
        <v>2.630005977286312</v>
      </c>
      <c r="BU86" s="3">
        <f t="shared" si="53"/>
        <v>5.9701492537313428</v>
      </c>
      <c r="BV86" s="3">
        <f t="shared" si="53"/>
        <v>1.3297872340425532</v>
      </c>
      <c r="BW86" s="3">
        <f t="shared" si="53"/>
        <v>0</v>
      </c>
      <c r="BX86" s="3">
        <f t="shared" si="53"/>
        <v>1.2254901960784315</v>
      </c>
      <c r="BY86" s="3">
        <f t="shared" si="53"/>
        <v>2.358490566037736</v>
      </c>
      <c r="BZ86" s="3">
        <f t="shared" si="53"/>
        <v>0.33613445378151263</v>
      </c>
      <c r="CA86" s="3">
        <f t="shared" si="53"/>
        <v>4.562043795620438</v>
      </c>
      <c r="CB86" s="3">
        <f t="shared" si="53"/>
        <v>0</v>
      </c>
      <c r="CC86" s="3">
        <f t="shared" si="53"/>
        <v>0</v>
      </c>
      <c r="CD86" s="3">
        <f t="shared" si="53"/>
        <v>0</v>
      </c>
      <c r="CE86" s="3">
        <f t="shared" si="53"/>
        <v>0</v>
      </c>
      <c r="CF86" s="3">
        <f t="shared" si="53"/>
        <v>0</v>
      </c>
      <c r="CG86" s="3">
        <f t="shared" si="53"/>
        <v>0</v>
      </c>
      <c r="CH86" s="3">
        <f t="shared" si="53"/>
        <v>0.76804915514592931</v>
      </c>
      <c r="CI86" s="3">
        <f t="shared" si="53"/>
        <v>0</v>
      </c>
      <c r="CJ86" s="3">
        <f t="shared" si="53"/>
        <v>2.4324324324324325</v>
      </c>
      <c r="CK86" s="3">
        <f t="shared" si="53"/>
        <v>3.8502673796791447</v>
      </c>
      <c r="CL86" s="3">
        <f t="shared" si="53"/>
        <v>0</v>
      </c>
      <c r="CM86" s="3">
        <f t="shared" si="53"/>
        <v>0</v>
      </c>
      <c r="CN86" s="3">
        <f t="shared" si="53"/>
        <v>0</v>
      </c>
      <c r="CO86" s="3">
        <f t="shared" si="53"/>
        <v>0</v>
      </c>
      <c r="CP86" s="3">
        <f t="shared" si="53"/>
        <v>0</v>
      </c>
      <c r="CQ86" s="3">
        <f t="shared" si="53"/>
        <v>0</v>
      </c>
      <c r="CR86" s="3">
        <f t="shared" si="53"/>
        <v>2.1505376344086025</v>
      </c>
      <c r="CS86" s="3">
        <f t="shared" si="53"/>
        <v>5.027932960893855</v>
      </c>
      <c r="CT86" s="3">
        <f t="shared" si="53"/>
        <v>0</v>
      </c>
      <c r="CU86" s="3">
        <f t="shared" si="53"/>
        <v>0</v>
      </c>
      <c r="CV86" s="3">
        <f t="shared" si="53"/>
        <v>0</v>
      </c>
      <c r="CW86" s="3">
        <f t="shared" si="53"/>
        <v>0</v>
      </c>
      <c r="CX86" s="3">
        <f t="shared" si="53"/>
        <v>0</v>
      </c>
      <c r="CY86" s="3">
        <f t="shared" si="53"/>
        <v>0</v>
      </c>
      <c r="CZ86" s="3">
        <f t="shared" si="53"/>
        <v>0</v>
      </c>
      <c r="DA86" s="3">
        <f t="shared" si="53"/>
        <v>0</v>
      </c>
      <c r="DB86" s="3">
        <f t="shared" si="53"/>
        <v>1.3580246913580247</v>
      </c>
      <c r="DC86" s="3">
        <f t="shared" si="53"/>
        <v>4.203013481363997</v>
      </c>
      <c r="DD86" s="3">
        <f t="shared" si="53"/>
        <v>0.91954022988505746</v>
      </c>
      <c r="DE86" s="3">
        <f t="shared" si="53"/>
        <v>7.6457229371688111</v>
      </c>
      <c r="DF86" s="3">
        <f t="shared" si="53"/>
        <v>0</v>
      </c>
      <c r="DG86" s="3">
        <f t="shared" si="53"/>
        <v>0.625</v>
      </c>
      <c r="DH86" s="3">
        <f t="shared" si="53"/>
        <v>0</v>
      </c>
      <c r="DI86" s="3">
        <f t="shared" si="53"/>
        <v>0.91996320147194111</v>
      </c>
      <c r="DJ86" s="3">
        <f t="shared" si="53"/>
        <v>0</v>
      </c>
      <c r="DK86" s="3">
        <f t="shared" si="53"/>
        <v>3.1001589825119238</v>
      </c>
      <c r="DL86" s="3">
        <f t="shared" si="53"/>
        <v>0</v>
      </c>
      <c r="DM86" s="3">
        <f t="shared" si="53"/>
        <v>0</v>
      </c>
      <c r="DN86" s="3">
        <f t="shared" si="53"/>
        <v>0</v>
      </c>
      <c r="DO86" s="3">
        <f t="shared" si="53"/>
        <v>0</v>
      </c>
      <c r="DP86" s="3">
        <f t="shared" si="53"/>
        <v>0</v>
      </c>
      <c r="DQ86" s="3">
        <f t="shared" si="53"/>
        <v>0</v>
      </c>
      <c r="DR86" s="3">
        <f t="shared" si="53"/>
        <v>0</v>
      </c>
      <c r="DS86" s="3">
        <f t="shared" si="53"/>
        <v>0</v>
      </c>
      <c r="DT86" s="3">
        <f t="shared" si="53"/>
        <v>1.662971175166297</v>
      </c>
      <c r="DU86" s="3">
        <f t="shared" si="53"/>
        <v>1.5263417035942886</v>
      </c>
      <c r="DV86" s="3">
        <f t="shared" si="53"/>
        <v>0</v>
      </c>
      <c r="DW86" s="3">
        <f t="shared" si="53"/>
        <v>0</v>
      </c>
      <c r="DX86" s="3">
        <f t="shared" si="53"/>
        <v>0</v>
      </c>
      <c r="DY86" s="3">
        <f t="shared" si="53"/>
        <v>0</v>
      </c>
      <c r="DZ86" s="3">
        <f t="shared" si="40"/>
        <v>0.21939447125932429</v>
      </c>
      <c r="EA86" s="3">
        <f t="shared" si="50"/>
        <v>1.7299107142857144</v>
      </c>
      <c r="EB86" s="3">
        <f t="shared" si="50"/>
        <v>3.9629629629629632</v>
      </c>
      <c r="EC86" s="3">
        <f t="shared" si="50"/>
        <v>5.1797945205479454</v>
      </c>
      <c r="ED86" s="3">
        <f t="shared" si="50"/>
        <v>2.336769759450172</v>
      </c>
      <c r="EE86" s="3">
        <f t="shared" si="50"/>
        <v>0</v>
      </c>
      <c r="EF86" s="3">
        <f t="shared" si="50"/>
        <v>3.0864197530864197</v>
      </c>
      <c r="EG86" s="3">
        <f t="shared" si="50"/>
        <v>2.1048744460856721</v>
      </c>
      <c r="EH86" s="3">
        <f t="shared" si="50"/>
        <v>1.7979904812268643</v>
      </c>
      <c r="EI86" s="3">
        <f t="shared" si="50"/>
        <v>0</v>
      </c>
      <c r="EJ86" s="3">
        <f t="shared" si="50"/>
        <v>0.76992753623188415</v>
      </c>
      <c r="EK86" s="3">
        <f t="shared" si="50"/>
        <v>3.1102096010818121</v>
      </c>
      <c r="EL86" s="3">
        <f t="shared" si="50"/>
        <v>1.437125748502994</v>
      </c>
      <c r="EM86" s="3">
        <f t="shared" si="50"/>
        <v>8.3852220838522218</v>
      </c>
      <c r="EN86" s="3">
        <f t="shared" si="50"/>
        <v>1.4285714285714286</v>
      </c>
      <c r="EO86" s="3">
        <f t="shared" si="50"/>
        <v>7.5342465753424657</v>
      </c>
      <c r="EP86" s="3">
        <f t="shared" si="50"/>
        <v>2.083333333333333</v>
      </c>
      <c r="EQ86" s="3">
        <f t="shared" si="50"/>
        <v>0</v>
      </c>
      <c r="ER86" s="3">
        <f t="shared" si="50"/>
        <v>1.7391304347826086</v>
      </c>
      <c r="ES86" s="3">
        <f t="shared" si="50"/>
        <v>0</v>
      </c>
      <c r="ET86" s="3">
        <f t="shared" si="50"/>
        <v>1.2658227848101267</v>
      </c>
      <c r="EU86" s="3">
        <f t="shared" si="50"/>
        <v>1.0189228529839884</v>
      </c>
      <c r="EV86" s="3">
        <f t="shared" si="50"/>
        <v>0</v>
      </c>
      <c r="EW86" s="3">
        <f t="shared" si="50"/>
        <v>0</v>
      </c>
      <c r="EX86" s="3">
        <f t="shared" si="50"/>
        <v>0</v>
      </c>
      <c r="EY86" s="3">
        <f t="shared" si="50"/>
        <v>0</v>
      </c>
      <c r="EZ86" s="3">
        <f t="shared" si="50"/>
        <v>0</v>
      </c>
      <c r="FA86" s="3">
        <f t="shared" si="50"/>
        <v>0</v>
      </c>
      <c r="FB86" s="3">
        <f t="shared" si="50"/>
        <v>0</v>
      </c>
      <c r="FC86" s="3">
        <f t="shared" si="50"/>
        <v>3.070175438596491</v>
      </c>
      <c r="FD86" s="3">
        <f t="shared" si="50"/>
        <v>2.1164021164021163</v>
      </c>
      <c r="FE86" s="3">
        <f t="shared" si="50"/>
        <v>0</v>
      </c>
      <c r="FF86" s="3">
        <f t="shared" si="50"/>
        <v>1.6379310344827587</v>
      </c>
      <c r="FG86" s="3">
        <f t="shared" si="50"/>
        <v>2.2346368715083798</v>
      </c>
      <c r="FH86" s="3">
        <f t="shared" si="50"/>
        <v>0</v>
      </c>
      <c r="FI86" s="3">
        <f t="shared" si="50"/>
        <v>0</v>
      </c>
      <c r="FJ86" s="3">
        <f t="shared" si="50"/>
        <v>0</v>
      </c>
      <c r="FK86" s="3">
        <f t="shared" si="50"/>
        <v>0</v>
      </c>
      <c r="FL86" s="3">
        <f t="shared" si="50"/>
        <v>1.9166666666666665</v>
      </c>
      <c r="FM86" s="3">
        <f t="shared" si="50"/>
        <v>2.7115858668857848</v>
      </c>
      <c r="FN86" s="3">
        <f t="shared" si="50"/>
        <v>0</v>
      </c>
      <c r="FO86" s="3">
        <f t="shared" si="50"/>
        <v>5.0373134328358207</v>
      </c>
      <c r="FP86" s="3">
        <f t="shared" si="50"/>
        <v>0</v>
      </c>
      <c r="FQ86" s="3">
        <f t="shared" si="50"/>
        <v>0.30257186081694404</v>
      </c>
      <c r="FR86" s="3">
        <f t="shared" si="50"/>
        <v>2.7272727272727271</v>
      </c>
      <c r="FS86" s="3">
        <f t="shared" si="50"/>
        <v>0</v>
      </c>
      <c r="FT86" s="3">
        <f t="shared" si="50"/>
        <v>1.6064257028112447</v>
      </c>
      <c r="FU86" s="3">
        <f t="shared" si="50"/>
        <v>4.6814044213263983</v>
      </c>
      <c r="FV86" s="3">
        <f t="shared" si="50"/>
        <v>1.8320610687022902</v>
      </c>
      <c r="FW86" s="3">
        <f t="shared" si="50"/>
        <v>5.8921161825726136</v>
      </c>
      <c r="FX86" s="3">
        <f t="shared" si="50"/>
        <v>1.8867924528301887</v>
      </c>
      <c r="FY86" s="3">
        <f t="shared" si="50"/>
        <v>8.9285714285714288</v>
      </c>
      <c r="FZ86" s="3">
        <f t="shared" si="50"/>
        <v>1.6304347826086956</v>
      </c>
      <c r="GA86" s="3">
        <f t="shared" si="50"/>
        <v>0</v>
      </c>
      <c r="GB86" s="3">
        <f t="shared" si="50"/>
        <v>2.0157756354075373</v>
      </c>
      <c r="GC86" s="3">
        <f t="shared" si="50"/>
        <v>3.0878859857482186</v>
      </c>
      <c r="GD86" s="3">
        <f t="shared" si="50"/>
        <v>0</v>
      </c>
      <c r="GE86" s="3">
        <f t="shared" si="50"/>
        <v>0</v>
      </c>
      <c r="GF86" s="3">
        <f t="shared" si="50"/>
        <v>0</v>
      </c>
      <c r="GG86" s="3">
        <f t="shared" si="50"/>
        <v>0</v>
      </c>
      <c r="GH86" s="3">
        <f t="shared" si="50"/>
        <v>0</v>
      </c>
      <c r="GI86" s="3">
        <f t="shared" si="50"/>
        <v>0</v>
      </c>
      <c r="GJ86" s="3">
        <f t="shared" si="50"/>
        <v>0</v>
      </c>
      <c r="GK86" s="3">
        <f t="shared" si="50"/>
        <v>0</v>
      </c>
      <c r="GL86" s="3">
        <f t="shared" ref="GL86:IW89" si="58">(GL23-GL$11)/GL$11*100</f>
        <v>0.50167224080267558</v>
      </c>
      <c r="GM86" s="3">
        <f t="shared" si="58"/>
        <v>3.5016286644951142</v>
      </c>
      <c r="GN86" s="3">
        <f t="shared" si="58"/>
        <v>2.3448949682462139</v>
      </c>
      <c r="GO86" s="3">
        <f t="shared" si="58"/>
        <v>2.0693222969477496</v>
      </c>
      <c r="GP86" s="3">
        <f t="shared" si="58"/>
        <v>0</v>
      </c>
      <c r="GQ86" s="3">
        <f t="shared" si="58"/>
        <v>0</v>
      </c>
      <c r="GR86" s="3">
        <f t="shared" si="58"/>
        <v>0</v>
      </c>
      <c r="GS86" s="3">
        <f t="shared" si="58"/>
        <v>0</v>
      </c>
      <c r="GT86" s="3">
        <f t="shared" si="58"/>
        <v>1.0738255033557047</v>
      </c>
      <c r="GU86" s="3">
        <f t="shared" si="58"/>
        <v>0</v>
      </c>
      <c r="GV86" s="3">
        <f t="shared" si="58"/>
        <v>5.7371096586782864</v>
      </c>
      <c r="GW86" s="3">
        <f t="shared" si="58"/>
        <v>5.0808314087759809</v>
      </c>
      <c r="GX86" s="3">
        <f t="shared" si="58"/>
        <v>0.22831050228310501</v>
      </c>
      <c r="GY86" s="3">
        <f t="shared" si="58"/>
        <v>0</v>
      </c>
      <c r="GZ86" s="3">
        <f t="shared" si="58"/>
        <v>0</v>
      </c>
      <c r="HA86" s="3">
        <f t="shared" si="58"/>
        <v>1.3000702740688685</v>
      </c>
      <c r="HB86" s="3">
        <f t="shared" si="58"/>
        <v>1.2306811677160847</v>
      </c>
      <c r="HC86" s="3">
        <f t="shared" si="58"/>
        <v>0</v>
      </c>
      <c r="HD86" s="3">
        <f t="shared" si="58"/>
        <v>0.54726368159203986</v>
      </c>
      <c r="HE86" s="3">
        <f t="shared" si="58"/>
        <v>6.2085593731163353</v>
      </c>
      <c r="HF86" s="3">
        <f t="shared" si="58"/>
        <v>1.3574660633484164</v>
      </c>
      <c r="HG86" s="3">
        <f t="shared" si="58"/>
        <v>5.8758314855875833</v>
      </c>
      <c r="HH86" s="3">
        <f t="shared" si="58"/>
        <v>1.3472292831723438</v>
      </c>
      <c r="HI86" s="3">
        <f t="shared" si="58"/>
        <v>4.706601466992665</v>
      </c>
      <c r="HJ86" s="3">
        <f t="shared" si="58"/>
        <v>1.3953488372093024</v>
      </c>
      <c r="HK86" s="3">
        <f t="shared" si="58"/>
        <v>0.8875739644970414</v>
      </c>
      <c r="HL86" s="3">
        <f t="shared" si="58"/>
        <v>1.7543859649122806</v>
      </c>
      <c r="HM86" s="3">
        <f t="shared" si="58"/>
        <v>0</v>
      </c>
      <c r="HN86" s="3">
        <f t="shared" si="58"/>
        <v>2.2865853658536586</v>
      </c>
      <c r="HO86" s="3">
        <f t="shared" si="58"/>
        <v>0</v>
      </c>
      <c r="HP86" s="3">
        <f t="shared" si="58"/>
        <v>0</v>
      </c>
      <c r="HQ86" s="3">
        <f t="shared" si="58"/>
        <v>0</v>
      </c>
      <c r="HR86" s="3">
        <f t="shared" si="58"/>
        <v>0</v>
      </c>
      <c r="HS86" s="3">
        <f t="shared" si="58"/>
        <v>0</v>
      </c>
      <c r="HT86" s="3">
        <f t="shared" si="58"/>
        <v>0</v>
      </c>
      <c r="HU86" s="3">
        <f t="shared" si="58"/>
        <v>0</v>
      </c>
      <c r="HV86" s="3">
        <f t="shared" si="58"/>
        <v>0</v>
      </c>
      <c r="HW86" s="3">
        <f t="shared" si="58"/>
        <v>2</v>
      </c>
      <c r="HX86" s="3">
        <f t="shared" si="58"/>
        <v>2.147239263803681</v>
      </c>
      <c r="HY86" s="3">
        <f t="shared" si="58"/>
        <v>0</v>
      </c>
      <c r="HZ86" s="3">
        <f t="shared" si="58"/>
        <v>0.57971014492753625</v>
      </c>
      <c r="IA86" s="3">
        <f t="shared" si="58"/>
        <v>0</v>
      </c>
      <c r="IB86" s="3">
        <f t="shared" si="58"/>
        <v>0</v>
      </c>
      <c r="IC86" s="3">
        <f t="shared" si="58"/>
        <v>0</v>
      </c>
      <c r="ID86" s="3">
        <f t="shared" si="58"/>
        <v>0</v>
      </c>
      <c r="IE86" s="3">
        <f t="shared" si="58"/>
        <v>0.71856287425149701</v>
      </c>
      <c r="IF86" s="3">
        <f t="shared" si="58"/>
        <v>2.2727272727272729</v>
      </c>
      <c r="IG86" s="3">
        <f t="shared" si="58"/>
        <v>3.5714285714285712</v>
      </c>
      <c r="IH86" s="3">
        <f t="shared" si="58"/>
        <v>0</v>
      </c>
      <c r="II86" s="3">
        <f t="shared" si="58"/>
        <v>3.5087719298245612</v>
      </c>
      <c r="IJ86" s="3">
        <f t="shared" si="58"/>
        <v>0.70810385523210073</v>
      </c>
      <c r="IK86" s="3">
        <f t="shared" si="58"/>
        <v>2.2017045454545454</v>
      </c>
      <c r="IL86" s="3">
        <f t="shared" si="58"/>
        <v>0</v>
      </c>
      <c r="IM86" s="3">
        <f t="shared" si="58"/>
        <v>0</v>
      </c>
      <c r="IN86" s="3">
        <f t="shared" si="58"/>
        <v>0</v>
      </c>
      <c r="IO86" s="3">
        <f t="shared" si="58"/>
        <v>0</v>
      </c>
      <c r="IP86" s="3">
        <f t="shared" si="58"/>
        <v>1.887905604719764</v>
      </c>
      <c r="IQ86" s="3">
        <f t="shared" si="58"/>
        <v>8.4136722173531986</v>
      </c>
      <c r="IR86" s="3">
        <f t="shared" si="58"/>
        <v>1.1574074074074074</v>
      </c>
      <c r="IS86" s="3">
        <f t="shared" si="58"/>
        <v>10.46133853151397</v>
      </c>
      <c r="IT86" s="3">
        <f t="shared" si="58"/>
        <v>0</v>
      </c>
      <c r="IU86" s="3">
        <f t="shared" si="58"/>
        <v>1.7825311942959003</v>
      </c>
      <c r="IV86" s="3">
        <f t="shared" si="58"/>
        <v>2.4137931034482758</v>
      </c>
      <c r="IW86" s="3">
        <f t="shared" si="58"/>
        <v>0</v>
      </c>
      <c r="IX86" s="3">
        <f t="shared" si="54"/>
        <v>0.15974440894568689</v>
      </c>
      <c r="IY86" s="3">
        <f t="shared" si="54"/>
        <v>0</v>
      </c>
      <c r="IZ86" s="3">
        <f t="shared" si="54"/>
        <v>0</v>
      </c>
      <c r="JA86" s="3">
        <f t="shared" si="51"/>
        <v>0</v>
      </c>
      <c r="JB86" s="3">
        <f t="shared" si="48"/>
        <v>0</v>
      </c>
      <c r="JC86" s="3">
        <f t="shared" si="48"/>
        <v>0</v>
      </c>
      <c r="JD86" s="3">
        <f t="shared" ref="JD86:LO89" si="59">(JD23-JD$11)/JD$11*100</f>
        <v>0.19811788013868251</v>
      </c>
      <c r="JE86" s="3">
        <f t="shared" si="59"/>
        <v>0</v>
      </c>
      <c r="JF86" s="3">
        <f t="shared" si="59"/>
        <v>1.0416666666666665</v>
      </c>
      <c r="JG86" s="3">
        <f t="shared" si="59"/>
        <v>0</v>
      </c>
      <c r="JH86" s="3">
        <f t="shared" si="59"/>
        <v>0</v>
      </c>
      <c r="JI86" s="3">
        <f t="shared" si="59"/>
        <v>0</v>
      </c>
      <c r="JJ86" s="3">
        <f t="shared" si="59"/>
        <v>0</v>
      </c>
      <c r="JK86" s="3">
        <f t="shared" si="59"/>
        <v>0.96111839231105278</v>
      </c>
      <c r="JL86" s="3">
        <f t="shared" si="59"/>
        <v>0</v>
      </c>
      <c r="JM86" s="3">
        <f t="shared" si="59"/>
        <v>0</v>
      </c>
      <c r="JN86" s="3">
        <f t="shared" si="59"/>
        <v>0</v>
      </c>
      <c r="JO86" s="3">
        <f t="shared" si="59"/>
        <v>1.9328585961342828</v>
      </c>
      <c r="JP86" s="3">
        <f t="shared" si="59"/>
        <v>4.536862003780719</v>
      </c>
      <c r="JQ86" s="3">
        <f t="shared" si="59"/>
        <v>10.944105213715359</v>
      </c>
      <c r="JR86" s="3">
        <f t="shared" si="59"/>
        <v>0</v>
      </c>
      <c r="JS86" s="3">
        <f t="shared" si="59"/>
        <v>3.6410923276983094</v>
      </c>
      <c r="JT86" s="3">
        <f t="shared" si="59"/>
        <v>0.68189566996249573</v>
      </c>
      <c r="JU86" s="3">
        <f t="shared" si="59"/>
        <v>0</v>
      </c>
      <c r="JV86" s="3">
        <f t="shared" si="59"/>
        <v>2.2072189041807322</v>
      </c>
      <c r="JW86" s="3">
        <f t="shared" si="59"/>
        <v>0</v>
      </c>
      <c r="JX86" s="3">
        <f t="shared" si="59"/>
        <v>1.0844748858447488</v>
      </c>
      <c r="JY86" s="3">
        <f t="shared" si="59"/>
        <v>2.8928336620644313</v>
      </c>
      <c r="JZ86" s="3">
        <f t="shared" si="59"/>
        <v>1.5364061456245823</v>
      </c>
      <c r="KA86" s="3">
        <f t="shared" si="59"/>
        <v>5.5389221556886223</v>
      </c>
      <c r="KB86" s="3">
        <f t="shared" si="59"/>
        <v>2.6914539400665927</v>
      </c>
      <c r="KC86" s="3">
        <f t="shared" si="59"/>
        <v>5.4763447828904726</v>
      </c>
      <c r="KD86" s="3">
        <f t="shared" si="59"/>
        <v>0</v>
      </c>
      <c r="KE86" s="3">
        <f t="shared" si="59"/>
        <v>5.1428571428571423</v>
      </c>
      <c r="KF86" s="3">
        <f t="shared" si="59"/>
        <v>0</v>
      </c>
      <c r="KG86" s="3">
        <f t="shared" si="59"/>
        <v>4.7945205479452051</v>
      </c>
      <c r="KH86" s="3">
        <f t="shared" si="59"/>
        <v>0</v>
      </c>
      <c r="KI86" s="3">
        <f t="shared" si="59"/>
        <v>5.3691275167785237</v>
      </c>
      <c r="KJ86" s="3">
        <f t="shared" si="59"/>
        <v>0</v>
      </c>
      <c r="KK86" s="3">
        <f t="shared" si="59"/>
        <v>0</v>
      </c>
      <c r="KL86" s="3">
        <f t="shared" si="59"/>
        <v>0</v>
      </c>
      <c r="KM86" s="3">
        <f t="shared" si="59"/>
        <v>0</v>
      </c>
      <c r="KN86" s="3">
        <f t="shared" si="59"/>
        <v>0</v>
      </c>
      <c r="KO86" s="3">
        <f t="shared" si="59"/>
        <v>0</v>
      </c>
      <c r="KP86" s="3">
        <f t="shared" si="59"/>
        <v>0</v>
      </c>
      <c r="KQ86" s="3">
        <f t="shared" si="59"/>
        <v>5.4545454545454541</v>
      </c>
      <c r="KR86" s="3">
        <f t="shared" si="59"/>
        <v>0.25510204081632654</v>
      </c>
      <c r="KS86" s="3">
        <f t="shared" si="59"/>
        <v>1.6797312430011198</v>
      </c>
      <c r="KT86" s="3">
        <f t="shared" si="59"/>
        <v>0</v>
      </c>
      <c r="KU86" s="3">
        <f t="shared" si="59"/>
        <v>0</v>
      </c>
      <c r="KV86" s="3">
        <f t="shared" si="59"/>
        <v>0</v>
      </c>
      <c r="KW86" s="3">
        <f t="shared" si="59"/>
        <v>0</v>
      </c>
      <c r="KX86" s="3">
        <f t="shared" si="59"/>
        <v>0</v>
      </c>
      <c r="KY86" s="3">
        <f t="shared" si="59"/>
        <v>0</v>
      </c>
      <c r="KZ86" s="3">
        <f t="shared" si="59"/>
        <v>2.271062271062271</v>
      </c>
      <c r="LA86" s="3">
        <f t="shared" si="59"/>
        <v>6.9444444444444446</v>
      </c>
      <c r="LB86" s="3">
        <f t="shared" si="59"/>
        <v>2.4096385542168677</v>
      </c>
      <c r="LC86" s="3">
        <f t="shared" si="59"/>
        <v>0</v>
      </c>
      <c r="LD86" s="3">
        <f t="shared" si="59"/>
        <v>0.26143790849673199</v>
      </c>
      <c r="LE86" s="3">
        <f t="shared" si="59"/>
        <v>0.42052144659377627</v>
      </c>
      <c r="LF86" s="3">
        <f t="shared" si="59"/>
        <v>0</v>
      </c>
      <c r="LG86" s="3">
        <f t="shared" si="59"/>
        <v>0</v>
      </c>
      <c r="LH86" s="3">
        <f t="shared" si="59"/>
        <v>0</v>
      </c>
      <c r="LI86" s="3">
        <f t="shared" si="59"/>
        <v>2.7878787878787876</v>
      </c>
      <c r="LJ86" s="3">
        <f t="shared" si="59"/>
        <v>1.8996960486322187</v>
      </c>
      <c r="LK86" s="3">
        <f t="shared" si="59"/>
        <v>3.306451612903226</v>
      </c>
      <c r="LL86" s="3">
        <f t="shared" si="59"/>
        <v>1.663798049340218</v>
      </c>
      <c r="LM86" s="3">
        <f t="shared" si="59"/>
        <v>6.0880048221820378</v>
      </c>
      <c r="LN86" s="3">
        <f t="shared" si="59"/>
        <v>0</v>
      </c>
      <c r="LO86" s="3">
        <f t="shared" si="59"/>
        <v>0</v>
      </c>
      <c r="LP86" s="3">
        <f t="shared" ref="LP86:MW86" si="60">(LP23-LP$11)/LP$11*100</f>
        <v>3.2921810699588478</v>
      </c>
      <c r="LQ86" s="3">
        <f t="shared" si="60"/>
        <v>0</v>
      </c>
      <c r="LR86" s="3">
        <f t="shared" si="60"/>
        <v>0.92905405405405406</v>
      </c>
      <c r="LS86" s="3">
        <f t="shared" si="60"/>
        <v>3.1775700934579438</v>
      </c>
      <c r="LT86" s="3">
        <f t="shared" si="60"/>
        <v>0</v>
      </c>
      <c r="LU86" s="3">
        <f t="shared" si="60"/>
        <v>0</v>
      </c>
      <c r="LV86" s="3">
        <f t="shared" si="60"/>
        <v>0</v>
      </c>
      <c r="LW86" s="3">
        <f t="shared" si="60"/>
        <v>0</v>
      </c>
      <c r="LX86" s="3">
        <f t="shared" si="60"/>
        <v>0</v>
      </c>
      <c r="LY86" s="3">
        <f t="shared" si="60"/>
        <v>0</v>
      </c>
      <c r="LZ86" s="3">
        <f t="shared" si="60"/>
        <v>1.7746228926353149</v>
      </c>
      <c r="MA86" s="3">
        <f t="shared" si="60"/>
        <v>0</v>
      </c>
      <c r="MB86" s="3">
        <f t="shared" si="60"/>
        <v>2.4307243558580454</v>
      </c>
      <c r="MC86" s="3">
        <f t="shared" si="60"/>
        <v>0</v>
      </c>
      <c r="MD86" s="3">
        <f t="shared" si="60"/>
        <v>1.1162790697674418</v>
      </c>
      <c r="ME86" s="3">
        <f t="shared" si="60"/>
        <v>0</v>
      </c>
      <c r="MF86" s="3">
        <f t="shared" si="60"/>
        <v>0</v>
      </c>
      <c r="MG86" s="3">
        <f t="shared" si="60"/>
        <v>0</v>
      </c>
      <c r="MH86" s="3">
        <f t="shared" si="60"/>
        <v>1.4912280701754386</v>
      </c>
      <c r="MI86" s="3">
        <f t="shared" si="60"/>
        <v>0</v>
      </c>
      <c r="MJ86" s="3">
        <f t="shared" si="60"/>
        <v>5.0345107592367029</v>
      </c>
      <c r="MK86" s="3">
        <f t="shared" si="60"/>
        <v>3.2106499608457324</v>
      </c>
      <c r="ML86" s="3">
        <f t="shared" si="60"/>
        <v>1.7184035476718404</v>
      </c>
      <c r="MM86" s="3">
        <f t="shared" si="60"/>
        <v>0</v>
      </c>
      <c r="MN86" s="3">
        <f t="shared" si="60"/>
        <v>0.53262316910785623</v>
      </c>
      <c r="MO86" s="3">
        <f t="shared" si="60"/>
        <v>3.4909909909909906</v>
      </c>
      <c r="MP86" s="3">
        <f t="shared" si="60"/>
        <v>0</v>
      </c>
      <c r="MQ86" s="3">
        <f t="shared" si="60"/>
        <v>0</v>
      </c>
      <c r="MR86" s="3">
        <f t="shared" si="60"/>
        <v>1.3215859030837005</v>
      </c>
      <c r="MS86" s="3">
        <f t="shared" si="60"/>
        <v>0</v>
      </c>
      <c r="MT86" s="3">
        <f t="shared" si="60"/>
        <v>2.1520803443328553</v>
      </c>
      <c r="MU86" s="3">
        <f t="shared" si="60"/>
        <v>5.5829851879984806</v>
      </c>
      <c r="MV86" s="3">
        <f t="shared" si="60"/>
        <v>1.5096304008328996</v>
      </c>
      <c r="MW86" s="3">
        <f t="shared" si="60"/>
        <v>6.0259579728059336</v>
      </c>
      <c r="MX86" s="3"/>
      <c r="MY86" s="3"/>
    </row>
    <row r="87" spans="1:363" x14ac:dyDescent="0.3">
      <c r="A87" s="3">
        <v>13</v>
      </c>
      <c r="B87" s="3">
        <f t="shared" si="33"/>
        <v>1.1494252873563218</v>
      </c>
      <c r="C87" s="3">
        <f t="shared" si="56"/>
        <v>0</v>
      </c>
      <c r="D87" s="3">
        <f t="shared" si="56"/>
        <v>0.21186440677966101</v>
      </c>
      <c r="E87" s="3">
        <f t="shared" si="56"/>
        <v>7.1100917431192663</v>
      </c>
      <c r="F87" s="3">
        <f t="shared" si="56"/>
        <v>0</v>
      </c>
      <c r="G87" s="3">
        <f t="shared" si="56"/>
        <v>2.1032504780114722</v>
      </c>
      <c r="H87" s="3">
        <f t="shared" si="56"/>
        <v>0</v>
      </c>
      <c r="I87" s="3">
        <f t="shared" si="56"/>
        <v>0</v>
      </c>
      <c r="J87" s="3">
        <f t="shared" si="56"/>
        <v>0</v>
      </c>
      <c r="K87" s="3">
        <f t="shared" si="56"/>
        <v>0</v>
      </c>
      <c r="L87" s="3">
        <f t="shared" si="56"/>
        <v>0</v>
      </c>
      <c r="M87" s="3">
        <f t="shared" si="56"/>
        <v>0</v>
      </c>
      <c r="N87" s="3">
        <f t="shared" si="56"/>
        <v>1.4678899082568808</v>
      </c>
      <c r="O87" s="3">
        <f t="shared" si="56"/>
        <v>1.0373443983402488</v>
      </c>
      <c r="P87" s="3">
        <f t="shared" si="56"/>
        <v>1.364522417153996</v>
      </c>
      <c r="Q87" s="3">
        <f t="shared" si="56"/>
        <v>0</v>
      </c>
      <c r="R87" s="3">
        <f t="shared" si="56"/>
        <v>0.67698259187620891</v>
      </c>
      <c r="S87" s="3">
        <f t="shared" si="56"/>
        <v>3.0542986425339365</v>
      </c>
      <c r="T87" s="3">
        <f t="shared" si="56"/>
        <v>0</v>
      </c>
      <c r="U87" s="3">
        <f t="shared" si="56"/>
        <v>0</v>
      </c>
      <c r="V87" s="3">
        <f t="shared" si="56"/>
        <v>0</v>
      </c>
      <c r="W87" s="3">
        <f t="shared" si="56"/>
        <v>3.7962962962962963</v>
      </c>
      <c r="X87" s="3">
        <f t="shared" si="56"/>
        <v>0.77519379844961245</v>
      </c>
      <c r="Y87" s="3">
        <f t="shared" si="56"/>
        <v>9.5652173913043477</v>
      </c>
      <c r="Z87" s="3">
        <f t="shared" si="56"/>
        <v>0.28490028490028491</v>
      </c>
      <c r="AA87" s="3">
        <f t="shared" si="56"/>
        <v>0.66152149944873206</v>
      </c>
      <c r="AB87" s="3">
        <f t="shared" si="56"/>
        <v>1.5517241379310345</v>
      </c>
      <c r="AC87" s="3">
        <f t="shared" si="56"/>
        <v>1.0510510510510511</v>
      </c>
      <c r="AD87" s="3">
        <f t="shared" si="56"/>
        <v>0.54525627044711011</v>
      </c>
      <c r="AE87" s="3">
        <f t="shared" si="56"/>
        <v>0</v>
      </c>
      <c r="AF87" s="3">
        <f t="shared" si="56"/>
        <v>0.46511627906976744</v>
      </c>
      <c r="AG87" s="3">
        <f t="shared" si="56"/>
        <v>3.9814814814814818</v>
      </c>
      <c r="AH87" s="3">
        <f t="shared" si="56"/>
        <v>1.3114754098360655</v>
      </c>
      <c r="AI87" s="3">
        <f t="shared" si="56"/>
        <v>5.07380073800738</v>
      </c>
      <c r="AJ87" s="3">
        <f t="shared" si="56"/>
        <v>0.69860279441117767</v>
      </c>
      <c r="AK87" s="3">
        <f t="shared" si="56"/>
        <v>6.5040650406504072</v>
      </c>
      <c r="AL87" s="3">
        <f t="shared" si="56"/>
        <v>0</v>
      </c>
      <c r="AM87" s="3">
        <f t="shared" si="56"/>
        <v>0</v>
      </c>
      <c r="AN87" s="3">
        <f t="shared" si="56"/>
        <v>2.8756957328385901</v>
      </c>
      <c r="AO87" s="3">
        <f t="shared" si="56"/>
        <v>0</v>
      </c>
      <c r="AP87" s="3">
        <f t="shared" si="56"/>
        <v>0.29197080291970801</v>
      </c>
      <c r="AQ87" s="3">
        <f t="shared" si="56"/>
        <v>0</v>
      </c>
      <c r="AR87" s="3">
        <f t="shared" si="56"/>
        <v>0</v>
      </c>
      <c r="AS87" s="3">
        <f t="shared" si="56"/>
        <v>0</v>
      </c>
      <c r="AT87" s="3">
        <f t="shared" si="56"/>
        <v>0</v>
      </c>
      <c r="AU87" s="3">
        <f t="shared" si="56"/>
        <v>0</v>
      </c>
      <c r="AV87" s="3">
        <f t="shared" si="56"/>
        <v>0</v>
      </c>
      <c r="AW87" s="3">
        <f t="shared" si="56"/>
        <v>0</v>
      </c>
      <c r="AX87" s="3">
        <f t="shared" si="56"/>
        <v>0</v>
      </c>
      <c r="AY87" s="3">
        <f t="shared" si="56"/>
        <v>0.2743484224965706</v>
      </c>
      <c r="AZ87" s="3">
        <f t="shared" si="56"/>
        <v>2.6963657678780772</v>
      </c>
      <c r="BA87" s="3">
        <f t="shared" si="56"/>
        <v>0</v>
      </c>
      <c r="BB87" s="3">
        <f t="shared" si="56"/>
        <v>1.8825301204819278</v>
      </c>
      <c r="BC87" s="3">
        <f t="shared" si="56"/>
        <v>2.85451197053407</v>
      </c>
      <c r="BD87" s="3">
        <f t="shared" si="56"/>
        <v>0</v>
      </c>
      <c r="BE87" s="3">
        <f t="shared" si="56"/>
        <v>0</v>
      </c>
      <c r="BF87" s="3">
        <f t="shared" si="56"/>
        <v>0</v>
      </c>
      <c r="BG87" s="3">
        <f t="shared" si="56"/>
        <v>0</v>
      </c>
      <c r="BH87" s="3">
        <f t="shared" si="56"/>
        <v>4.3093032621828433</v>
      </c>
      <c r="BI87" s="3">
        <f t="shared" si="56"/>
        <v>8.4296106118955922</v>
      </c>
      <c r="BJ87" s="3">
        <f t="shared" si="56"/>
        <v>0.44671346522016592</v>
      </c>
      <c r="BK87" s="3">
        <f t="shared" si="56"/>
        <v>3.3472803347280333</v>
      </c>
      <c r="BL87" s="3">
        <f t="shared" si="56"/>
        <v>0</v>
      </c>
      <c r="BM87" s="3">
        <f t="shared" si="56"/>
        <v>4.2727272727272725</v>
      </c>
      <c r="BN87" s="3">
        <f t="shared" si="56"/>
        <v>2.110261144816671</v>
      </c>
      <c r="BO87" s="3">
        <f t="shared" si="53"/>
        <v>2.0606417427141595</v>
      </c>
      <c r="BP87" s="3">
        <f t="shared" si="53"/>
        <v>1.4384920634920635</v>
      </c>
      <c r="BQ87" s="3">
        <f t="shared" si="53"/>
        <v>0</v>
      </c>
      <c r="BR87" s="3">
        <f t="shared" si="53"/>
        <v>2.1116138763197587</v>
      </c>
      <c r="BS87" s="3">
        <f t="shared" si="53"/>
        <v>5.3486529318541995</v>
      </c>
      <c r="BT87" s="3">
        <f t="shared" si="53"/>
        <v>2.6598924088463836</v>
      </c>
      <c r="BU87" s="3">
        <f t="shared" si="53"/>
        <v>6.0395695938910103</v>
      </c>
      <c r="BV87" s="3">
        <f t="shared" si="53"/>
        <v>1.3297872340425532</v>
      </c>
      <c r="BW87" s="3">
        <f t="shared" si="53"/>
        <v>0</v>
      </c>
      <c r="BX87" s="3">
        <f t="shared" si="53"/>
        <v>1.2254901960784315</v>
      </c>
      <c r="BY87" s="3">
        <f t="shared" si="53"/>
        <v>2.358490566037736</v>
      </c>
      <c r="BZ87" s="3">
        <f t="shared" si="53"/>
        <v>0.16806722689075632</v>
      </c>
      <c r="CA87" s="3">
        <f t="shared" si="53"/>
        <v>4.562043795620438</v>
      </c>
      <c r="CB87" s="3">
        <f t="shared" si="53"/>
        <v>0</v>
      </c>
      <c r="CC87" s="3">
        <f t="shared" si="53"/>
        <v>0</v>
      </c>
      <c r="CD87" s="3">
        <f t="shared" si="53"/>
        <v>0</v>
      </c>
      <c r="CE87" s="3">
        <f t="shared" si="53"/>
        <v>0</v>
      </c>
      <c r="CF87" s="3">
        <f t="shared" si="53"/>
        <v>0</v>
      </c>
      <c r="CG87" s="3">
        <f t="shared" si="53"/>
        <v>0</v>
      </c>
      <c r="CH87" s="3">
        <f t="shared" si="53"/>
        <v>0.76804915514592931</v>
      </c>
      <c r="CI87" s="3">
        <f t="shared" si="53"/>
        <v>0</v>
      </c>
      <c r="CJ87" s="3">
        <f t="shared" si="53"/>
        <v>2.4324324324324325</v>
      </c>
      <c r="CK87" s="3">
        <f t="shared" si="53"/>
        <v>4.7058823529411766</v>
      </c>
      <c r="CL87" s="3">
        <f t="shared" si="53"/>
        <v>0</v>
      </c>
      <c r="CM87" s="3">
        <f t="shared" si="53"/>
        <v>0</v>
      </c>
      <c r="CN87" s="3">
        <f t="shared" si="53"/>
        <v>0</v>
      </c>
      <c r="CO87" s="3">
        <f t="shared" si="53"/>
        <v>0</v>
      </c>
      <c r="CP87" s="3">
        <f t="shared" si="53"/>
        <v>0</v>
      </c>
      <c r="CQ87" s="3">
        <f t="shared" si="53"/>
        <v>0</v>
      </c>
      <c r="CR87" s="3">
        <f t="shared" si="53"/>
        <v>2.2222222222222223</v>
      </c>
      <c r="CS87" s="3">
        <f t="shared" si="53"/>
        <v>6.8901303538175043</v>
      </c>
      <c r="CT87" s="3">
        <f t="shared" si="53"/>
        <v>0</v>
      </c>
      <c r="CU87" s="3">
        <f t="shared" si="53"/>
        <v>0</v>
      </c>
      <c r="CV87" s="3">
        <f t="shared" si="53"/>
        <v>0</v>
      </c>
      <c r="CW87" s="3">
        <f t="shared" si="53"/>
        <v>0</v>
      </c>
      <c r="CX87" s="3">
        <f t="shared" si="53"/>
        <v>0</v>
      </c>
      <c r="CY87" s="3">
        <f t="shared" si="53"/>
        <v>0</v>
      </c>
      <c r="CZ87" s="3">
        <f t="shared" si="53"/>
        <v>0</v>
      </c>
      <c r="DA87" s="3">
        <f t="shared" si="53"/>
        <v>0</v>
      </c>
      <c r="DB87" s="3">
        <f t="shared" si="53"/>
        <v>1.1111111111111112</v>
      </c>
      <c r="DC87" s="3">
        <f t="shared" si="53"/>
        <v>4.9167327517842985</v>
      </c>
      <c r="DD87" s="3">
        <f t="shared" si="53"/>
        <v>0.86206896551724133</v>
      </c>
      <c r="DE87" s="3">
        <f t="shared" si="53"/>
        <v>7.8728236184708562</v>
      </c>
      <c r="DF87" s="3">
        <f t="shared" si="53"/>
        <v>0</v>
      </c>
      <c r="DG87" s="3">
        <f t="shared" si="53"/>
        <v>0.625</v>
      </c>
      <c r="DH87" s="3">
        <f t="shared" si="53"/>
        <v>0</v>
      </c>
      <c r="DI87" s="3">
        <f t="shared" si="53"/>
        <v>0.36798528058877644</v>
      </c>
      <c r="DJ87" s="3">
        <f t="shared" si="53"/>
        <v>0</v>
      </c>
      <c r="DK87" s="3">
        <f t="shared" si="53"/>
        <v>2.1462639109697932</v>
      </c>
      <c r="DL87" s="3">
        <f t="shared" si="53"/>
        <v>0</v>
      </c>
      <c r="DM87" s="3">
        <f t="shared" si="53"/>
        <v>0</v>
      </c>
      <c r="DN87" s="3">
        <f t="shared" si="53"/>
        <v>0</v>
      </c>
      <c r="DO87" s="3">
        <f t="shared" si="53"/>
        <v>0</v>
      </c>
      <c r="DP87" s="3">
        <f t="shared" si="53"/>
        <v>0</v>
      </c>
      <c r="DQ87" s="3">
        <f t="shared" si="53"/>
        <v>0</v>
      </c>
      <c r="DR87" s="3">
        <f t="shared" si="53"/>
        <v>0</v>
      </c>
      <c r="DS87" s="3">
        <f t="shared" si="53"/>
        <v>0</v>
      </c>
      <c r="DT87" s="3">
        <f t="shared" si="53"/>
        <v>1.4966740576496673</v>
      </c>
      <c r="DU87" s="3">
        <f t="shared" si="53"/>
        <v>1.0832102412604629</v>
      </c>
      <c r="DV87" s="3">
        <f t="shared" si="53"/>
        <v>0</v>
      </c>
      <c r="DW87" s="3">
        <f t="shared" si="53"/>
        <v>0</v>
      </c>
      <c r="DX87" s="3">
        <f t="shared" si="53"/>
        <v>0</v>
      </c>
      <c r="DY87" s="3">
        <f t="shared" si="53"/>
        <v>0</v>
      </c>
      <c r="DZ87" s="3">
        <f t="shared" si="40"/>
        <v>0.13163668275559456</v>
      </c>
      <c r="EA87" s="3">
        <f t="shared" ref="EA87:GL90" si="61">(EA24-EA$11)/EA$11*100</f>
        <v>2.7901785714285716</v>
      </c>
      <c r="EB87" s="3">
        <f t="shared" si="61"/>
        <v>3.3703703703703702</v>
      </c>
      <c r="EC87" s="3">
        <f t="shared" si="61"/>
        <v>5.0513698630136989</v>
      </c>
      <c r="ED87" s="3">
        <f t="shared" si="61"/>
        <v>2.336769759450172</v>
      </c>
      <c r="EE87" s="3">
        <f t="shared" si="61"/>
        <v>0</v>
      </c>
      <c r="EF87" s="3">
        <f t="shared" si="61"/>
        <v>2.9492455418381343</v>
      </c>
      <c r="EG87" s="3">
        <f t="shared" si="61"/>
        <v>1.7355982274741506</v>
      </c>
      <c r="EH87" s="3">
        <f t="shared" si="61"/>
        <v>1.560021152829191</v>
      </c>
      <c r="EI87" s="3">
        <f t="shared" si="61"/>
        <v>0.56360708534621573</v>
      </c>
      <c r="EJ87" s="3">
        <f t="shared" si="61"/>
        <v>0.72463768115942029</v>
      </c>
      <c r="EK87" s="3">
        <f t="shared" si="61"/>
        <v>3.8539553752535496</v>
      </c>
      <c r="EL87" s="3">
        <f t="shared" si="61"/>
        <v>1.5568862275449102</v>
      </c>
      <c r="EM87" s="3">
        <f t="shared" si="61"/>
        <v>8.2606890826068913</v>
      </c>
      <c r="EN87" s="3">
        <f t="shared" si="61"/>
        <v>1.6666666666666667</v>
      </c>
      <c r="EO87" s="3">
        <f t="shared" si="61"/>
        <v>7.4363992172211351</v>
      </c>
      <c r="EP87" s="3">
        <f t="shared" si="61"/>
        <v>2.083333333333333</v>
      </c>
      <c r="EQ87" s="3">
        <f t="shared" si="61"/>
        <v>0</v>
      </c>
      <c r="ER87" s="3">
        <f t="shared" si="61"/>
        <v>1.7391304347826086</v>
      </c>
      <c r="ES87" s="3">
        <f t="shared" si="61"/>
        <v>0</v>
      </c>
      <c r="ET87" s="3">
        <f t="shared" si="61"/>
        <v>1.2658227848101267</v>
      </c>
      <c r="EU87" s="3">
        <f t="shared" si="61"/>
        <v>1.0189228529839884</v>
      </c>
      <c r="EV87" s="3">
        <f t="shared" si="61"/>
        <v>0</v>
      </c>
      <c r="EW87" s="3">
        <f t="shared" si="61"/>
        <v>0</v>
      </c>
      <c r="EX87" s="3">
        <f t="shared" si="61"/>
        <v>0</v>
      </c>
      <c r="EY87" s="3">
        <f t="shared" si="61"/>
        <v>0</v>
      </c>
      <c r="EZ87" s="3">
        <f t="shared" si="61"/>
        <v>0</v>
      </c>
      <c r="FA87" s="3">
        <f t="shared" si="61"/>
        <v>0</v>
      </c>
      <c r="FB87" s="3">
        <f t="shared" si="61"/>
        <v>0</v>
      </c>
      <c r="FC87" s="3">
        <f t="shared" si="61"/>
        <v>3.070175438596491</v>
      </c>
      <c r="FD87" s="3">
        <f t="shared" si="61"/>
        <v>2.1164021164021163</v>
      </c>
      <c r="FE87" s="3">
        <f t="shared" si="61"/>
        <v>0</v>
      </c>
      <c r="FF87" s="3">
        <f t="shared" si="61"/>
        <v>1.8103448275862071</v>
      </c>
      <c r="FG87" s="3">
        <f t="shared" si="61"/>
        <v>1.8621973929236499</v>
      </c>
      <c r="FH87" s="3">
        <f t="shared" si="61"/>
        <v>0</v>
      </c>
      <c r="FI87" s="3">
        <f t="shared" si="61"/>
        <v>0</v>
      </c>
      <c r="FJ87" s="3">
        <f t="shared" si="61"/>
        <v>0</v>
      </c>
      <c r="FK87" s="3">
        <f t="shared" si="61"/>
        <v>0</v>
      </c>
      <c r="FL87" s="3">
        <f t="shared" si="61"/>
        <v>1.8333333333333333</v>
      </c>
      <c r="FM87" s="3">
        <f t="shared" si="61"/>
        <v>2.8759244042728018</v>
      </c>
      <c r="FN87" s="3">
        <f t="shared" si="61"/>
        <v>0</v>
      </c>
      <c r="FO87" s="3">
        <f t="shared" si="61"/>
        <v>5.0373134328358207</v>
      </c>
      <c r="FP87" s="3">
        <f t="shared" si="61"/>
        <v>0</v>
      </c>
      <c r="FQ87" s="3">
        <f t="shared" si="61"/>
        <v>0.98335854765506814</v>
      </c>
      <c r="FR87" s="3">
        <f t="shared" si="61"/>
        <v>3.0113636363636362</v>
      </c>
      <c r="FS87" s="3">
        <f t="shared" si="61"/>
        <v>0</v>
      </c>
      <c r="FT87" s="3">
        <f t="shared" si="61"/>
        <v>1.6064257028112447</v>
      </c>
      <c r="FU87" s="3">
        <f t="shared" si="61"/>
        <v>4.6814044213263983</v>
      </c>
      <c r="FV87" s="3">
        <f t="shared" si="61"/>
        <v>1.7557251908396947</v>
      </c>
      <c r="FW87" s="3">
        <f t="shared" si="61"/>
        <v>5.4771784232365146</v>
      </c>
      <c r="FX87" s="3">
        <f t="shared" si="61"/>
        <v>2.0125786163522013</v>
      </c>
      <c r="FY87" s="3">
        <f t="shared" si="61"/>
        <v>8.9285714285714288</v>
      </c>
      <c r="FZ87" s="3">
        <f t="shared" si="61"/>
        <v>1.6304347826086956</v>
      </c>
      <c r="GA87" s="3">
        <f t="shared" si="61"/>
        <v>0</v>
      </c>
      <c r="GB87" s="3">
        <f t="shared" si="61"/>
        <v>2.0157756354075373</v>
      </c>
      <c r="GC87" s="3">
        <f t="shared" si="61"/>
        <v>4.0380047505938244</v>
      </c>
      <c r="GD87" s="3">
        <f t="shared" si="61"/>
        <v>0</v>
      </c>
      <c r="GE87" s="3">
        <f t="shared" si="61"/>
        <v>0</v>
      </c>
      <c r="GF87" s="3">
        <f t="shared" si="61"/>
        <v>0</v>
      </c>
      <c r="GG87" s="3">
        <f t="shared" si="61"/>
        <v>0</v>
      </c>
      <c r="GH87" s="3">
        <f t="shared" si="61"/>
        <v>0</v>
      </c>
      <c r="GI87" s="3">
        <f t="shared" si="61"/>
        <v>0</v>
      </c>
      <c r="GJ87" s="3">
        <f t="shared" si="61"/>
        <v>0</v>
      </c>
      <c r="GK87" s="3">
        <f t="shared" si="61"/>
        <v>0</v>
      </c>
      <c r="GL87" s="3">
        <f t="shared" si="61"/>
        <v>0.41806020066889632</v>
      </c>
      <c r="GM87" s="3">
        <f t="shared" si="58"/>
        <v>3.7459283387622153</v>
      </c>
      <c r="GN87" s="3">
        <f t="shared" si="58"/>
        <v>2.3937469467513433</v>
      </c>
      <c r="GO87" s="3">
        <f t="shared" si="58"/>
        <v>2.4831867563372994</v>
      </c>
      <c r="GP87" s="3">
        <f t="shared" si="58"/>
        <v>0</v>
      </c>
      <c r="GQ87" s="3">
        <f t="shared" si="58"/>
        <v>0</v>
      </c>
      <c r="GR87" s="3">
        <f t="shared" si="58"/>
        <v>0</v>
      </c>
      <c r="GS87" s="3">
        <f t="shared" si="58"/>
        <v>0</v>
      </c>
      <c r="GT87" s="3">
        <f t="shared" si="58"/>
        <v>0.9843400447427294</v>
      </c>
      <c r="GU87" s="3">
        <f t="shared" si="58"/>
        <v>0</v>
      </c>
      <c r="GV87" s="3">
        <f t="shared" si="58"/>
        <v>6.572258533042846</v>
      </c>
      <c r="GW87" s="3">
        <f t="shared" si="58"/>
        <v>6.5588914549653587</v>
      </c>
      <c r="GX87" s="3">
        <f t="shared" si="58"/>
        <v>0.34246575342465752</v>
      </c>
      <c r="GY87" s="3">
        <f t="shared" si="58"/>
        <v>0</v>
      </c>
      <c r="GZ87" s="3">
        <f t="shared" si="58"/>
        <v>0</v>
      </c>
      <c r="HA87" s="3">
        <f t="shared" si="58"/>
        <v>1.7919887561489811</v>
      </c>
      <c r="HB87" s="3">
        <f t="shared" si="58"/>
        <v>1.5741270749856897</v>
      </c>
      <c r="HC87" s="3">
        <f t="shared" si="58"/>
        <v>0</v>
      </c>
      <c r="HD87" s="3">
        <f t="shared" si="58"/>
        <v>0.74626865671641784</v>
      </c>
      <c r="HE87" s="3">
        <f t="shared" si="58"/>
        <v>5.6057866184448457</v>
      </c>
      <c r="HF87" s="3">
        <f t="shared" si="58"/>
        <v>1.809954751131222</v>
      </c>
      <c r="HG87" s="3">
        <f t="shared" si="58"/>
        <v>5.8758314855875833</v>
      </c>
      <c r="HH87" s="3">
        <f t="shared" si="58"/>
        <v>1.4743263853584139</v>
      </c>
      <c r="HI87" s="3">
        <f t="shared" si="58"/>
        <v>4.7371638141809296</v>
      </c>
      <c r="HJ87" s="3">
        <f t="shared" si="58"/>
        <v>1.3953488372093024</v>
      </c>
      <c r="HK87" s="3">
        <f t="shared" si="58"/>
        <v>0.8875739644970414</v>
      </c>
      <c r="HL87" s="3">
        <f t="shared" si="58"/>
        <v>1.7543859649122806</v>
      </c>
      <c r="HM87" s="3">
        <f t="shared" si="58"/>
        <v>1.1049723756906076</v>
      </c>
      <c r="HN87" s="3">
        <f t="shared" si="58"/>
        <v>2.2865853658536586</v>
      </c>
      <c r="HO87" s="3">
        <f t="shared" si="58"/>
        <v>0</v>
      </c>
      <c r="HP87" s="3">
        <f t="shared" si="58"/>
        <v>0</v>
      </c>
      <c r="HQ87" s="3">
        <f t="shared" si="58"/>
        <v>0</v>
      </c>
      <c r="HR87" s="3">
        <f t="shared" si="58"/>
        <v>0</v>
      </c>
      <c r="HS87" s="3">
        <f t="shared" si="58"/>
        <v>0</v>
      </c>
      <c r="HT87" s="3">
        <f t="shared" si="58"/>
        <v>0</v>
      </c>
      <c r="HU87" s="3">
        <f t="shared" si="58"/>
        <v>0</v>
      </c>
      <c r="HV87" s="3">
        <f t="shared" si="58"/>
        <v>0</v>
      </c>
      <c r="HW87" s="3">
        <f t="shared" si="58"/>
        <v>2</v>
      </c>
      <c r="HX87" s="3">
        <f t="shared" si="58"/>
        <v>2.147239263803681</v>
      </c>
      <c r="HY87" s="3">
        <f t="shared" si="58"/>
        <v>0</v>
      </c>
      <c r="HZ87" s="3">
        <f t="shared" si="58"/>
        <v>0.43478260869565216</v>
      </c>
      <c r="IA87" s="3">
        <f t="shared" si="58"/>
        <v>0</v>
      </c>
      <c r="IB87" s="3">
        <f t="shared" si="58"/>
        <v>0</v>
      </c>
      <c r="IC87" s="3">
        <f t="shared" si="58"/>
        <v>0</v>
      </c>
      <c r="ID87" s="3">
        <f t="shared" si="58"/>
        <v>0</v>
      </c>
      <c r="IE87" s="3">
        <f t="shared" si="58"/>
        <v>0.71856287425149701</v>
      </c>
      <c r="IF87" s="3">
        <f t="shared" si="58"/>
        <v>2.2727272727272729</v>
      </c>
      <c r="IG87" s="3">
        <f t="shared" si="58"/>
        <v>3.5714285714285712</v>
      </c>
      <c r="IH87" s="3">
        <f t="shared" si="58"/>
        <v>0</v>
      </c>
      <c r="II87" s="3">
        <f t="shared" si="58"/>
        <v>3.6257309941520468</v>
      </c>
      <c r="IJ87" s="3">
        <f t="shared" si="58"/>
        <v>0.55074744295830058</v>
      </c>
      <c r="IK87" s="3">
        <f t="shared" si="58"/>
        <v>2.1306818181818179</v>
      </c>
      <c r="IL87" s="3">
        <f t="shared" si="58"/>
        <v>0</v>
      </c>
      <c r="IM87" s="3">
        <f t="shared" si="58"/>
        <v>0</v>
      </c>
      <c r="IN87" s="3">
        <f t="shared" si="58"/>
        <v>0</v>
      </c>
      <c r="IO87" s="3">
        <f t="shared" si="58"/>
        <v>0</v>
      </c>
      <c r="IP87" s="3">
        <f t="shared" si="58"/>
        <v>1.9469026548672566</v>
      </c>
      <c r="IQ87" s="3">
        <f t="shared" si="58"/>
        <v>6.4855390008764235</v>
      </c>
      <c r="IR87" s="3">
        <f t="shared" si="58"/>
        <v>0.75231481481481477</v>
      </c>
      <c r="IS87" s="3">
        <f t="shared" si="58"/>
        <v>9.0968161143599744</v>
      </c>
      <c r="IT87" s="3">
        <f t="shared" si="58"/>
        <v>0</v>
      </c>
      <c r="IU87" s="3">
        <f t="shared" si="58"/>
        <v>1.7825311942959003</v>
      </c>
      <c r="IV87" s="3">
        <f t="shared" si="58"/>
        <v>2.7586206896551726</v>
      </c>
      <c r="IW87" s="3">
        <f t="shared" si="58"/>
        <v>0</v>
      </c>
      <c r="IX87" s="3">
        <f t="shared" si="54"/>
        <v>0.15974440894568689</v>
      </c>
      <c r="IY87" s="3">
        <f t="shared" si="54"/>
        <v>0</v>
      </c>
      <c r="IZ87" s="3">
        <f t="shared" si="54"/>
        <v>0</v>
      </c>
      <c r="JA87" s="3">
        <f t="shared" si="51"/>
        <v>0</v>
      </c>
      <c r="JB87" s="3">
        <f t="shared" ref="JB87:LM90" si="62">(JB24-JB$11)/JB$11*100</f>
        <v>0</v>
      </c>
      <c r="JC87" s="3">
        <f t="shared" si="62"/>
        <v>0</v>
      </c>
      <c r="JD87" s="3">
        <f t="shared" si="62"/>
        <v>4.9529470034670627E-2</v>
      </c>
      <c r="JE87" s="3">
        <f t="shared" si="62"/>
        <v>0</v>
      </c>
      <c r="JF87" s="3">
        <f t="shared" si="62"/>
        <v>1.2152777777777779</v>
      </c>
      <c r="JG87" s="3">
        <f t="shared" si="62"/>
        <v>0</v>
      </c>
      <c r="JH87" s="3">
        <f t="shared" si="62"/>
        <v>0</v>
      </c>
      <c r="JI87" s="3">
        <f t="shared" si="62"/>
        <v>0</v>
      </c>
      <c r="JJ87" s="3">
        <f t="shared" si="62"/>
        <v>0</v>
      </c>
      <c r="JK87" s="3">
        <f t="shared" si="62"/>
        <v>0.78636959370904314</v>
      </c>
      <c r="JL87" s="3">
        <f t="shared" si="62"/>
        <v>0</v>
      </c>
      <c r="JM87" s="3">
        <f t="shared" si="62"/>
        <v>0</v>
      </c>
      <c r="JN87" s="3">
        <f t="shared" si="62"/>
        <v>3.9745627980922099E-2</v>
      </c>
      <c r="JO87" s="3">
        <f t="shared" si="62"/>
        <v>1.5768056968463884</v>
      </c>
      <c r="JP87" s="3">
        <f t="shared" si="62"/>
        <v>4.688090737240076</v>
      </c>
      <c r="JQ87" s="3">
        <f t="shared" si="62"/>
        <v>9.3001409112259275</v>
      </c>
      <c r="JR87" s="3">
        <f t="shared" si="62"/>
        <v>0</v>
      </c>
      <c r="JS87" s="3">
        <f t="shared" si="62"/>
        <v>3.4460338101430428</v>
      </c>
      <c r="JT87" s="3">
        <f t="shared" si="62"/>
        <v>0.64780088646437095</v>
      </c>
      <c r="JU87" s="3">
        <f t="shared" si="62"/>
        <v>0</v>
      </c>
      <c r="JV87" s="3">
        <f t="shared" si="62"/>
        <v>2.3110880290833546</v>
      </c>
      <c r="JW87" s="3">
        <f t="shared" si="62"/>
        <v>0</v>
      </c>
      <c r="JX87" s="3">
        <f t="shared" si="62"/>
        <v>0.79908675799086759</v>
      </c>
      <c r="JY87" s="3">
        <f t="shared" si="62"/>
        <v>2.10387902695595</v>
      </c>
      <c r="JZ87" s="3">
        <f t="shared" si="62"/>
        <v>1.4362057448229792</v>
      </c>
      <c r="KA87" s="3">
        <f t="shared" si="62"/>
        <v>4.9401197604790417</v>
      </c>
      <c r="KB87" s="3">
        <f t="shared" si="62"/>
        <v>2.4139844617092123</v>
      </c>
      <c r="KC87" s="3">
        <f t="shared" si="62"/>
        <v>6.9669475048606611</v>
      </c>
      <c r="KD87" s="3">
        <f t="shared" si="62"/>
        <v>0</v>
      </c>
      <c r="KE87" s="3">
        <f t="shared" si="62"/>
        <v>5.1428571428571423</v>
      </c>
      <c r="KF87" s="3">
        <f t="shared" si="62"/>
        <v>0</v>
      </c>
      <c r="KG87" s="3">
        <f t="shared" si="62"/>
        <v>3.1963470319634704</v>
      </c>
      <c r="KH87" s="3">
        <f t="shared" si="62"/>
        <v>0.14792899408284024</v>
      </c>
      <c r="KI87" s="3">
        <f t="shared" si="62"/>
        <v>3.6912751677852351</v>
      </c>
      <c r="KJ87" s="3">
        <f t="shared" si="62"/>
        <v>0</v>
      </c>
      <c r="KK87" s="3">
        <f t="shared" si="62"/>
        <v>0</v>
      </c>
      <c r="KL87" s="3">
        <f t="shared" si="62"/>
        <v>0</v>
      </c>
      <c r="KM87" s="3">
        <f t="shared" si="62"/>
        <v>0</v>
      </c>
      <c r="KN87" s="3">
        <f t="shared" si="62"/>
        <v>0</v>
      </c>
      <c r="KO87" s="3">
        <f t="shared" si="62"/>
        <v>0</v>
      </c>
      <c r="KP87" s="3">
        <f t="shared" si="62"/>
        <v>0</v>
      </c>
      <c r="KQ87" s="3">
        <f t="shared" si="62"/>
        <v>5.4545454545454541</v>
      </c>
      <c r="KR87" s="3">
        <f t="shared" si="62"/>
        <v>0.25510204081632654</v>
      </c>
      <c r="KS87" s="3">
        <f t="shared" si="62"/>
        <v>1.6797312430011198</v>
      </c>
      <c r="KT87" s="3">
        <f t="shared" si="62"/>
        <v>0</v>
      </c>
      <c r="KU87" s="3">
        <f t="shared" si="62"/>
        <v>0</v>
      </c>
      <c r="KV87" s="3">
        <f t="shared" si="62"/>
        <v>0</v>
      </c>
      <c r="KW87" s="3">
        <f t="shared" si="62"/>
        <v>0</v>
      </c>
      <c r="KX87" s="3">
        <f t="shared" si="62"/>
        <v>0</v>
      </c>
      <c r="KY87" s="3">
        <f t="shared" si="62"/>
        <v>0</v>
      </c>
      <c r="KZ87" s="3">
        <f t="shared" si="62"/>
        <v>2.0512820512820511</v>
      </c>
      <c r="LA87" s="3">
        <f t="shared" si="62"/>
        <v>8.1196581196581192</v>
      </c>
      <c r="LB87" s="3">
        <f t="shared" si="62"/>
        <v>2.4096385542168677</v>
      </c>
      <c r="LC87" s="3">
        <f t="shared" si="62"/>
        <v>0</v>
      </c>
      <c r="LD87" s="3">
        <f t="shared" si="62"/>
        <v>0.32679738562091504</v>
      </c>
      <c r="LE87" s="3">
        <f t="shared" si="62"/>
        <v>0.7569386038687973</v>
      </c>
      <c r="LF87" s="3">
        <f t="shared" si="62"/>
        <v>0</v>
      </c>
      <c r="LG87" s="3">
        <f t="shared" si="62"/>
        <v>0</v>
      </c>
      <c r="LH87" s="3">
        <f t="shared" si="62"/>
        <v>0</v>
      </c>
      <c r="LI87" s="3">
        <f t="shared" si="62"/>
        <v>2.7878787878787876</v>
      </c>
      <c r="LJ87" s="3">
        <f t="shared" si="62"/>
        <v>2.1276595744680851</v>
      </c>
      <c r="LK87" s="3">
        <f t="shared" si="62"/>
        <v>4.435483870967742</v>
      </c>
      <c r="LL87" s="3">
        <f t="shared" si="62"/>
        <v>1.7785427423981641</v>
      </c>
      <c r="LM87" s="3">
        <f t="shared" si="62"/>
        <v>6.1482820976491857</v>
      </c>
      <c r="LN87" s="3">
        <f t="shared" si="59"/>
        <v>0</v>
      </c>
      <c r="LO87" s="3">
        <f t="shared" si="59"/>
        <v>0</v>
      </c>
      <c r="LP87" s="3">
        <f t="shared" ref="LP87:MW87" si="63">(LP24-LP$11)/LP$11*100</f>
        <v>2.9835390946502058</v>
      </c>
      <c r="LQ87" s="3">
        <f t="shared" si="63"/>
        <v>0</v>
      </c>
      <c r="LR87" s="3">
        <f t="shared" si="63"/>
        <v>1.5202702702702704</v>
      </c>
      <c r="LS87" s="3">
        <f t="shared" si="63"/>
        <v>1.8691588785046727</v>
      </c>
      <c r="LT87" s="3">
        <f t="shared" si="63"/>
        <v>0</v>
      </c>
      <c r="LU87" s="3">
        <f t="shared" si="63"/>
        <v>0</v>
      </c>
      <c r="LV87" s="3">
        <f t="shared" si="63"/>
        <v>0</v>
      </c>
      <c r="LW87" s="3">
        <f t="shared" si="63"/>
        <v>0</v>
      </c>
      <c r="LX87" s="3">
        <f t="shared" si="63"/>
        <v>0</v>
      </c>
      <c r="LY87" s="3">
        <f t="shared" si="63"/>
        <v>0</v>
      </c>
      <c r="LZ87" s="3">
        <f t="shared" si="63"/>
        <v>1.6858917480035491</v>
      </c>
      <c r="MA87" s="3">
        <f t="shared" si="63"/>
        <v>0</v>
      </c>
      <c r="MB87" s="3">
        <f t="shared" si="63"/>
        <v>1.8473505104521146</v>
      </c>
      <c r="MC87" s="3">
        <f t="shared" si="63"/>
        <v>0</v>
      </c>
      <c r="MD87" s="3">
        <f t="shared" si="63"/>
        <v>1.0697674418604652</v>
      </c>
      <c r="ME87" s="3">
        <f t="shared" si="63"/>
        <v>0</v>
      </c>
      <c r="MF87" s="3">
        <f t="shared" si="63"/>
        <v>0</v>
      </c>
      <c r="MG87" s="3">
        <f t="shared" si="63"/>
        <v>0</v>
      </c>
      <c r="MH87" s="3">
        <f t="shared" si="63"/>
        <v>1.7105263157894739</v>
      </c>
      <c r="MI87" s="3">
        <f t="shared" si="63"/>
        <v>0</v>
      </c>
      <c r="MJ87" s="3">
        <f t="shared" si="63"/>
        <v>4.790905399918798</v>
      </c>
      <c r="MK87" s="3">
        <f t="shared" si="63"/>
        <v>3.6021926389976504</v>
      </c>
      <c r="ML87" s="3">
        <f t="shared" si="63"/>
        <v>1.6075388026607538</v>
      </c>
      <c r="MM87" s="3">
        <f t="shared" si="63"/>
        <v>0</v>
      </c>
      <c r="MN87" s="3">
        <f t="shared" si="63"/>
        <v>0.4327563249001331</v>
      </c>
      <c r="MO87" s="3">
        <f t="shared" si="63"/>
        <v>3.2657657657657655</v>
      </c>
      <c r="MP87" s="3">
        <f t="shared" si="63"/>
        <v>0</v>
      </c>
      <c r="MQ87" s="3">
        <f t="shared" si="63"/>
        <v>0</v>
      </c>
      <c r="MR87" s="3">
        <f t="shared" si="63"/>
        <v>1.3705335291238374</v>
      </c>
      <c r="MS87" s="3">
        <f t="shared" si="63"/>
        <v>0</v>
      </c>
      <c r="MT87" s="3">
        <f t="shared" si="63"/>
        <v>2.0444763271162123</v>
      </c>
      <c r="MU87" s="3">
        <f t="shared" si="63"/>
        <v>4.4815799468287132</v>
      </c>
      <c r="MV87" s="3">
        <f t="shared" si="63"/>
        <v>1.7699115044247788</v>
      </c>
      <c r="MW87" s="3">
        <f t="shared" si="63"/>
        <v>6.7985166872682328</v>
      </c>
      <c r="MX87" s="3"/>
      <c r="MY87" s="3"/>
    </row>
    <row r="88" spans="1:363" x14ac:dyDescent="0.3">
      <c r="A88" s="3">
        <v>14</v>
      </c>
      <c r="B88" s="3">
        <f t="shared" si="33"/>
        <v>1.1494252873563218</v>
      </c>
      <c r="C88" s="3">
        <f t="shared" si="56"/>
        <v>0</v>
      </c>
      <c r="D88" s="3">
        <f t="shared" si="56"/>
        <v>0.21186440677966101</v>
      </c>
      <c r="E88" s="3">
        <f t="shared" si="56"/>
        <v>8.0275229357798175</v>
      </c>
      <c r="F88" s="3">
        <f t="shared" si="56"/>
        <v>0</v>
      </c>
      <c r="G88" s="3">
        <f t="shared" si="56"/>
        <v>2.1032504780114722</v>
      </c>
      <c r="H88" s="3">
        <f t="shared" si="56"/>
        <v>0</v>
      </c>
      <c r="I88" s="3">
        <f t="shared" si="56"/>
        <v>0</v>
      </c>
      <c r="J88" s="3">
        <f t="shared" si="56"/>
        <v>0</v>
      </c>
      <c r="K88" s="3">
        <f t="shared" si="56"/>
        <v>0</v>
      </c>
      <c r="L88" s="3">
        <f t="shared" si="56"/>
        <v>0</v>
      </c>
      <c r="M88" s="3">
        <f t="shared" si="56"/>
        <v>0</v>
      </c>
      <c r="N88" s="3">
        <f t="shared" si="56"/>
        <v>1.4678899082568808</v>
      </c>
      <c r="O88" s="3">
        <f t="shared" si="56"/>
        <v>1.0373443983402488</v>
      </c>
      <c r="P88" s="3">
        <f t="shared" si="56"/>
        <v>1.6569200779727096</v>
      </c>
      <c r="Q88" s="3">
        <f t="shared" si="56"/>
        <v>0</v>
      </c>
      <c r="R88" s="3">
        <f t="shared" si="56"/>
        <v>0.48355899419729209</v>
      </c>
      <c r="S88" s="3">
        <f t="shared" si="56"/>
        <v>2.6018099547511313</v>
      </c>
      <c r="T88" s="3">
        <f t="shared" si="56"/>
        <v>0</v>
      </c>
      <c r="U88" s="3">
        <f t="shared" si="56"/>
        <v>0</v>
      </c>
      <c r="V88" s="3">
        <f t="shared" si="56"/>
        <v>0</v>
      </c>
      <c r="W88" s="3">
        <f t="shared" si="56"/>
        <v>3.7962962962962963</v>
      </c>
      <c r="X88" s="3">
        <f t="shared" si="56"/>
        <v>0.38759689922480622</v>
      </c>
      <c r="Y88" s="3">
        <f t="shared" si="56"/>
        <v>8.9130434782608692</v>
      </c>
      <c r="Z88" s="3">
        <f t="shared" si="56"/>
        <v>0.28490028490028491</v>
      </c>
      <c r="AA88" s="3">
        <f t="shared" si="56"/>
        <v>0.66152149944873206</v>
      </c>
      <c r="AB88" s="3">
        <f t="shared" si="56"/>
        <v>1.7241379310344827</v>
      </c>
      <c r="AC88" s="3">
        <f t="shared" si="56"/>
        <v>0.37537537537537535</v>
      </c>
      <c r="AD88" s="3">
        <f t="shared" si="56"/>
        <v>0.43620501635768816</v>
      </c>
      <c r="AE88" s="3">
        <f t="shared" si="56"/>
        <v>0</v>
      </c>
      <c r="AF88" s="3">
        <f t="shared" si="56"/>
        <v>0.46511627906976744</v>
      </c>
      <c r="AG88" s="3">
        <f t="shared" si="56"/>
        <v>3.9814814814814818</v>
      </c>
      <c r="AH88" s="3">
        <f t="shared" si="56"/>
        <v>1.1475409836065573</v>
      </c>
      <c r="AI88" s="3">
        <f t="shared" si="56"/>
        <v>4.8892988929889292</v>
      </c>
      <c r="AJ88" s="3">
        <f t="shared" si="56"/>
        <v>0.54890219560878251</v>
      </c>
      <c r="AK88" s="3">
        <f t="shared" si="56"/>
        <v>7.3983739837398383</v>
      </c>
      <c r="AL88" s="3">
        <f t="shared" si="56"/>
        <v>0</v>
      </c>
      <c r="AM88" s="3">
        <f t="shared" si="56"/>
        <v>0</v>
      </c>
      <c r="AN88" s="3">
        <f t="shared" si="56"/>
        <v>3.0612244897959182</v>
      </c>
      <c r="AO88" s="3">
        <f t="shared" si="56"/>
        <v>0</v>
      </c>
      <c r="AP88" s="3">
        <f t="shared" si="56"/>
        <v>0.29197080291970801</v>
      </c>
      <c r="AQ88" s="3">
        <f t="shared" si="56"/>
        <v>0</v>
      </c>
      <c r="AR88" s="3">
        <f t="shared" si="56"/>
        <v>0</v>
      </c>
      <c r="AS88" s="3">
        <f t="shared" si="56"/>
        <v>0</v>
      </c>
      <c r="AT88" s="3">
        <f t="shared" si="56"/>
        <v>0</v>
      </c>
      <c r="AU88" s="3">
        <f t="shared" si="56"/>
        <v>0</v>
      </c>
      <c r="AV88" s="3">
        <f t="shared" si="56"/>
        <v>0</v>
      </c>
      <c r="AW88" s="3">
        <f t="shared" si="56"/>
        <v>0</v>
      </c>
      <c r="AX88" s="3">
        <f t="shared" si="56"/>
        <v>0</v>
      </c>
      <c r="AY88" s="3">
        <f t="shared" si="56"/>
        <v>0.96021947873799729</v>
      </c>
      <c r="AZ88" s="3">
        <f t="shared" si="56"/>
        <v>2.3446658851113718</v>
      </c>
      <c r="BA88" s="3">
        <f t="shared" si="56"/>
        <v>0</v>
      </c>
      <c r="BB88" s="3">
        <f t="shared" si="56"/>
        <v>1.957831325301205</v>
      </c>
      <c r="BC88" s="3">
        <f t="shared" si="56"/>
        <v>2.7163904235727441</v>
      </c>
      <c r="BD88" s="3">
        <f t="shared" si="56"/>
        <v>0</v>
      </c>
      <c r="BE88" s="3">
        <f t="shared" si="56"/>
        <v>0</v>
      </c>
      <c r="BF88" s="3">
        <f t="shared" si="56"/>
        <v>0</v>
      </c>
      <c r="BG88" s="3">
        <f t="shared" si="56"/>
        <v>0</v>
      </c>
      <c r="BH88" s="3">
        <f t="shared" si="56"/>
        <v>4.0273862263391056</v>
      </c>
      <c r="BI88" s="3">
        <f t="shared" si="56"/>
        <v>8.0445014976465554</v>
      </c>
      <c r="BJ88" s="3">
        <f t="shared" si="56"/>
        <v>0.51052967453733256</v>
      </c>
      <c r="BK88" s="3">
        <f t="shared" si="56"/>
        <v>3.4518828451882846</v>
      </c>
      <c r="BL88" s="3">
        <f t="shared" si="56"/>
        <v>0</v>
      </c>
      <c r="BM88" s="3">
        <f t="shared" si="56"/>
        <v>4.2727272727272725</v>
      </c>
      <c r="BN88" s="3">
        <f t="shared" ref="BN88:DY91" si="64">(BN25-BN$11)/BN$11*100</f>
        <v>1.8464785017145873</v>
      </c>
      <c r="BO88" s="3">
        <f t="shared" si="64"/>
        <v>1.0891963497203414</v>
      </c>
      <c r="BP88" s="3">
        <f t="shared" si="64"/>
        <v>1.8849206349206349</v>
      </c>
      <c r="BQ88" s="3">
        <f t="shared" si="64"/>
        <v>0</v>
      </c>
      <c r="BR88" s="3">
        <f t="shared" si="64"/>
        <v>2.4132730015082959</v>
      </c>
      <c r="BS88" s="3">
        <f t="shared" si="64"/>
        <v>5.0316957210776545</v>
      </c>
      <c r="BT88" s="3">
        <f t="shared" si="64"/>
        <v>2.510460251046025</v>
      </c>
      <c r="BU88" s="3">
        <f t="shared" si="64"/>
        <v>6.0395695938910103</v>
      </c>
      <c r="BV88" s="3">
        <f t="shared" si="64"/>
        <v>1.3297872340425532</v>
      </c>
      <c r="BW88" s="3">
        <f t="shared" si="64"/>
        <v>0</v>
      </c>
      <c r="BX88" s="3">
        <f t="shared" si="64"/>
        <v>1.2254901960784315</v>
      </c>
      <c r="BY88" s="3">
        <f t="shared" si="64"/>
        <v>2.358490566037736</v>
      </c>
      <c r="BZ88" s="3">
        <f t="shared" si="64"/>
        <v>0.50420168067226889</v>
      </c>
      <c r="CA88" s="3">
        <f t="shared" si="64"/>
        <v>4.562043795620438</v>
      </c>
      <c r="CB88" s="3">
        <f t="shared" si="64"/>
        <v>0</v>
      </c>
      <c r="CC88" s="3">
        <f t="shared" si="64"/>
        <v>0</v>
      </c>
      <c r="CD88" s="3">
        <f t="shared" si="64"/>
        <v>0</v>
      </c>
      <c r="CE88" s="3">
        <f t="shared" si="64"/>
        <v>0</v>
      </c>
      <c r="CF88" s="3">
        <f t="shared" si="64"/>
        <v>0</v>
      </c>
      <c r="CG88" s="3">
        <f t="shared" si="64"/>
        <v>0</v>
      </c>
      <c r="CH88" s="3">
        <f t="shared" si="64"/>
        <v>0.76804915514592931</v>
      </c>
      <c r="CI88" s="3">
        <f t="shared" si="64"/>
        <v>0</v>
      </c>
      <c r="CJ88" s="3">
        <f t="shared" si="64"/>
        <v>2.3423423423423424</v>
      </c>
      <c r="CK88" s="3">
        <f t="shared" si="64"/>
        <v>3.8502673796791447</v>
      </c>
      <c r="CL88" s="3">
        <f t="shared" si="64"/>
        <v>0</v>
      </c>
      <c r="CM88" s="3">
        <f t="shared" si="64"/>
        <v>0</v>
      </c>
      <c r="CN88" s="3">
        <f t="shared" si="64"/>
        <v>0</v>
      </c>
      <c r="CO88" s="3">
        <f t="shared" si="64"/>
        <v>0</v>
      </c>
      <c r="CP88" s="3">
        <f t="shared" si="64"/>
        <v>0</v>
      </c>
      <c r="CQ88" s="3">
        <f t="shared" si="64"/>
        <v>0</v>
      </c>
      <c r="CR88" s="3">
        <f t="shared" si="64"/>
        <v>2.2939068100358422</v>
      </c>
      <c r="CS88" s="3">
        <f t="shared" si="64"/>
        <v>5.7728119180633151</v>
      </c>
      <c r="CT88" s="3">
        <f t="shared" si="64"/>
        <v>0</v>
      </c>
      <c r="CU88" s="3">
        <f t="shared" si="64"/>
        <v>0</v>
      </c>
      <c r="CV88" s="3">
        <f t="shared" si="64"/>
        <v>0</v>
      </c>
      <c r="CW88" s="3">
        <f t="shared" si="64"/>
        <v>0</v>
      </c>
      <c r="CX88" s="3">
        <f t="shared" si="64"/>
        <v>0</v>
      </c>
      <c r="CY88" s="3">
        <f t="shared" si="64"/>
        <v>0</v>
      </c>
      <c r="CZ88" s="3">
        <f t="shared" si="64"/>
        <v>0</v>
      </c>
      <c r="DA88" s="3">
        <f t="shared" si="64"/>
        <v>0</v>
      </c>
      <c r="DB88" s="3">
        <f t="shared" si="64"/>
        <v>0.92592592592592582</v>
      </c>
      <c r="DC88" s="3">
        <f t="shared" si="64"/>
        <v>4.9960348929421095</v>
      </c>
      <c r="DD88" s="3">
        <f t="shared" si="64"/>
        <v>0.8045977011494253</v>
      </c>
      <c r="DE88" s="3">
        <f t="shared" si="64"/>
        <v>8.2513247539742629</v>
      </c>
      <c r="DF88" s="3">
        <f t="shared" si="64"/>
        <v>0</v>
      </c>
      <c r="DG88" s="3">
        <f t="shared" si="64"/>
        <v>0.46875</v>
      </c>
      <c r="DH88" s="3">
        <f t="shared" si="64"/>
        <v>0</v>
      </c>
      <c r="DI88" s="3">
        <f t="shared" si="64"/>
        <v>0.82796688132474694</v>
      </c>
      <c r="DJ88" s="3">
        <f t="shared" si="64"/>
        <v>0</v>
      </c>
      <c r="DK88" s="3">
        <f t="shared" si="64"/>
        <v>2.9411764705882351</v>
      </c>
      <c r="DL88" s="3">
        <f t="shared" si="64"/>
        <v>0</v>
      </c>
      <c r="DM88" s="3">
        <f t="shared" si="64"/>
        <v>0</v>
      </c>
      <c r="DN88" s="3">
        <f t="shared" si="64"/>
        <v>0</v>
      </c>
      <c r="DO88" s="3">
        <f t="shared" si="64"/>
        <v>0</v>
      </c>
      <c r="DP88" s="3">
        <f t="shared" si="64"/>
        <v>0</v>
      </c>
      <c r="DQ88" s="3">
        <f t="shared" si="64"/>
        <v>0</v>
      </c>
      <c r="DR88" s="3">
        <f t="shared" si="64"/>
        <v>0</v>
      </c>
      <c r="DS88" s="3">
        <f t="shared" si="64"/>
        <v>0</v>
      </c>
      <c r="DT88" s="3">
        <f t="shared" si="64"/>
        <v>1.4966740576496673</v>
      </c>
      <c r="DU88" s="3">
        <f t="shared" si="64"/>
        <v>1.5755785327424916</v>
      </c>
      <c r="DV88" s="3">
        <f t="shared" si="64"/>
        <v>0</v>
      </c>
      <c r="DW88" s="3">
        <f t="shared" si="64"/>
        <v>0</v>
      </c>
      <c r="DX88" s="3">
        <f t="shared" si="64"/>
        <v>0</v>
      </c>
      <c r="DY88" s="3">
        <f t="shared" si="64"/>
        <v>0</v>
      </c>
      <c r="DZ88" s="3">
        <f t="shared" si="40"/>
        <v>0.26327336551118913</v>
      </c>
      <c r="EA88" s="3">
        <f t="shared" si="61"/>
        <v>3.2924107142857144</v>
      </c>
      <c r="EB88" s="3">
        <f t="shared" si="61"/>
        <v>3.6666666666666665</v>
      </c>
      <c r="EC88" s="3">
        <f t="shared" si="61"/>
        <v>5.6506849315068486</v>
      </c>
      <c r="ED88" s="3">
        <f t="shared" si="61"/>
        <v>1.9931271477663228</v>
      </c>
      <c r="EE88" s="3">
        <f t="shared" si="61"/>
        <v>0</v>
      </c>
      <c r="EF88" s="3">
        <f t="shared" si="61"/>
        <v>3.2235939643347047</v>
      </c>
      <c r="EG88" s="3">
        <f t="shared" si="61"/>
        <v>2.6218611521418018</v>
      </c>
      <c r="EH88" s="3">
        <f t="shared" si="61"/>
        <v>1.7979904812268643</v>
      </c>
      <c r="EI88" s="3">
        <f t="shared" si="61"/>
        <v>0</v>
      </c>
      <c r="EJ88" s="3">
        <f t="shared" si="61"/>
        <v>0.86050724637681164</v>
      </c>
      <c r="EK88" s="3">
        <f t="shared" si="61"/>
        <v>2.5016903313049359</v>
      </c>
      <c r="EL88" s="3">
        <f t="shared" si="61"/>
        <v>1.2574850299401197</v>
      </c>
      <c r="EM88" s="3">
        <f t="shared" si="61"/>
        <v>6.9323370693233706</v>
      </c>
      <c r="EN88" s="3">
        <f t="shared" si="61"/>
        <v>1.5608465608465607</v>
      </c>
      <c r="EO88" s="3">
        <f t="shared" si="61"/>
        <v>7.0450097847358117</v>
      </c>
      <c r="EP88" s="3">
        <f t="shared" si="61"/>
        <v>2.083333333333333</v>
      </c>
      <c r="EQ88" s="3">
        <f t="shared" si="61"/>
        <v>0</v>
      </c>
      <c r="ER88" s="3">
        <f t="shared" si="61"/>
        <v>1.7391304347826086</v>
      </c>
      <c r="ES88" s="3">
        <f t="shared" si="61"/>
        <v>0</v>
      </c>
      <c r="ET88" s="3">
        <f t="shared" si="61"/>
        <v>1.2658227848101267</v>
      </c>
      <c r="EU88" s="3">
        <f t="shared" si="61"/>
        <v>1.0189228529839884</v>
      </c>
      <c r="EV88" s="3">
        <f t="shared" si="61"/>
        <v>0</v>
      </c>
      <c r="EW88" s="3">
        <f t="shared" si="61"/>
        <v>0</v>
      </c>
      <c r="EX88" s="3">
        <f t="shared" si="61"/>
        <v>0</v>
      </c>
      <c r="EY88" s="3">
        <f t="shared" si="61"/>
        <v>0</v>
      </c>
      <c r="EZ88" s="3">
        <f t="shared" si="61"/>
        <v>0</v>
      </c>
      <c r="FA88" s="3">
        <f t="shared" si="61"/>
        <v>0</v>
      </c>
      <c r="FB88" s="3">
        <f t="shared" si="61"/>
        <v>0</v>
      </c>
      <c r="FC88" s="3">
        <f t="shared" si="61"/>
        <v>3.070175438596491</v>
      </c>
      <c r="FD88" s="3">
        <f t="shared" si="61"/>
        <v>1.984126984126984</v>
      </c>
      <c r="FE88" s="3">
        <f t="shared" si="61"/>
        <v>0</v>
      </c>
      <c r="FF88" s="3">
        <f t="shared" si="61"/>
        <v>1.8103448275862071</v>
      </c>
      <c r="FG88" s="3">
        <f t="shared" si="61"/>
        <v>2.4208566108007448</v>
      </c>
      <c r="FH88" s="3">
        <f t="shared" si="61"/>
        <v>0</v>
      </c>
      <c r="FI88" s="3">
        <f t="shared" si="61"/>
        <v>0</v>
      </c>
      <c r="FJ88" s="3">
        <f t="shared" si="61"/>
        <v>0</v>
      </c>
      <c r="FK88" s="3">
        <f t="shared" si="61"/>
        <v>0</v>
      </c>
      <c r="FL88" s="3">
        <f t="shared" si="61"/>
        <v>1.7500000000000002</v>
      </c>
      <c r="FM88" s="3">
        <f t="shared" si="61"/>
        <v>2.6294165981922761</v>
      </c>
      <c r="FN88" s="3">
        <f t="shared" si="61"/>
        <v>0</v>
      </c>
      <c r="FO88" s="3">
        <f t="shared" si="61"/>
        <v>5.0373134328358207</v>
      </c>
      <c r="FP88" s="3">
        <f t="shared" si="61"/>
        <v>0</v>
      </c>
      <c r="FQ88" s="3">
        <f t="shared" si="61"/>
        <v>0.90771558245083206</v>
      </c>
      <c r="FR88" s="3">
        <f t="shared" si="61"/>
        <v>2.7840909090909092</v>
      </c>
      <c r="FS88" s="3">
        <f t="shared" si="61"/>
        <v>0</v>
      </c>
      <c r="FT88" s="3">
        <f t="shared" si="61"/>
        <v>1.7068273092369479</v>
      </c>
      <c r="FU88" s="3">
        <f t="shared" si="61"/>
        <v>4.6814044213263983</v>
      </c>
      <c r="FV88" s="3">
        <f t="shared" si="61"/>
        <v>1.7557251908396947</v>
      </c>
      <c r="FW88" s="3">
        <f t="shared" si="61"/>
        <v>5.4771784232365146</v>
      </c>
      <c r="FX88" s="3">
        <f t="shared" si="61"/>
        <v>1.7610062893081762</v>
      </c>
      <c r="FY88" s="3">
        <f t="shared" si="61"/>
        <v>7.4862637362637363</v>
      </c>
      <c r="FZ88" s="3">
        <f t="shared" si="61"/>
        <v>1.6304347826086956</v>
      </c>
      <c r="GA88" s="3">
        <f t="shared" si="61"/>
        <v>0</v>
      </c>
      <c r="GB88" s="3">
        <f t="shared" si="61"/>
        <v>2.0157756354075373</v>
      </c>
      <c r="GC88" s="3">
        <f t="shared" si="61"/>
        <v>4.0380047505938244</v>
      </c>
      <c r="GD88" s="3">
        <f t="shared" si="61"/>
        <v>0</v>
      </c>
      <c r="GE88" s="3">
        <f t="shared" si="61"/>
        <v>0</v>
      </c>
      <c r="GF88" s="3">
        <f t="shared" si="61"/>
        <v>0</v>
      </c>
      <c r="GG88" s="3">
        <f t="shared" si="61"/>
        <v>0</v>
      </c>
      <c r="GH88" s="3">
        <f t="shared" si="61"/>
        <v>0</v>
      </c>
      <c r="GI88" s="3">
        <f t="shared" si="61"/>
        <v>0</v>
      </c>
      <c r="GJ88" s="3">
        <f t="shared" si="61"/>
        <v>0</v>
      </c>
      <c r="GK88" s="3">
        <f t="shared" si="61"/>
        <v>0</v>
      </c>
      <c r="GL88" s="3">
        <f t="shared" si="61"/>
        <v>0.33444816053511706</v>
      </c>
      <c r="GM88" s="3">
        <f t="shared" si="58"/>
        <v>3.1758957654723128</v>
      </c>
      <c r="GN88" s="3">
        <f t="shared" si="58"/>
        <v>2.2471910112359552</v>
      </c>
      <c r="GO88" s="3">
        <f t="shared" si="58"/>
        <v>2.3797206414899121</v>
      </c>
      <c r="GP88" s="3">
        <f t="shared" si="58"/>
        <v>0</v>
      </c>
      <c r="GQ88" s="3">
        <f t="shared" si="58"/>
        <v>0</v>
      </c>
      <c r="GR88" s="3">
        <f t="shared" si="58"/>
        <v>0</v>
      </c>
      <c r="GS88" s="3">
        <f t="shared" si="58"/>
        <v>0</v>
      </c>
      <c r="GT88" s="3">
        <f t="shared" si="58"/>
        <v>1.1185682326621924</v>
      </c>
      <c r="GU88" s="3">
        <f t="shared" si="58"/>
        <v>0</v>
      </c>
      <c r="GV88" s="3">
        <f t="shared" si="58"/>
        <v>4.4662309368191728</v>
      </c>
      <c r="GW88" s="3">
        <f t="shared" si="58"/>
        <v>5.5427251732101617</v>
      </c>
      <c r="GX88" s="3">
        <f t="shared" si="58"/>
        <v>0</v>
      </c>
      <c r="GY88" s="3">
        <f t="shared" si="58"/>
        <v>0</v>
      </c>
      <c r="GZ88" s="3">
        <f t="shared" si="58"/>
        <v>0</v>
      </c>
      <c r="HA88" s="3">
        <f t="shared" si="58"/>
        <v>1.4406184118060434</v>
      </c>
      <c r="HB88" s="3">
        <f t="shared" si="58"/>
        <v>1.4024041213508873</v>
      </c>
      <c r="HC88" s="3">
        <f t="shared" si="58"/>
        <v>0</v>
      </c>
      <c r="HD88" s="3">
        <f t="shared" si="58"/>
        <v>0.59701492537313439</v>
      </c>
      <c r="HE88" s="3">
        <f t="shared" si="58"/>
        <v>5.3646775165762506</v>
      </c>
      <c r="HF88" s="3">
        <f t="shared" si="58"/>
        <v>1.2605042016806722</v>
      </c>
      <c r="HG88" s="3">
        <f t="shared" si="58"/>
        <v>5.8388765705838876</v>
      </c>
      <c r="HH88" s="3">
        <f t="shared" si="58"/>
        <v>1.0930350788002035</v>
      </c>
      <c r="HI88" s="3">
        <f t="shared" si="58"/>
        <v>4.4926650366748166</v>
      </c>
      <c r="HJ88" s="3">
        <f t="shared" si="58"/>
        <v>1.3953488372093024</v>
      </c>
      <c r="HK88" s="3">
        <f t="shared" si="58"/>
        <v>0.8875739644970414</v>
      </c>
      <c r="HL88" s="3">
        <f t="shared" si="58"/>
        <v>1.7543859649122806</v>
      </c>
      <c r="HM88" s="3">
        <f t="shared" si="58"/>
        <v>0</v>
      </c>
      <c r="HN88" s="3">
        <f t="shared" si="58"/>
        <v>2.2865853658536586</v>
      </c>
      <c r="HO88" s="3">
        <f t="shared" si="58"/>
        <v>0</v>
      </c>
      <c r="HP88" s="3">
        <f t="shared" si="58"/>
        <v>0</v>
      </c>
      <c r="HQ88" s="3">
        <f t="shared" si="58"/>
        <v>0</v>
      </c>
      <c r="HR88" s="3">
        <f t="shared" si="58"/>
        <v>0</v>
      </c>
      <c r="HS88" s="3">
        <f t="shared" si="58"/>
        <v>0</v>
      </c>
      <c r="HT88" s="3">
        <f t="shared" si="58"/>
        <v>0</v>
      </c>
      <c r="HU88" s="3">
        <f t="shared" si="58"/>
        <v>0</v>
      </c>
      <c r="HV88" s="3">
        <f t="shared" si="58"/>
        <v>0</v>
      </c>
      <c r="HW88" s="3">
        <f t="shared" si="58"/>
        <v>2</v>
      </c>
      <c r="HX88" s="3">
        <f t="shared" si="58"/>
        <v>2.147239263803681</v>
      </c>
      <c r="HY88" s="3">
        <f t="shared" si="58"/>
        <v>0</v>
      </c>
      <c r="HZ88" s="3">
        <f t="shared" si="58"/>
        <v>0.43478260869565216</v>
      </c>
      <c r="IA88" s="3">
        <f t="shared" si="58"/>
        <v>0</v>
      </c>
      <c r="IB88" s="3">
        <f t="shared" si="58"/>
        <v>0</v>
      </c>
      <c r="IC88" s="3">
        <f t="shared" si="58"/>
        <v>0</v>
      </c>
      <c r="ID88" s="3">
        <f t="shared" si="58"/>
        <v>0</v>
      </c>
      <c r="IE88" s="3">
        <f t="shared" si="58"/>
        <v>1.7964071856287425</v>
      </c>
      <c r="IF88" s="3">
        <f t="shared" si="58"/>
        <v>1.7595307917888565</v>
      </c>
      <c r="IG88" s="3">
        <f t="shared" si="58"/>
        <v>3.1135531135531136</v>
      </c>
      <c r="IH88" s="3">
        <f t="shared" si="58"/>
        <v>0</v>
      </c>
      <c r="II88" s="3">
        <f t="shared" si="58"/>
        <v>3.6257309941520468</v>
      </c>
      <c r="IJ88" s="3">
        <f t="shared" si="58"/>
        <v>0.47206923682140045</v>
      </c>
      <c r="IK88" s="3">
        <f t="shared" si="58"/>
        <v>3.7642045454545454</v>
      </c>
      <c r="IL88" s="3">
        <f t="shared" si="58"/>
        <v>0</v>
      </c>
      <c r="IM88" s="3">
        <f t="shared" si="58"/>
        <v>0</v>
      </c>
      <c r="IN88" s="3">
        <f t="shared" si="58"/>
        <v>0</v>
      </c>
      <c r="IO88" s="3">
        <f t="shared" si="58"/>
        <v>0</v>
      </c>
      <c r="IP88" s="3">
        <f t="shared" si="58"/>
        <v>2.3008849557522124</v>
      </c>
      <c r="IQ88" s="3">
        <f t="shared" si="58"/>
        <v>7.5372480280455729</v>
      </c>
      <c r="IR88" s="3">
        <f t="shared" si="58"/>
        <v>0.81018518518518512</v>
      </c>
      <c r="IS88" s="3">
        <f t="shared" si="58"/>
        <v>10.1364522417154</v>
      </c>
      <c r="IT88" s="3">
        <f t="shared" si="58"/>
        <v>0</v>
      </c>
      <c r="IU88" s="3">
        <f t="shared" si="58"/>
        <v>1.7825311942959003</v>
      </c>
      <c r="IV88" s="3">
        <f t="shared" si="58"/>
        <v>2.5287356321839081</v>
      </c>
      <c r="IW88" s="3">
        <f t="shared" si="58"/>
        <v>0</v>
      </c>
      <c r="IX88" s="3">
        <f t="shared" si="54"/>
        <v>0.15974440894568689</v>
      </c>
      <c r="IY88" s="3">
        <f t="shared" si="54"/>
        <v>0</v>
      </c>
      <c r="IZ88" s="3">
        <f t="shared" si="54"/>
        <v>0</v>
      </c>
      <c r="JA88" s="3">
        <f t="shared" si="51"/>
        <v>0</v>
      </c>
      <c r="JB88" s="3">
        <f t="shared" si="62"/>
        <v>0</v>
      </c>
      <c r="JC88" s="3">
        <f t="shared" si="62"/>
        <v>0</v>
      </c>
      <c r="JD88" s="3">
        <f t="shared" si="62"/>
        <v>0</v>
      </c>
      <c r="JE88" s="3">
        <f t="shared" si="62"/>
        <v>0</v>
      </c>
      <c r="JF88" s="3">
        <f t="shared" si="62"/>
        <v>1.0416666666666665</v>
      </c>
      <c r="JG88" s="3">
        <f t="shared" si="62"/>
        <v>0</v>
      </c>
      <c r="JH88" s="3">
        <f t="shared" si="62"/>
        <v>0</v>
      </c>
      <c r="JI88" s="3">
        <f t="shared" si="62"/>
        <v>0</v>
      </c>
      <c r="JJ88" s="3">
        <f t="shared" si="62"/>
        <v>0</v>
      </c>
      <c r="JK88" s="3">
        <f t="shared" si="62"/>
        <v>1.1358671909130624</v>
      </c>
      <c r="JL88" s="3">
        <f t="shared" si="62"/>
        <v>0</v>
      </c>
      <c r="JM88" s="3">
        <f t="shared" si="62"/>
        <v>0</v>
      </c>
      <c r="JN88" s="3">
        <f t="shared" si="62"/>
        <v>0</v>
      </c>
      <c r="JO88" s="3">
        <f t="shared" si="62"/>
        <v>1.2207527975584944</v>
      </c>
      <c r="JP88" s="3">
        <f t="shared" si="62"/>
        <v>4.7637051039697544</v>
      </c>
      <c r="JQ88" s="3">
        <f t="shared" si="62"/>
        <v>10.098637858149367</v>
      </c>
      <c r="JR88" s="3">
        <f t="shared" si="62"/>
        <v>0</v>
      </c>
      <c r="JS88" s="3">
        <f t="shared" si="62"/>
        <v>3.4460338101430428</v>
      </c>
      <c r="JT88" s="3">
        <f t="shared" si="62"/>
        <v>0.64780088646437095</v>
      </c>
      <c r="JU88" s="3">
        <f t="shared" si="62"/>
        <v>0</v>
      </c>
      <c r="JV88" s="3">
        <f t="shared" si="62"/>
        <v>2.2072189041807322</v>
      </c>
      <c r="JW88" s="3">
        <f t="shared" si="62"/>
        <v>0</v>
      </c>
      <c r="JX88" s="3">
        <f t="shared" si="62"/>
        <v>1.0273972602739725</v>
      </c>
      <c r="JY88" s="3">
        <f t="shared" si="62"/>
        <v>2.0381328073635765</v>
      </c>
      <c r="JZ88" s="3">
        <f t="shared" si="62"/>
        <v>1.5364061456245823</v>
      </c>
      <c r="KA88" s="3">
        <f t="shared" si="62"/>
        <v>4.6407185628742509</v>
      </c>
      <c r="KB88" s="3">
        <f t="shared" si="62"/>
        <v>2.7746947835738069</v>
      </c>
      <c r="KC88" s="3">
        <f t="shared" si="62"/>
        <v>6.2540505508749193</v>
      </c>
      <c r="KD88" s="3">
        <f t="shared" si="62"/>
        <v>0</v>
      </c>
      <c r="KE88" s="3">
        <f t="shared" si="62"/>
        <v>5.1428571428571423</v>
      </c>
      <c r="KF88" s="3">
        <f t="shared" si="62"/>
        <v>0</v>
      </c>
      <c r="KG88" s="3">
        <f t="shared" si="62"/>
        <v>3.8812785388127851</v>
      </c>
      <c r="KH88" s="3">
        <f t="shared" si="62"/>
        <v>0.14792899408284024</v>
      </c>
      <c r="KI88" s="3">
        <f t="shared" si="62"/>
        <v>5.0335570469798654</v>
      </c>
      <c r="KJ88" s="3">
        <f t="shared" si="62"/>
        <v>0</v>
      </c>
      <c r="KK88" s="3">
        <f t="shared" si="62"/>
        <v>0</v>
      </c>
      <c r="KL88" s="3">
        <f t="shared" si="62"/>
        <v>0</v>
      </c>
      <c r="KM88" s="3">
        <f t="shared" si="62"/>
        <v>0</v>
      </c>
      <c r="KN88" s="3">
        <f t="shared" si="62"/>
        <v>0</v>
      </c>
      <c r="KO88" s="3">
        <f t="shared" si="62"/>
        <v>0</v>
      </c>
      <c r="KP88" s="3">
        <f t="shared" si="62"/>
        <v>0</v>
      </c>
      <c r="KQ88" s="3">
        <f t="shared" si="62"/>
        <v>5.4545454545454541</v>
      </c>
      <c r="KR88" s="3">
        <f t="shared" si="62"/>
        <v>0.25510204081632654</v>
      </c>
      <c r="KS88" s="3">
        <f t="shared" si="62"/>
        <v>1.6797312430011198</v>
      </c>
      <c r="KT88" s="3">
        <f t="shared" si="62"/>
        <v>0</v>
      </c>
      <c r="KU88" s="3">
        <f t="shared" si="62"/>
        <v>0</v>
      </c>
      <c r="KV88" s="3">
        <f t="shared" si="62"/>
        <v>0</v>
      </c>
      <c r="KW88" s="3">
        <f t="shared" si="62"/>
        <v>0</v>
      </c>
      <c r="KX88" s="3">
        <f t="shared" si="62"/>
        <v>0</v>
      </c>
      <c r="KY88" s="3">
        <f t="shared" si="62"/>
        <v>0</v>
      </c>
      <c r="KZ88" s="3">
        <f t="shared" si="62"/>
        <v>2.271062271062271</v>
      </c>
      <c r="LA88" s="3">
        <f t="shared" si="62"/>
        <v>8.1196581196581192</v>
      </c>
      <c r="LB88" s="3">
        <f t="shared" si="62"/>
        <v>2.4096385542168677</v>
      </c>
      <c r="LC88" s="3">
        <f t="shared" si="62"/>
        <v>0</v>
      </c>
      <c r="LD88" s="3">
        <f t="shared" si="62"/>
        <v>0.39215686274509803</v>
      </c>
      <c r="LE88" s="3">
        <f t="shared" si="62"/>
        <v>0.92514718250630779</v>
      </c>
      <c r="LF88" s="3">
        <f t="shared" si="62"/>
        <v>0</v>
      </c>
      <c r="LG88" s="3">
        <f t="shared" si="62"/>
        <v>0</v>
      </c>
      <c r="LH88" s="3">
        <f t="shared" si="62"/>
        <v>0</v>
      </c>
      <c r="LI88" s="3">
        <f t="shared" si="62"/>
        <v>2.7878787878787876</v>
      </c>
      <c r="LJ88" s="3">
        <f t="shared" si="62"/>
        <v>1.8996960486322187</v>
      </c>
      <c r="LK88" s="3">
        <f t="shared" si="62"/>
        <v>3.6290322580645165</v>
      </c>
      <c r="LL88" s="3">
        <f t="shared" si="62"/>
        <v>1.7785427423981641</v>
      </c>
      <c r="LM88" s="3">
        <f t="shared" si="62"/>
        <v>6.5099457504520801</v>
      </c>
      <c r="LN88" s="3">
        <f t="shared" si="59"/>
        <v>0</v>
      </c>
      <c r="LO88" s="3">
        <f t="shared" si="59"/>
        <v>0</v>
      </c>
      <c r="LP88" s="3">
        <f t="shared" ref="LP88:MW88" si="65">(LP25-LP$11)/LP$11*100</f>
        <v>2.7777777777777777</v>
      </c>
      <c r="LQ88" s="3">
        <f t="shared" si="65"/>
        <v>0.30706243602865912</v>
      </c>
      <c r="LR88" s="3">
        <f t="shared" si="65"/>
        <v>1.1824324324324325</v>
      </c>
      <c r="LS88" s="3">
        <f t="shared" si="65"/>
        <v>4.1121495327102808</v>
      </c>
      <c r="LT88" s="3">
        <f t="shared" si="65"/>
        <v>0</v>
      </c>
      <c r="LU88" s="3">
        <f t="shared" si="65"/>
        <v>0</v>
      </c>
      <c r="LV88" s="3">
        <f t="shared" si="65"/>
        <v>0</v>
      </c>
      <c r="LW88" s="3">
        <f t="shared" si="65"/>
        <v>0</v>
      </c>
      <c r="LX88" s="3">
        <f t="shared" si="65"/>
        <v>0</v>
      </c>
      <c r="LY88" s="3">
        <f t="shared" si="65"/>
        <v>0</v>
      </c>
      <c r="LZ88" s="3">
        <f t="shared" si="65"/>
        <v>1.7746228926353149</v>
      </c>
      <c r="MA88" s="3">
        <f t="shared" si="65"/>
        <v>0</v>
      </c>
      <c r="MB88" s="3">
        <f t="shared" si="65"/>
        <v>2.0418084589207584</v>
      </c>
      <c r="MC88" s="3">
        <f t="shared" si="65"/>
        <v>0</v>
      </c>
      <c r="MD88" s="3">
        <f t="shared" si="65"/>
        <v>1.1627906976744187</v>
      </c>
      <c r="ME88" s="3">
        <f t="shared" si="65"/>
        <v>0</v>
      </c>
      <c r="MF88" s="3">
        <f t="shared" si="65"/>
        <v>0</v>
      </c>
      <c r="MG88" s="3">
        <f t="shared" si="65"/>
        <v>0</v>
      </c>
      <c r="MH88" s="3">
        <f t="shared" si="65"/>
        <v>1.9736842105263157</v>
      </c>
      <c r="MI88" s="3">
        <f t="shared" si="65"/>
        <v>0</v>
      </c>
      <c r="MJ88" s="3">
        <f t="shared" si="65"/>
        <v>5.1563134388956557</v>
      </c>
      <c r="MK88" s="3">
        <f t="shared" si="65"/>
        <v>3.1714956930305407</v>
      </c>
      <c r="ML88" s="3">
        <f t="shared" si="65"/>
        <v>1.5521064301552108</v>
      </c>
      <c r="MM88" s="3">
        <f t="shared" si="65"/>
        <v>0</v>
      </c>
      <c r="MN88" s="3">
        <f t="shared" si="65"/>
        <v>0.5992010652463382</v>
      </c>
      <c r="MO88" s="3">
        <f t="shared" si="65"/>
        <v>3.7912912912912913</v>
      </c>
      <c r="MP88" s="3">
        <f t="shared" si="65"/>
        <v>0</v>
      </c>
      <c r="MQ88" s="3">
        <f t="shared" si="65"/>
        <v>0</v>
      </c>
      <c r="MR88" s="3">
        <f t="shared" si="65"/>
        <v>1.4194811551639746</v>
      </c>
      <c r="MS88" s="3">
        <f t="shared" si="65"/>
        <v>0</v>
      </c>
      <c r="MT88" s="3">
        <f t="shared" si="65"/>
        <v>2.3314203730272598</v>
      </c>
      <c r="MU88" s="3">
        <f t="shared" si="65"/>
        <v>4.5955184200531711</v>
      </c>
      <c r="MV88" s="3">
        <f t="shared" si="65"/>
        <v>1.7438833940655909</v>
      </c>
      <c r="MW88" s="3">
        <f t="shared" si="65"/>
        <v>5.6551297898640298</v>
      </c>
      <c r="MX88" s="3"/>
      <c r="MY88" s="3"/>
    </row>
    <row r="89" spans="1:363" x14ac:dyDescent="0.3">
      <c r="A89" s="3">
        <v>15</v>
      </c>
      <c r="B89" s="3">
        <f t="shared" si="33"/>
        <v>1.1494252873563218</v>
      </c>
      <c r="C89" s="3">
        <f t="shared" ref="C89:BN92" si="66">(C26-C$11)/C$11*100</f>
        <v>0</v>
      </c>
      <c r="D89" s="3">
        <f t="shared" si="66"/>
        <v>0.21186440677966101</v>
      </c>
      <c r="E89" s="3">
        <f t="shared" si="66"/>
        <v>7.1100917431192663</v>
      </c>
      <c r="F89" s="3">
        <f t="shared" si="66"/>
        <v>0</v>
      </c>
      <c r="G89" s="3">
        <f t="shared" si="66"/>
        <v>2.1032504780114722</v>
      </c>
      <c r="H89" s="3">
        <f t="shared" si="66"/>
        <v>0</v>
      </c>
      <c r="I89" s="3">
        <f t="shared" si="66"/>
        <v>0</v>
      </c>
      <c r="J89" s="3">
        <f t="shared" si="66"/>
        <v>0</v>
      </c>
      <c r="K89" s="3">
        <f t="shared" si="66"/>
        <v>0</v>
      </c>
      <c r="L89" s="3">
        <f t="shared" si="66"/>
        <v>0</v>
      </c>
      <c r="M89" s="3">
        <f t="shared" si="66"/>
        <v>0</v>
      </c>
      <c r="N89" s="3">
        <f t="shared" si="66"/>
        <v>1.4678899082568808</v>
      </c>
      <c r="O89" s="3">
        <f t="shared" si="66"/>
        <v>1.0373443983402488</v>
      </c>
      <c r="P89" s="3">
        <f t="shared" si="66"/>
        <v>1.6569200779727096</v>
      </c>
      <c r="Q89" s="3">
        <f t="shared" si="66"/>
        <v>0</v>
      </c>
      <c r="R89" s="3">
        <f t="shared" si="66"/>
        <v>0.67698259187620891</v>
      </c>
      <c r="S89" s="3">
        <f t="shared" si="66"/>
        <v>2.0361990950226243</v>
      </c>
      <c r="T89" s="3">
        <f t="shared" si="66"/>
        <v>0</v>
      </c>
      <c r="U89" s="3">
        <f t="shared" si="66"/>
        <v>0</v>
      </c>
      <c r="V89" s="3">
        <f t="shared" si="66"/>
        <v>0</v>
      </c>
      <c r="W89" s="3">
        <f t="shared" si="66"/>
        <v>3.7962962962962963</v>
      </c>
      <c r="X89" s="3">
        <f t="shared" si="66"/>
        <v>0.69767441860465118</v>
      </c>
      <c r="Y89" s="3">
        <f t="shared" si="66"/>
        <v>7.5</v>
      </c>
      <c r="Z89" s="3">
        <f t="shared" si="66"/>
        <v>0.28490028490028491</v>
      </c>
      <c r="AA89" s="3">
        <f t="shared" si="66"/>
        <v>0.66152149944873206</v>
      </c>
      <c r="AB89" s="3">
        <f t="shared" si="66"/>
        <v>1.8103448275862071</v>
      </c>
      <c r="AC89" s="3">
        <f t="shared" si="66"/>
        <v>0.37537537537537535</v>
      </c>
      <c r="AD89" s="3">
        <f t="shared" si="66"/>
        <v>0.5997818974918212</v>
      </c>
      <c r="AE89" s="3">
        <f t="shared" si="66"/>
        <v>0</v>
      </c>
      <c r="AF89" s="3">
        <f t="shared" si="66"/>
        <v>0.46511627906976744</v>
      </c>
      <c r="AG89" s="3">
        <f t="shared" si="66"/>
        <v>3.9814814814814818</v>
      </c>
      <c r="AH89" s="3">
        <f t="shared" si="66"/>
        <v>0.9289617486338797</v>
      </c>
      <c r="AI89" s="3">
        <f t="shared" si="66"/>
        <v>4.7970479704797047</v>
      </c>
      <c r="AJ89" s="3">
        <f t="shared" si="66"/>
        <v>0.54890219560878251</v>
      </c>
      <c r="AK89" s="3">
        <f t="shared" si="66"/>
        <v>7.4796747967479673</v>
      </c>
      <c r="AL89" s="3">
        <f t="shared" si="66"/>
        <v>0</v>
      </c>
      <c r="AM89" s="3">
        <f t="shared" si="66"/>
        <v>0</v>
      </c>
      <c r="AN89" s="3">
        <f t="shared" si="66"/>
        <v>3.1539888682745829</v>
      </c>
      <c r="AO89" s="3">
        <f t="shared" si="66"/>
        <v>0</v>
      </c>
      <c r="AP89" s="3">
        <f t="shared" si="66"/>
        <v>0.36496350364963503</v>
      </c>
      <c r="AQ89" s="3">
        <f t="shared" si="66"/>
        <v>0</v>
      </c>
      <c r="AR89" s="3">
        <f t="shared" si="66"/>
        <v>0</v>
      </c>
      <c r="AS89" s="3">
        <f t="shared" si="66"/>
        <v>0</v>
      </c>
      <c r="AT89" s="3">
        <f t="shared" si="66"/>
        <v>0</v>
      </c>
      <c r="AU89" s="3">
        <f t="shared" si="66"/>
        <v>0</v>
      </c>
      <c r="AV89" s="3">
        <f t="shared" si="66"/>
        <v>0</v>
      </c>
      <c r="AW89" s="3">
        <f t="shared" si="66"/>
        <v>0</v>
      </c>
      <c r="AX89" s="3">
        <f t="shared" si="66"/>
        <v>0</v>
      </c>
      <c r="AY89" s="3">
        <f t="shared" si="66"/>
        <v>1.0288065843621399</v>
      </c>
      <c r="AZ89" s="3">
        <f t="shared" si="66"/>
        <v>2.5791324736225087</v>
      </c>
      <c r="BA89" s="3">
        <f t="shared" si="66"/>
        <v>0</v>
      </c>
      <c r="BB89" s="3">
        <f t="shared" si="66"/>
        <v>1.957831325301205</v>
      </c>
      <c r="BC89" s="3">
        <f t="shared" si="66"/>
        <v>2.0718232044198892</v>
      </c>
      <c r="BD89" s="3">
        <f t="shared" si="66"/>
        <v>0</v>
      </c>
      <c r="BE89" s="3">
        <f t="shared" si="66"/>
        <v>0</v>
      </c>
      <c r="BF89" s="3">
        <f t="shared" si="66"/>
        <v>0</v>
      </c>
      <c r="BG89" s="3">
        <f t="shared" si="66"/>
        <v>0.14720314033366044</v>
      </c>
      <c r="BH89" s="3">
        <f t="shared" si="66"/>
        <v>3.262182843334676</v>
      </c>
      <c r="BI89" s="3">
        <f t="shared" si="66"/>
        <v>7.4882327770646127</v>
      </c>
      <c r="BJ89" s="3">
        <f t="shared" si="66"/>
        <v>0.38289725590299939</v>
      </c>
      <c r="BK89" s="3">
        <f t="shared" si="66"/>
        <v>3.7656903765690379</v>
      </c>
      <c r="BL89" s="3">
        <f t="shared" si="66"/>
        <v>0</v>
      </c>
      <c r="BM89" s="3">
        <f t="shared" si="66"/>
        <v>4.2272727272727275</v>
      </c>
      <c r="BN89" s="3">
        <f t="shared" si="66"/>
        <v>1.9783698232656293</v>
      </c>
      <c r="BO89" s="3">
        <f t="shared" si="64"/>
        <v>1.6485133941713275</v>
      </c>
      <c r="BP89" s="3">
        <f t="shared" si="64"/>
        <v>1.8849206349206349</v>
      </c>
      <c r="BQ89" s="3">
        <f t="shared" si="64"/>
        <v>0</v>
      </c>
      <c r="BR89" s="3">
        <f t="shared" si="64"/>
        <v>2.3755656108597285</v>
      </c>
      <c r="BS89" s="3">
        <f t="shared" si="64"/>
        <v>4.2393026941362919</v>
      </c>
      <c r="BT89" s="3">
        <f t="shared" si="64"/>
        <v>2.630005977286312</v>
      </c>
      <c r="BU89" s="3">
        <f t="shared" si="64"/>
        <v>5.5536272127733426</v>
      </c>
      <c r="BV89" s="3">
        <f t="shared" si="64"/>
        <v>1.3297872340425532</v>
      </c>
      <c r="BW89" s="3">
        <f t="shared" si="64"/>
        <v>0</v>
      </c>
      <c r="BX89" s="3">
        <f t="shared" si="64"/>
        <v>1.2254901960784315</v>
      </c>
      <c r="BY89" s="3">
        <f t="shared" si="64"/>
        <v>2.358490566037736</v>
      </c>
      <c r="BZ89" s="3">
        <f t="shared" si="64"/>
        <v>0.50420168067226889</v>
      </c>
      <c r="CA89" s="3">
        <f t="shared" si="64"/>
        <v>4.562043795620438</v>
      </c>
      <c r="CB89" s="3">
        <f t="shared" si="64"/>
        <v>0</v>
      </c>
      <c r="CC89" s="3">
        <f t="shared" si="64"/>
        <v>0</v>
      </c>
      <c r="CD89" s="3">
        <f t="shared" si="64"/>
        <v>0</v>
      </c>
      <c r="CE89" s="3">
        <f t="shared" si="64"/>
        <v>0</v>
      </c>
      <c r="CF89" s="3">
        <f t="shared" si="64"/>
        <v>0</v>
      </c>
      <c r="CG89" s="3">
        <f t="shared" si="64"/>
        <v>0</v>
      </c>
      <c r="CH89" s="3">
        <f t="shared" si="64"/>
        <v>0.76804915514592931</v>
      </c>
      <c r="CI89" s="3">
        <f t="shared" si="64"/>
        <v>0</v>
      </c>
      <c r="CJ89" s="3">
        <f t="shared" si="64"/>
        <v>2.4324324324324325</v>
      </c>
      <c r="CK89" s="3">
        <f t="shared" si="64"/>
        <v>3.8502673796791447</v>
      </c>
      <c r="CL89" s="3">
        <f t="shared" si="64"/>
        <v>0</v>
      </c>
      <c r="CM89" s="3">
        <f t="shared" si="64"/>
        <v>0</v>
      </c>
      <c r="CN89" s="3">
        <f t="shared" si="64"/>
        <v>0</v>
      </c>
      <c r="CO89" s="3">
        <f t="shared" si="64"/>
        <v>0</v>
      </c>
      <c r="CP89" s="3">
        <f t="shared" si="64"/>
        <v>9.0334236675700091E-2</v>
      </c>
      <c r="CQ89" s="3">
        <f t="shared" si="64"/>
        <v>0</v>
      </c>
      <c r="CR89" s="3">
        <f t="shared" si="64"/>
        <v>2.0071684587813619</v>
      </c>
      <c r="CS89" s="3">
        <f t="shared" si="64"/>
        <v>6.8901303538175043</v>
      </c>
      <c r="CT89" s="3">
        <f t="shared" si="64"/>
        <v>0</v>
      </c>
      <c r="CU89" s="3">
        <f t="shared" si="64"/>
        <v>0</v>
      </c>
      <c r="CV89" s="3">
        <f t="shared" si="64"/>
        <v>0</v>
      </c>
      <c r="CW89" s="3">
        <f t="shared" si="64"/>
        <v>0</v>
      </c>
      <c r="CX89" s="3">
        <f t="shared" si="64"/>
        <v>0</v>
      </c>
      <c r="CY89" s="3">
        <f t="shared" si="64"/>
        <v>0</v>
      </c>
      <c r="CZ89" s="3">
        <f t="shared" si="64"/>
        <v>0</v>
      </c>
      <c r="DA89" s="3">
        <f t="shared" si="64"/>
        <v>0</v>
      </c>
      <c r="DB89" s="3">
        <f t="shared" si="64"/>
        <v>1.2962962962962963</v>
      </c>
      <c r="DC89" s="3">
        <f t="shared" si="64"/>
        <v>4.8374306106264875</v>
      </c>
      <c r="DD89" s="3">
        <f t="shared" si="64"/>
        <v>0.68965517241379315</v>
      </c>
      <c r="DE89" s="3">
        <f t="shared" si="64"/>
        <v>7.948523845571537</v>
      </c>
      <c r="DF89" s="3">
        <f t="shared" si="64"/>
        <v>0</v>
      </c>
      <c r="DG89" s="3">
        <f t="shared" si="64"/>
        <v>0.46875</v>
      </c>
      <c r="DH89" s="3">
        <f t="shared" si="64"/>
        <v>0</v>
      </c>
      <c r="DI89" s="3">
        <f t="shared" si="64"/>
        <v>1.011959521619135</v>
      </c>
      <c r="DJ89" s="3">
        <f t="shared" si="64"/>
        <v>0</v>
      </c>
      <c r="DK89" s="3">
        <f t="shared" si="64"/>
        <v>2.6232114467408585</v>
      </c>
      <c r="DL89" s="3">
        <f t="shared" si="64"/>
        <v>0</v>
      </c>
      <c r="DM89" s="3">
        <f t="shared" si="64"/>
        <v>0</v>
      </c>
      <c r="DN89" s="3">
        <f t="shared" si="64"/>
        <v>0</v>
      </c>
      <c r="DO89" s="3">
        <f t="shared" si="64"/>
        <v>0</v>
      </c>
      <c r="DP89" s="3">
        <f t="shared" si="64"/>
        <v>0</v>
      </c>
      <c r="DQ89" s="3">
        <f t="shared" si="64"/>
        <v>0</v>
      </c>
      <c r="DR89" s="3">
        <f t="shared" si="64"/>
        <v>0</v>
      </c>
      <c r="DS89" s="3">
        <f t="shared" si="64"/>
        <v>0</v>
      </c>
      <c r="DT89" s="3">
        <f t="shared" si="64"/>
        <v>1.6075388026607538</v>
      </c>
      <c r="DU89" s="3">
        <f t="shared" si="64"/>
        <v>2.0679468242245198</v>
      </c>
      <c r="DV89" s="3">
        <f t="shared" si="64"/>
        <v>0</v>
      </c>
      <c r="DW89" s="3">
        <f t="shared" si="64"/>
        <v>0</v>
      </c>
      <c r="DX89" s="3">
        <f t="shared" si="64"/>
        <v>0</v>
      </c>
      <c r="DY89" s="3">
        <f t="shared" si="64"/>
        <v>0</v>
      </c>
      <c r="DZ89" s="3">
        <f t="shared" si="40"/>
        <v>0.17551557700745943</v>
      </c>
      <c r="EA89" s="3">
        <f t="shared" si="61"/>
        <v>3.6272321428571432</v>
      </c>
      <c r="EB89" s="3">
        <f t="shared" si="61"/>
        <v>3.5555555555555554</v>
      </c>
      <c r="EC89" s="3">
        <f t="shared" si="61"/>
        <v>4.6232876712328768</v>
      </c>
      <c r="ED89" s="3">
        <f t="shared" si="61"/>
        <v>2.1305841924398625</v>
      </c>
      <c r="EE89" s="3">
        <f t="shared" si="61"/>
        <v>0</v>
      </c>
      <c r="EF89" s="3">
        <f t="shared" si="61"/>
        <v>2.9149519890260631</v>
      </c>
      <c r="EG89" s="3">
        <f t="shared" si="61"/>
        <v>1.5878877400295421</v>
      </c>
      <c r="EH89" s="3">
        <f t="shared" si="61"/>
        <v>1.7451084082496033</v>
      </c>
      <c r="EI89" s="3">
        <f t="shared" si="61"/>
        <v>0.56360708534621573</v>
      </c>
      <c r="EJ89" s="3">
        <f t="shared" si="61"/>
        <v>0.95108695652173925</v>
      </c>
      <c r="EK89" s="3">
        <f t="shared" si="61"/>
        <v>4.1244083840432726</v>
      </c>
      <c r="EL89" s="3">
        <f t="shared" si="61"/>
        <v>1.3173652694610778</v>
      </c>
      <c r="EM89" s="3">
        <f t="shared" si="61"/>
        <v>8.3852220838522218</v>
      </c>
      <c r="EN89" s="3">
        <f t="shared" si="61"/>
        <v>1.64021164021164</v>
      </c>
      <c r="EO89" s="3">
        <f t="shared" si="61"/>
        <v>7.0450097847358117</v>
      </c>
      <c r="EP89" s="3">
        <f t="shared" si="61"/>
        <v>2.083333333333333</v>
      </c>
      <c r="EQ89" s="3">
        <f t="shared" si="61"/>
        <v>0</v>
      </c>
      <c r="ER89" s="3">
        <f t="shared" si="61"/>
        <v>1.7391304347826086</v>
      </c>
      <c r="ES89" s="3">
        <f t="shared" si="61"/>
        <v>0</v>
      </c>
      <c r="ET89" s="3">
        <f t="shared" si="61"/>
        <v>1.2658227848101267</v>
      </c>
      <c r="EU89" s="3">
        <f t="shared" si="61"/>
        <v>1.8922852983988356</v>
      </c>
      <c r="EV89" s="3">
        <f t="shared" si="61"/>
        <v>0</v>
      </c>
      <c r="EW89" s="3">
        <f t="shared" si="61"/>
        <v>0</v>
      </c>
      <c r="EX89" s="3">
        <f t="shared" si="61"/>
        <v>0</v>
      </c>
      <c r="EY89" s="3">
        <f t="shared" si="61"/>
        <v>0</v>
      </c>
      <c r="EZ89" s="3">
        <f t="shared" si="61"/>
        <v>0</v>
      </c>
      <c r="FA89" s="3">
        <f t="shared" si="61"/>
        <v>0</v>
      </c>
      <c r="FB89" s="3">
        <f t="shared" si="61"/>
        <v>0</v>
      </c>
      <c r="FC89" s="3">
        <f t="shared" si="61"/>
        <v>3.070175438596491</v>
      </c>
      <c r="FD89" s="3">
        <f t="shared" si="61"/>
        <v>2.2486772486772484</v>
      </c>
      <c r="FE89" s="3">
        <f t="shared" si="61"/>
        <v>0</v>
      </c>
      <c r="FF89" s="3">
        <f t="shared" si="61"/>
        <v>1.6379310344827587</v>
      </c>
      <c r="FG89" s="3">
        <f t="shared" si="61"/>
        <v>2.5139664804469275</v>
      </c>
      <c r="FH89" s="3">
        <f t="shared" si="61"/>
        <v>0</v>
      </c>
      <c r="FI89" s="3">
        <f t="shared" si="61"/>
        <v>0</v>
      </c>
      <c r="FJ89" s="3">
        <f t="shared" si="61"/>
        <v>0</v>
      </c>
      <c r="FK89" s="3">
        <f t="shared" si="61"/>
        <v>0</v>
      </c>
      <c r="FL89" s="3">
        <f t="shared" si="61"/>
        <v>1.8333333333333333</v>
      </c>
      <c r="FM89" s="3">
        <f t="shared" si="61"/>
        <v>2.9580936729663105</v>
      </c>
      <c r="FN89" s="3">
        <f t="shared" si="61"/>
        <v>0</v>
      </c>
      <c r="FO89" s="3">
        <f t="shared" si="61"/>
        <v>5.0373134328358207</v>
      </c>
      <c r="FP89" s="3">
        <f t="shared" si="61"/>
        <v>0</v>
      </c>
      <c r="FQ89" s="3">
        <f t="shared" si="61"/>
        <v>0.90771558245083206</v>
      </c>
      <c r="FR89" s="3">
        <f t="shared" si="61"/>
        <v>2.7272727272727271</v>
      </c>
      <c r="FS89" s="3">
        <f t="shared" si="61"/>
        <v>0</v>
      </c>
      <c r="FT89" s="3">
        <f t="shared" si="61"/>
        <v>1.7068273092369479</v>
      </c>
      <c r="FU89" s="3">
        <f t="shared" si="61"/>
        <v>4.6814044213263983</v>
      </c>
      <c r="FV89" s="3">
        <f t="shared" si="61"/>
        <v>1.6030534351145038</v>
      </c>
      <c r="FW89" s="3">
        <f t="shared" si="61"/>
        <v>4.8132780082987559</v>
      </c>
      <c r="FX89" s="3">
        <f t="shared" si="61"/>
        <v>1.8238993710691824</v>
      </c>
      <c r="FY89" s="3">
        <f t="shared" si="61"/>
        <v>9.0659340659340657</v>
      </c>
      <c r="FZ89" s="3">
        <f t="shared" si="61"/>
        <v>1.6304347826086956</v>
      </c>
      <c r="GA89" s="3">
        <f t="shared" si="61"/>
        <v>0</v>
      </c>
      <c r="GB89" s="3">
        <f t="shared" si="61"/>
        <v>1.6652059596844873</v>
      </c>
      <c r="GC89" s="3">
        <f t="shared" si="61"/>
        <v>4.156769596199525</v>
      </c>
      <c r="GD89" s="3">
        <f t="shared" si="61"/>
        <v>0</v>
      </c>
      <c r="GE89" s="3">
        <f t="shared" si="61"/>
        <v>0</v>
      </c>
      <c r="GF89" s="3">
        <f t="shared" si="61"/>
        <v>0</v>
      </c>
      <c r="GG89" s="3">
        <f t="shared" si="61"/>
        <v>0</v>
      </c>
      <c r="GH89" s="3">
        <f t="shared" si="61"/>
        <v>0</v>
      </c>
      <c r="GI89" s="3">
        <f t="shared" si="61"/>
        <v>0</v>
      </c>
      <c r="GJ89" s="3">
        <f t="shared" si="61"/>
        <v>0</v>
      </c>
      <c r="GK89" s="3">
        <f t="shared" si="61"/>
        <v>0</v>
      </c>
      <c r="GL89" s="3">
        <f t="shared" si="61"/>
        <v>0.41806020066889632</v>
      </c>
      <c r="GM89" s="3">
        <f t="shared" si="58"/>
        <v>3.2573289902280131</v>
      </c>
      <c r="GN89" s="3">
        <f t="shared" si="58"/>
        <v>2.2471910112359552</v>
      </c>
      <c r="GO89" s="3">
        <f t="shared" si="58"/>
        <v>2.4831867563372994</v>
      </c>
      <c r="GP89" s="3">
        <f t="shared" si="58"/>
        <v>0</v>
      </c>
      <c r="GQ89" s="3">
        <f t="shared" si="58"/>
        <v>0</v>
      </c>
      <c r="GR89" s="3">
        <f t="shared" si="58"/>
        <v>0</v>
      </c>
      <c r="GS89" s="3">
        <f t="shared" si="58"/>
        <v>0</v>
      </c>
      <c r="GT89" s="3">
        <f t="shared" si="58"/>
        <v>1.2080536912751678</v>
      </c>
      <c r="GU89" s="3">
        <f t="shared" si="58"/>
        <v>0</v>
      </c>
      <c r="GV89" s="3">
        <f t="shared" si="58"/>
        <v>5.519244734931009</v>
      </c>
      <c r="GW89" s="3">
        <f t="shared" si="58"/>
        <v>4.2032332563510391</v>
      </c>
      <c r="GX89" s="3">
        <f t="shared" si="58"/>
        <v>0.17123287671232876</v>
      </c>
      <c r="GY89" s="3">
        <f t="shared" si="58"/>
        <v>0</v>
      </c>
      <c r="GZ89" s="3">
        <f t="shared" si="58"/>
        <v>0</v>
      </c>
      <c r="HA89" s="3">
        <f t="shared" si="58"/>
        <v>1.4757554462403373</v>
      </c>
      <c r="HB89" s="3">
        <f t="shared" si="58"/>
        <v>1.4310246136233544</v>
      </c>
      <c r="HC89" s="3">
        <f t="shared" si="58"/>
        <v>0</v>
      </c>
      <c r="HD89" s="3">
        <f t="shared" si="58"/>
        <v>0.54726368159203986</v>
      </c>
      <c r="HE89" s="3">
        <f t="shared" si="58"/>
        <v>6.027727546714889</v>
      </c>
      <c r="HF89" s="3">
        <f t="shared" si="58"/>
        <v>1.7129928894634778</v>
      </c>
      <c r="HG89" s="3">
        <f t="shared" si="58"/>
        <v>4.6563192904656319</v>
      </c>
      <c r="HH89" s="3">
        <f t="shared" si="58"/>
        <v>1.1438739196746313</v>
      </c>
      <c r="HI89" s="3">
        <f t="shared" si="58"/>
        <v>4.0647921760391199</v>
      </c>
      <c r="HJ89" s="3">
        <f t="shared" si="58"/>
        <v>1.3953488372093024</v>
      </c>
      <c r="HK89" s="3">
        <f t="shared" si="58"/>
        <v>0.8875739644970414</v>
      </c>
      <c r="HL89" s="3">
        <f t="shared" si="58"/>
        <v>1.7543859649122806</v>
      </c>
      <c r="HM89" s="3">
        <f t="shared" si="58"/>
        <v>0.18416206261510129</v>
      </c>
      <c r="HN89" s="3">
        <f t="shared" si="58"/>
        <v>2.2865853658536586</v>
      </c>
      <c r="HO89" s="3">
        <f t="shared" si="58"/>
        <v>0</v>
      </c>
      <c r="HP89" s="3">
        <f t="shared" si="58"/>
        <v>0</v>
      </c>
      <c r="HQ89" s="3">
        <f t="shared" si="58"/>
        <v>0</v>
      </c>
      <c r="HR89" s="3">
        <f t="shared" si="58"/>
        <v>0</v>
      </c>
      <c r="HS89" s="3">
        <f t="shared" si="58"/>
        <v>0</v>
      </c>
      <c r="HT89" s="3">
        <f t="shared" si="58"/>
        <v>0</v>
      </c>
      <c r="HU89" s="3">
        <f t="shared" si="58"/>
        <v>0</v>
      </c>
      <c r="HV89" s="3">
        <f t="shared" si="58"/>
        <v>0</v>
      </c>
      <c r="HW89" s="3">
        <f t="shared" si="58"/>
        <v>2</v>
      </c>
      <c r="HX89" s="3">
        <f t="shared" si="58"/>
        <v>2.147239263803681</v>
      </c>
      <c r="HY89" s="3">
        <f t="shared" si="58"/>
        <v>0</v>
      </c>
      <c r="HZ89" s="3">
        <f t="shared" si="58"/>
        <v>0.43478260869565216</v>
      </c>
      <c r="IA89" s="3">
        <f t="shared" si="58"/>
        <v>0</v>
      </c>
      <c r="IB89" s="3">
        <f t="shared" si="58"/>
        <v>0</v>
      </c>
      <c r="IC89" s="3">
        <f t="shared" si="58"/>
        <v>0</v>
      </c>
      <c r="ID89" s="3">
        <f t="shared" si="58"/>
        <v>0</v>
      </c>
      <c r="IE89" s="3">
        <f t="shared" si="58"/>
        <v>1.3173652694610778</v>
      </c>
      <c r="IF89" s="3">
        <f t="shared" si="58"/>
        <v>2.2727272727272729</v>
      </c>
      <c r="IG89" s="3">
        <f t="shared" si="58"/>
        <v>3.5714285714285712</v>
      </c>
      <c r="IH89" s="3">
        <f t="shared" si="58"/>
        <v>0</v>
      </c>
      <c r="II89" s="3">
        <f t="shared" si="58"/>
        <v>3.6257309941520468</v>
      </c>
      <c r="IJ89" s="3">
        <f t="shared" si="58"/>
        <v>0.55074744295830058</v>
      </c>
      <c r="IK89" s="3">
        <f t="shared" si="58"/>
        <v>2.9119318181818179</v>
      </c>
      <c r="IL89" s="3">
        <f t="shared" si="58"/>
        <v>0</v>
      </c>
      <c r="IM89" s="3">
        <f t="shared" si="58"/>
        <v>0</v>
      </c>
      <c r="IN89" s="3">
        <f t="shared" si="58"/>
        <v>0</v>
      </c>
      <c r="IO89" s="3">
        <f t="shared" si="58"/>
        <v>0</v>
      </c>
      <c r="IP89" s="3">
        <f t="shared" si="58"/>
        <v>2.3008849557522124</v>
      </c>
      <c r="IQ89" s="3">
        <f t="shared" si="58"/>
        <v>7.1866783523225246</v>
      </c>
      <c r="IR89" s="3">
        <f t="shared" si="58"/>
        <v>0.81018518518518512</v>
      </c>
      <c r="IS89" s="3">
        <f t="shared" si="58"/>
        <v>9.7465886939571149</v>
      </c>
      <c r="IT89" s="3">
        <f t="shared" si="58"/>
        <v>0</v>
      </c>
      <c r="IU89" s="3">
        <f t="shared" si="58"/>
        <v>1.7825311942959003</v>
      </c>
      <c r="IV89" s="3">
        <f t="shared" si="58"/>
        <v>2.6436781609195403</v>
      </c>
      <c r="IW89" s="3">
        <f t="shared" si="58"/>
        <v>0</v>
      </c>
      <c r="IX89" s="3">
        <f t="shared" si="54"/>
        <v>0.23961661341853036</v>
      </c>
      <c r="IY89" s="3">
        <f t="shared" si="54"/>
        <v>0</v>
      </c>
      <c r="IZ89" s="3">
        <f t="shared" si="54"/>
        <v>0</v>
      </c>
      <c r="JA89" s="3">
        <f t="shared" si="51"/>
        <v>0</v>
      </c>
      <c r="JB89" s="3">
        <f t="shared" si="62"/>
        <v>0</v>
      </c>
      <c r="JC89" s="3">
        <f t="shared" si="62"/>
        <v>0</v>
      </c>
      <c r="JD89" s="3">
        <f t="shared" si="62"/>
        <v>0</v>
      </c>
      <c r="JE89" s="3">
        <f t="shared" si="62"/>
        <v>0</v>
      </c>
      <c r="JF89" s="3">
        <f t="shared" si="62"/>
        <v>1.0416666666666665</v>
      </c>
      <c r="JG89" s="3">
        <f t="shared" si="62"/>
        <v>0</v>
      </c>
      <c r="JH89" s="3">
        <f t="shared" si="62"/>
        <v>0</v>
      </c>
      <c r="JI89" s="3">
        <f t="shared" si="62"/>
        <v>0</v>
      </c>
      <c r="JJ89" s="3">
        <f t="shared" si="62"/>
        <v>0</v>
      </c>
      <c r="JK89" s="3">
        <f t="shared" si="62"/>
        <v>0.65530799475753598</v>
      </c>
      <c r="JL89" s="3">
        <f t="shared" si="62"/>
        <v>0</v>
      </c>
      <c r="JM89" s="3">
        <f t="shared" si="62"/>
        <v>0</v>
      </c>
      <c r="JN89" s="3">
        <f t="shared" si="62"/>
        <v>3.9745627980922099E-2</v>
      </c>
      <c r="JO89" s="3">
        <f t="shared" si="62"/>
        <v>1.0172939979654121</v>
      </c>
      <c r="JP89" s="3">
        <f t="shared" si="62"/>
        <v>4.4234404536862009</v>
      </c>
      <c r="JQ89" s="3">
        <f t="shared" si="62"/>
        <v>10.521371535932362</v>
      </c>
      <c r="JR89" s="3">
        <f t="shared" si="62"/>
        <v>0</v>
      </c>
      <c r="JS89" s="3">
        <f t="shared" si="62"/>
        <v>3.1859557867360206</v>
      </c>
      <c r="JT89" s="3">
        <f t="shared" si="62"/>
        <v>0.64780088646437095</v>
      </c>
      <c r="JU89" s="3">
        <f t="shared" si="62"/>
        <v>0</v>
      </c>
      <c r="JV89" s="3">
        <f t="shared" si="62"/>
        <v>2.2591534666320436</v>
      </c>
      <c r="JW89" s="3">
        <f t="shared" si="62"/>
        <v>0</v>
      </c>
      <c r="JX89" s="3">
        <f t="shared" si="62"/>
        <v>1.0844748858447488</v>
      </c>
      <c r="JY89" s="3">
        <f t="shared" si="62"/>
        <v>2.3668639053254439</v>
      </c>
      <c r="JZ89" s="3">
        <f t="shared" si="62"/>
        <v>1.3026052104208417</v>
      </c>
      <c r="KA89" s="3">
        <f t="shared" si="62"/>
        <v>5.6886227544910177</v>
      </c>
      <c r="KB89" s="3">
        <f t="shared" si="62"/>
        <v>2.746947835738069</v>
      </c>
      <c r="KC89" s="3">
        <f t="shared" si="62"/>
        <v>6.2864549578742714</v>
      </c>
      <c r="KD89" s="3">
        <f t="shared" si="62"/>
        <v>0</v>
      </c>
      <c r="KE89" s="3">
        <f t="shared" si="62"/>
        <v>5.1428571428571423</v>
      </c>
      <c r="KF89" s="3">
        <f t="shared" si="62"/>
        <v>0</v>
      </c>
      <c r="KG89" s="3">
        <f t="shared" si="62"/>
        <v>5.0228310502283104</v>
      </c>
      <c r="KH89" s="3">
        <f t="shared" si="62"/>
        <v>0.14792899408284024</v>
      </c>
      <c r="KI89" s="3">
        <f t="shared" si="62"/>
        <v>5.201342281879195</v>
      </c>
      <c r="KJ89" s="3">
        <f t="shared" si="62"/>
        <v>0</v>
      </c>
      <c r="KK89" s="3">
        <f t="shared" si="62"/>
        <v>0</v>
      </c>
      <c r="KL89" s="3">
        <f t="shared" si="62"/>
        <v>0</v>
      </c>
      <c r="KM89" s="3">
        <f t="shared" si="62"/>
        <v>0</v>
      </c>
      <c r="KN89" s="3">
        <f t="shared" si="62"/>
        <v>0</v>
      </c>
      <c r="KO89" s="3">
        <f t="shared" si="62"/>
        <v>0</v>
      </c>
      <c r="KP89" s="3">
        <f t="shared" si="62"/>
        <v>0</v>
      </c>
      <c r="KQ89" s="3">
        <f t="shared" si="62"/>
        <v>5.4545454545454541</v>
      </c>
      <c r="KR89" s="3">
        <f t="shared" si="62"/>
        <v>0.25510204081632654</v>
      </c>
      <c r="KS89" s="3">
        <f t="shared" si="62"/>
        <v>1.6797312430011198</v>
      </c>
      <c r="KT89" s="3">
        <f t="shared" si="62"/>
        <v>0</v>
      </c>
      <c r="KU89" s="3">
        <f t="shared" si="62"/>
        <v>0</v>
      </c>
      <c r="KV89" s="3">
        <f t="shared" si="62"/>
        <v>0</v>
      </c>
      <c r="KW89" s="3">
        <f t="shared" si="62"/>
        <v>0</v>
      </c>
      <c r="KX89" s="3">
        <f t="shared" si="62"/>
        <v>0</v>
      </c>
      <c r="KY89" s="3">
        <f t="shared" si="62"/>
        <v>0</v>
      </c>
      <c r="KZ89" s="3">
        <f t="shared" si="62"/>
        <v>2.271062271062271</v>
      </c>
      <c r="LA89" s="3">
        <f t="shared" si="62"/>
        <v>6.4102564102564097</v>
      </c>
      <c r="LB89" s="3">
        <f t="shared" si="62"/>
        <v>2.4096385542168677</v>
      </c>
      <c r="LC89" s="3">
        <f t="shared" si="62"/>
        <v>0</v>
      </c>
      <c r="LD89" s="3">
        <f t="shared" si="62"/>
        <v>0.32679738562091504</v>
      </c>
      <c r="LE89" s="3">
        <f t="shared" si="62"/>
        <v>0.84104289318755254</v>
      </c>
      <c r="LF89" s="3">
        <f t="shared" si="62"/>
        <v>0</v>
      </c>
      <c r="LG89" s="3">
        <f t="shared" si="62"/>
        <v>0</v>
      </c>
      <c r="LH89" s="3">
        <f t="shared" si="62"/>
        <v>0</v>
      </c>
      <c r="LI89" s="3">
        <f t="shared" si="62"/>
        <v>2.7878787878787876</v>
      </c>
      <c r="LJ89" s="3">
        <f t="shared" si="62"/>
        <v>1.8996960486322187</v>
      </c>
      <c r="LK89" s="3">
        <f t="shared" si="62"/>
        <v>3.306451612903226</v>
      </c>
      <c r="LL89" s="3">
        <f t="shared" si="62"/>
        <v>1.7785427423981641</v>
      </c>
      <c r="LM89" s="3">
        <f t="shared" si="62"/>
        <v>5.9071729957805905</v>
      </c>
      <c r="LN89" s="3">
        <f t="shared" si="59"/>
        <v>0</v>
      </c>
      <c r="LO89" s="3">
        <f t="shared" si="59"/>
        <v>0</v>
      </c>
      <c r="LP89" s="3">
        <f t="shared" ref="LP89:MW89" si="67">(LP26-LP$11)/LP$11*100</f>
        <v>3.0864197530864197</v>
      </c>
      <c r="LQ89" s="3">
        <f t="shared" si="67"/>
        <v>0.30706243602865912</v>
      </c>
      <c r="LR89" s="3">
        <f t="shared" si="67"/>
        <v>1.1824324324324325</v>
      </c>
      <c r="LS89" s="3">
        <f t="shared" si="67"/>
        <v>3.6448598130841123</v>
      </c>
      <c r="LT89" s="3">
        <f t="shared" si="67"/>
        <v>0</v>
      </c>
      <c r="LU89" s="3">
        <f t="shared" si="67"/>
        <v>0</v>
      </c>
      <c r="LV89" s="3">
        <f t="shared" si="67"/>
        <v>0</v>
      </c>
      <c r="LW89" s="3">
        <f t="shared" si="67"/>
        <v>0</v>
      </c>
      <c r="LX89" s="3">
        <f t="shared" si="67"/>
        <v>0</v>
      </c>
      <c r="LY89" s="3">
        <f t="shared" si="67"/>
        <v>0</v>
      </c>
      <c r="LZ89" s="3">
        <f t="shared" si="67"/>
        <v>1.6858917480035491</v>
      </c>
      <c r="MA89" s="3">
        <f t="shared" si="67"/>
        <v>0</v>
      </c>
      <c r="MB89" s="3">
        <f t="shared" si="67"/>
        <v>2.1390374331550799</v>
      </c>
      <c r="MC89" s="3">
        <f t="shared" si="67"/>
        <v>0</v>
      </c>
      <c r="MD89" s="3">
        <f t="shared" si="67"/>
        <v>1.1627906976744187</v>
      </c>
      <c r="ME89" s="3">
        <f t="shared" si="67"/>
        <v>0</v>
      </c>
      <c r="MF89" s="3">
        <f t="shared" si="67"/>
        <v>0</v>
      </c>
      <c r="MG89" s="3">
        <f t="shared" si="67"/>
        <v>0</v>
      </c>
      <c r="MH89" s="3">
        <f t="shared" si="67"/>
        <v>1.7543859649122806</v>
      </c>
      <c r="MI89" s="3">
        <f t="shared" si="67"/>
        <v>0</v>
      </c>
      <c r="MJ89" s="3">
        <f t="shared" si="67"/>
        <v>4.6691027202598452</v>
      </c>
      <c r="MK89" s="3">
        <f t="shared" si="67"/>
        <v>3.1714956930305407</v>
      </c>
      <c r="ML89" s="3">
        <f t="shared" si="67"/>
        <v>1.4412416851441241</v>
      </c>
      <c r="MM89" s="3">
        <f t="shared" si="67"/>
        <v>0</v>
      </c>
      <c r="MN89" s="3">
        <f t="shared" si="67"/>
        <v>0.66577896138482018</v>
      </c>
      <c r="MO89" s="3">
        <f t="shared" si="67"/>
        <v>3.9414414414414414</v>
      </c>
      <c r="MP89" s="3">
        <f t="shared" si="67"/>
        <v>0</v>
      </c>
      <c r="MQ89" s="3">
        <f t="shared" si="67"/>
        <v>0</v>
      </c>
      <c r="MR89" s="3">
        <f t="shared" si="67"/>
        <v>1.4194811551639746</v>
      </c>
      <c r="MS89" s="3">
        <f t="shared" si="67"/>
        <v>0</v>
      </c>
      <c r="MT89" s="3">
        <f t="shared" si="67"/>
        <v>1.7216642754662841</v>
      </c>
      <c r="MU89" s="3">
        <f t="shared" si="67"/>
        <v>4.8993543486517277</v>
      </c>
      <c r="MV89" s="3">
        <f t="shared" si="67"/>
        <v>1.6397709526288391</v>
      </c>
      <c r="MW89" s="3">
        <f t="shared" si="67"/>
        <v>6.7676143386897412</v>
      </c>
      <c r="MX89" s="3"/>
      <c r="MY89" s="3"/>
    </row>
    <row r="90" spans="1:363" x14ac:dyDescent="0.3">
      <c r="A90" s="3">
        <v>16</v>
      </c>
      <c r="B90" s="3">
        <f t="shared" si="33"/>
        <v>1.1494252873563218</v>
      </c>
      <c r="C90" s="3">
        <f t="shared" si="66"/>
        <v>0</v>
      </c>
      <c r="D90" s="3">
        <f t="shared" si="66"/>
        <v>0.21186440677966101</v>
      </c>
      <c r="E90" s="3">
        <f t="shared" si="66"/>
        <v>7.3394495412844041</v>
      </c>
      <c r="F90" s="3">
        <f t="shared" si="66"/>
        <v>0</v>
      </c>
      <c r="G90" s="3">
        <f t="shared" si="66"/>
        <v>2.1032504780114722</v>
      </c>
      <c r="H90" s="3">
        <f t="shared" si="66"/>
        <v>0</v>
      </c>
      <c r="I90" s="3">
        <f t="shared" si="66"/>
        <v>0</v>
      </c>
      <c r="J90" s="3">
        <f t="shared" si="66"/>
        <v>0</v>
      </c>
      <c r="K90" s="3">
        <f t="shared" si="66"/>
        <v>0</v>
      </c>
      <c r="L90" s="3">
        <f t="shared" si="66"/>
        <v>0</v>
      </c>
      <c r="M90" s="3">
        <f t="shared" si="66"/>
        <v>0</v>
      </c>
      <c r="N90" s="3">
        <f t="shared" si="66"/>
        <v>1.4678899082568808</v>
      </c>
      <c r="O90" s="3">
        <f t="shared" si="66"/>
        <v>1.0373443983402488</v>
      </c>
      <c r="P90" s="3">
        <f t="shared" si="66"/>
        <v>1.6569200779727096</v>
      </c>
      <c r="Q90" s="3">
        <f t="shared" si="66"/>
        <v>0</v>
      </c>
      <c r="R90" s="3">
        <f t="shared" si="66"/>
        <v>0.58027079303675055</v>
      </c>
      <c r="S90" s="3">
        <f t="shared" si="66"/>
        <v>2.7149321266968327</v>
      </c>
      <c r="T90" s="3">
        <f t="shared" si="66"/>
        <v>0</v>
      </c>
      <c r="U90" s="3">
        <f t="shared" si="66"/>
        <v>0</v>
      </c>
      <c r="V90" s="3">
        <f t="shared" si="66"/>
        <v>0</v>
      </c>
      <c r="W90" s="3">
        <f t="shared" si="66"/>
        <v>2.7777777777777777</v>
      </c>
      <c r="X90" s="3">
        <f t="shared" si="66"/>
        <v>0.38759689922480622</v>
      </c>
      <c r="Y90" s="3">
        <f t="shared" si="66"/>
        <v>8.1521739130434785</v>
      </c>
      <c r="Z90" s="3">
        <f t="shared" si="66"/>
        <v>0.28490028490028491</v>
      </c>
      <c r="AA90" s="3">
        <f t="shared" si="66"/>
        <v>0.66152149944873206</v>
      </c>
      <c r="AB90" s="3">
        <f t="shared" si="66"/>
        <v>1.6379310344827587</v>
      </c>
      <c r="AC90" s="3">
        <f t="shared" si="66"/>
        <v>1.2762762762762763</v>
      </c>
      <c r="AD90" s="3">
        <f t="shared" si="66"/>
        <v>0.5997818974918212</v>
      </c>
      <c r="AE90" s="3">
        <f t="shared" si="66"/>
        <v>0</v>
      </c>
      <c r="AF90" s="3">
        <f t="shared" si="66"/>
        <v>0.46511627906976744</v>
      </c>
      <c r="AG90" s="3">
        <f t="shared" si="66"/>
        <v>3.9814814814814818</v>
      </c>
      <c r="AH90" s="3">
        <f t="shared" si="66"/>
        <v>1.2021857923497268</v>
      </c>
      <c r="AI90" s="3">
        <f t="shared" si="66"/>
        <v>3.9667896678966788</v>
      </c>
      <c r="AJ90" s="3">
        <f t="shared" si="66"/>
        <v>0.69860279441117767</v>
      </c>
      <c r="AK90" s="3">
        <f t="shared" si="66"/>
        <v>7.1544715447154479</v>
      </c>
      <c r="AL90" s="3">
        <f t="shared" si="66"/>
        <v>0</v>
      </c>
      <c r="AM90" s="3">
        <f t="shared" si="66"/>
        <v>0</v>
      </c>
      <c r="AN90" s="3">
        <f t="shared" si="66"/>
        <v>2.5046382189239331</v>
      </c>
      <c r="AO90" s="3">
        <f t="shared" si="66"/>
        <v>0</v>
      </c>
      <c r="AP90" s="3">
        <f t="shared" si="66"/>
        <v>0.29197080291970801</v>
      </c>
      <c r="AQ90" s="3">
        <f t="shared" si="66"/>
        <v>0</v>
      </c>
      <c r="AR90" s="3">
        <f t="shared" si="66"/>
        <v>0</v>
      </c>
      <c r="AS90" s="3">
        <f t="shared" si="66"/>
        <v>0</v>
      </c>
      <c r="AT90" s="3">
        <f t="shared" si="66"/>
        <v>0</v>
      </c>
      <c r="AU90" s="3">
        <f t="shared" si="66"/>
        <v>0</v>
      </c>
      <c r="AV90" s="3">
        <f t="shared" si="66"/>
        <v>0</v>
      </c>
      <c r="AW90" s="3">
        <f t="shared" si="66"/>
        <v>0</v>
      </c>
      <c r="AX90" s="3">
        <f t="shared" si="66"/>
        <v>0</v>
      </c>
      <c r="AY90" s="3">
        <f t="shared" si="66"/>
        <v>0.2743484224965706</v>
      </c>
      <c r="AZ90" s="3">
        <f t="shared" si="66"/>
        <v>2.7549824150058617</v>
      </c>
      <c r="BA90" s="3">
        <f t="shared" si="66"/>
        <v>0</v>
      </c>
      <c r="BB90" s="3">
        <f t="shared" si="66"/>
        <v>1.9201807228915662</v>
      </c>
      <c r="BC90" s="3">
        <f t="shared" si="66"/>
        <v>2.8084714548802947</v>
      </c>
      <c r="BD90" s="3">
        <f t="shared" si="66"/>
        <v>0</v>
      </c>
      <c r="BE90" s="3">
        <f t="shared" si="66"/>
        <v>0</v>
      </c>
      <c r="BF90" s="3">
        <f t="shared" si="66"/>
        <v>0</v>
      </c>
      <c r="BG90" s="3">
        <f t="shared" si="66"/>
        <v>0</v>
      </c>
      <c r="BH90" s="3">
        <f t="shared" si="66"/>
        <v>4.5106725734997983</v>
      </c>
      <c r="BI90" s="3">
        <f t="shared" si="66"/>
        <v>7.2742832691484809</v>
      </c>
      <c r="BJ90" s="3">
        <f t="shared" si="66"/>
        <v>0.38289725590299939</v>
      </c>
      <c r="BK90" s="3">
        <f t="shared" si="66"/>
        <v>3.6087866108786608</v>
      </c>
      <c r="BL90" s="3">
        <f t="shared" si="66"/>
        <v>0</v>
      </c>
      <c r="BM90" s="3">
        <f t="shared" si="66"/>
        <v>3.7272727272727271</v>
      </c>
      <c r="BN90" s="3">
        <f t="shared" si="66"/>
        <v>1.8992350303350041</v>
      </c>
      <c r="BO90" s="3">
        <f t="shared" si="64"/>
        <v>1.5307624374448043</v>
      </c>
      <c r="BP90" s="3">
        <f t="shared" si="64"/>
        <v>1.984126984126984</v>
      </c>
      <c r="BQ90" s="3">
        <f t="shared" si="64"/>
        <v>0</v>
      </c>
      <c r="BR90" s="3">
        <f t="shared" si="64"/>
        <v>2.4132730015082959</v>
      </c>
      <c r="BS90" s="3">
        <f t="shared" si="64"/>
        <v>5.9825673534072896</v>
      </c>
      <c r="BT90" s="3">
        <f t="shared" si="64"/>
        <v>2.6001195457262405</v>
      </c>
      <c r="BU90" s="3">
        <f t="shared" si="64"/>
        <v>5.3453661922943425</v>
      </c>
      <c r="BV90" s="3">
        <f t="shared" si="64"/>
        <v>1.3297872340425532</v>
      </c>
      <c r="BW90" s="3">
        <f t="shared" si="64"/>
        <v>0</v>
      </c>
      <c r="BX90" s="3">
        <f t="shared" si="64"/>
        <v>1.2254901960784315</v>
      </c>
      <c r="BY90" s="3">
        <f t="shared" si="64"/>
        <v>2.358490566037736</v>
      </c>
      <c r="BZ90" s="3">
        <f t="shared" si="64"/>
        <v>0</v>
      </c>
      <c r="CA90" s="3">
        <f t="shared" si="64"/>
        <v>4.562043795620438</v>
      </c>
      <c r="CB90" s="3">
        <f t="shared" si="64"/>
        <v>0</v>
      </c>
      <c r="CC90" s="3">
        <f t="shared" si="64"/>
        <v>0</v>
      </c>
      <c r="CD90" s="3">
        <f t="shared" si="64"/>
        <v>0</v>
      </c>
      <c r="CE90" s="3">
        <f t="shared" si="64"/>
        <v>0</v>
      </c>
      <c r="CF90" s="3">
        <f t="shared" si="64"/>
        <v>0</v>
      </c>
      <c r="CG90" s="3">
        <f t="shared" si="64"/>
        <v>0</v>
      </c>
      <c r="CH90" s="3">
        <f t="shared" si="64"/>
        <v>0.76804915514592931</v>
      </c>
      <c r="CI90" s="3">
        <f t="shared" si="64"/>
        <v>0</v>
      </c>
      <c r="CJ90" s="3">
        <f t="shared" si="64"/>
        <v>2.4324324324324325</v>
      </c>
      <c r="CK90" s="3">
        <f t="shared" si="64"/>
        <v>3.8502673796791447</v>
      </c>
      <c r="CL90" s="3">
        <f t="shared" si="64"/>
        <v>0</v>
      </c>
      <c r="CM90" s="3">
        <f t="shared" si="64"/>
        <v>0</v>
      </c>
      <c r="CN90" s="3">
        <f t="shared" si="64"/>
        <v>0</v>
      </c>
      <c r="CO90" s="3">
        <f t="shared" si="64"/>
        <v>0</v>
      </c>
      <c r="CP90" s="3">
        <f t="shared" si="64"/>
        <v>9.0334236675700091E-2</v>
      </c>
      <c r="CQ90" s="3">
        <f t="shared" si="64"/>
        <v>0</v>
      </c>
      <c r="CR90" s="3">
        <f t="shared" si="64"/>
        <v>2.0071684587813619</v>
      </c>
      <c r="CS90" s="3">
        <f t="shared" si="64"/>
        <v>6.3314711359404097</v>
      </c>
      <c r="CT90" s="3">
        <f t="shared" si="64"/>
        <v>0</v>
      </c>
      <c r="CU90" s="3">
        <f t="shared" si="64"/>
        <v>0</v>
      </c>
      <c r="CV90" s="3">
        <f t="shared" si="64"/>
        <v>0</v>
      </c>
      <c r="CW90" s="3">
        <f t="shared" si="64"/>
        <v>0</v>
      </c>
      <c r="CX90" s="3">
        <f t="shared" si="64"/>
        <v>0</v>
      </c>
      <c r="CY90" s="3">
        <f t="shared" si="64"/>
        <v>0</v>
      </c>
      <c r="CZ90" s="3">
        <f t="shared" si="64"/>
        <v>0</v>
      </c>
      <c r="DA90" s="3">
        <f t="shared" si="64"/>
        <v>0</v>
      </c>
      <c r="DB90" s="3">
        <f t="shared" si="64"/>
        <v>0.92592592592592582</v>
      </c>
      <c r="DC90" s="3">
        <f t="shared" si="64"/>
        <v>5.4718477398889771</v>
      </c>
      <c r="DD90" s="3">
        <f t="shared" si="64"/>
        <v>0.74712643678160917</v>
      </c>
      <c r="DE90" s="3">
        <f t="shared" si="64"/>
        <v>8.3270249810749437</v>
      </c>
      <c r="DF90" s="3">
        <f t="shared" si="64"/>
        <v>0</v>
      </c>
      <c r="DG90" s="3">
        <f t="shared" si="64"/>
        <v>0.625</v>
      </c>
      <c r="DH90" s="3">
        <f t="shared" si="64"/>
        <v>0</v>
      </c>
      <c r="DI90" s="3">
        <f t="shared" si="64"/>
        <v>0.73597056117755288</v>
      </c>
      <c r="DJ90" s="3">
        <f t="shared" si="64"/>
        <v>0</v>
      </c>
      <c r="DK90" s="3">
        <f t="shared" si="64"/>
        <v>2.7821939586645468</v>
      </c>
      <c r="DL90" s="3">
        <f t="shared" si="64"/>
        <v>0</v>
      </c>
      <c r="DM90" s="3">
        <f t="shared" si="64"/>
        <v>0</v>
      </c>
      <c r="DN90" s="3">
        <f t="shared" si="64"/>
        <v>0</v>
      </c>
      <c r="DO90" s="3">
        <f t="shared" si="64"/>
        <v>0</v>
      </c>
      <c r="DP90" s="3">
        <f t="shared" si="64"/>
        <v>0</v>
      </c>
      <c r="DQ90" s="3">
        <f t="shared" si="64"/>
        <v>0</v>
      </c>
      <c r="DR90" s="3">
        <f t="shared" si="64"/>
        <v>0</v>
      </c>
      <c r="DS90" s="3">
        <f t="shared" si="64"/>
        <v>0</v>
      </c>
      <c r="DT90" s="3">
        <f t="shared" si="64"/>
        <v>1.4412416851441241</v>
      </c>
      <c r="DU90" s="3">
        <f t="shared" si="64"/>
        <v>2.3633677991137372</v>
      </c>
      <c r="DV90" s="3">
        <f t="shared" si="64"/>
        <v>0</v>
      </c>
      <c r="DW90" s="3">
        <f t="shared" si="64"/>
        <v>0</v>
      </c>
      <c r="DX90" s="3">
        <f t="shared" si="64"/>
        <v>0</v>
      </c>
      <c r="DY90" s="3">
        <f t="shared" si="64"/>
        <v>0</v>
      </c>
      <c r="DZ90" s="3">
        <f t="shared" si="40"/>
        <v>0</v>
      </c>
      <c r="EA90" s="3">
        <f t="shared" si="61"/>
        <v>4.1294642857142856</v>
      </c>
      <c r="EB90" s="3">
        <f t="shared" si="61"/>
        <v>2.8518518518518521</v>
      </c>
      <c r="EC90" s="3">
        <f t="shared" si="61"/>
        <v>6.5496575342465748</v>
      </c>
      <c r="ED90" s="3">
        <f t="shared" si="61"/>
        <v>2.0618556701030926</v>
      </c>
      <c r="EE90" s="3">
        <f t="shared" si="61"/>
        <v>0</v>
      </c>
      <c r="EF90" s="3">
        <f t="shared" si="61"/>
        <v>3.017832647462277</v>
      </c>
      <c r="EG90" s="3">
        <f t="shared" si="61"/>
        <v>1.8463810930576072</v>
      </c>
      <c r="EH90" s="3">
        <f t="shared" si="61"/>
        <v>1.6129032258064515</v>
      </c>
      <c r="EI90" s="3">
        <f t="shared" si="61"/>
        <v>0.21470746108427269</v>
      </c>
      <c r="EJ90" s="3">
        <f t="shared" si="61"/>
        <v>0.95108695652173925</v>
      </c>
      <c r="EK90" s="3">
        <f t="shared" si="61"/>
        <v>4.1920216362407032</v>
      </c>
      <c r="EL90" s="3">
        <f t="shared" si="61"/>
        <v>1.4071856287425151</v>
      </c>
      <c r="EM90" s="3">
        <f t="shared" si="61"/>
        <v>8.2191780821917799</v>
      </c>
      <c r="EN90" s="3">
        <f t="shared" si="61"/>
        <v>1.7195767195767195</v>
      </c>
      <c r="EO90" s="3">
        <f t="shared" si="61"/>
        <v>7.4037834311806909</v>
      </c>
      <c r="EP90" s="3">
        <f t="shared" si="61"/>
        <v>2.083333333333333</v>
      </c>
      <c r="EQ90" s="3">
        <f t="shared" si="61"/>
        <v>0</v>
      </c>
      <c r="ER90" s="3">
        <f t="shared" si="61"/>
        <v>1.7391304347826086</v>
      </c>
      <c r="ES90" s="3">
        <f t="shared" si="61"/>
        <v>0</v>
      </c>
      <c r="ET90" s="3">
        <f t="shared" si="61"/>
        <v>1.2658227848101267</v>
      </c>
      <c r="EU90" s="3">
        <f t="shared" si="61"/>
        <v>1.0189228529839884</v>
      </c>
      <c r="EV90" s="3">
        <f t="shared" si="61"/>
        <v>0</v>
      </c>
      <c r="EW90" s="3">
        <f t="shared" si="61"/>
        <v>0</v>
      </c>
      <c r="EX90" s="3">
        <f t="shared" si="61"/>
        <v>0</v>
      </c>
      <c r="EY90" s="3">
        <f t="shared" si="61"/>
        <v>0</v>
      </c>
      <c r="EZ90" s="3">
        <f t="shared" si="61"/>
        <v>0</v>
      </c>
      <c r="FA90" s="3">
        <f t="shared" si="61"/>
        <v>0</v>
      </c>
      <c r="FB90" s="3">
        <f t="shared" si="61"/>
        <v>0</v>
      </c>
      <c r="FC90" s="3">
        <f t="shared" si="61"/>
        <v>3.070175438596491</v>
      </c>
      <c r="FD90" s="3">
        <f t="shared" si="61"/>
        <v>2.1164021164021163</v>
      </c>
      <c r="FE90" s="3">
        <f t="shared" si="61"/>
        <v>0</v>
      </c>
      <c r="FF90" s="3">
        <f t="shared" si="61"/>
        <v>1.6379310344827587</v>
      </c>
      <c r="FG90" s="3">
        <f t="shared" si="61"/>
        <v>2.2346368715083798</v>
      </c>
      <c r="FH90" s="3">
        <f t="shared" si="61"/>
        <v>0</v>
      </c>
      <c r="FI90" s="3">
        <f t="shared" si="61"/>
        <v>0</v>
      </c>
      <c r="FJ90" s="3">
        <f t="shared" si="61"/>
        <v>0</v>
      </c>
      <c r="FK90" s="3">
        <f t="shared" si="61"/>
        <v>0</v>
      </c>
      <c r="FL90" s="3">
        <f t="shared" si="61"/>
        <v>2</v>
      </c>
      <c r="FM90" s="3">
        <f t="shared" si="61"/>
        <v>2.3007395234182417</v>
      </c>
      <c r="FN90" s="3">
        <f t="shared" si="61"/>
        <v>0</v>
      </c>
      <c r="FO90" s="3">
        <f t="shared" si="61"/>
        <v>5.0373134328358207</v>
      </c>
      <c r="FP90" s="3">
        <f t="shared" si="61"/>
        <v>0</v>
      </c>
      <c r="FQ90" s="3">
        <f t="shared" si="61"/>
        <v>0.75642965204236012</v>
      </c>
      <c r="FR90" s="3">
        <f t="shared" si="61"/>
        <v>2.6704545454545454</v>
      </c>
      <c r="FS90" s="3">
        <f t="shared" si="61"/>
        <v>0</v>
      </c>
      <c r="FT90" s="3">
        <f t="shared" si="61"/>
        <v>1.6064257028112447</v>
      </c>
      <c r="FU90" s="3">
        <f t="shared" si="61"/>
        <v>4.6814044213263983</v>
      </c>
      <c r="FV90" s="3">
        <f t="shared" si="61"/>
        <v>1.5267175572519083</v>
      </c>
      <c r="FW90" s="3">
        <f t="shared" si="61"/>
        <v>5.5601659751037342</v>
      </c>
      <c r="FX90" s="3">
        <f t="shared" si="61"/>
        <v>1.8867924528301887</v>
      </c>
      <c r="FY90" s="3">
        <f t="shared" si="61"/>
        <v>7.8983516483516478</v>
      </c>
      <c r="FZ90" s="3">
        <f t="shared" si="61"/>
        <v>1.6304347826086956</v>
      </c>
      <c r="GA90" s="3">
        <f t="shared" si="61"/>
        <v>0</v>
      </c>
      <c r="GB90" s="3">
        <f t="shared" si="61"/>
        <v>1.7528483786152498</v>
      </c>
      <c r="GC90" s="3">
        <f t="shared" si="61"/>
        <v>3.9192399049881232</v>
      </c>
      <c r="GD90" s="3">
        <f t="shared" si="61"/>
        <v>0</v>
      </c>
      <c r="GE90" s="3">
        <f t="shared" si="61"/>
        <v>0</v>
      </c>
      <c r="GF90" s="3">
        <f t="shared" si="61"/>
        <v>0</v>
      </c>
      <c r="GG90" s="3">
        <f t="shared" si="61"/>
        <v>0</v>
      </c>
      <c r="GH90" s="3">
        <f t="shared" si="61"/>
        <v>0</v>
      </c>
      <c r="GI90" s="3">
        <f t="shared" si="61"/>
        <v>0</v>
      </c>
      <c r="GJ90" s="3">
        <f t="shared" si="61"/>
        <v>0</v>
      </c>
      <c r="GK90" s="3">
        <f t="shared" si="61"/>
        <v>0</v>
      </c>
      <c r="GL90" s="3">
        <f t="shared" ref="GL90:IW93" si="68">(GL27-GL$11)/GL$11*100</f>
        <v>0.41806020066889632</v>
      </c>
      <c r="GM90" s="3">
        <f t="shared" si="68"/>
        <v>3.5016286644951142</v>
      </c>
      <c r="GN90" s="3">
        <f t="shared" si="68"/>
        <v>2.1494870542256961</v>
      </c>
      <c r="GO90" s="3">
        <f t="shared" si="68"/>
        <v>2.1727884117951368</v>
      </c>
      <c r="GP90" s="3">
        <f t="shared" si="68"/>
        <v>0</v>
      </c>
      <c r="GQ90" s="3">
        <f t="shared" si="68"/>
        <v>0</v>
      </c>
      <c r="GR90" s="3">
        <f t="shared" si="68"/>
        <v>0</v>
      </c>
      <c r="GS90" s="3">
        <f t="shared" si="68"/>
        <v>0</v>
      </c>
      <c r="GT90" s="3">
        <f t="shared" si="68"/>
        <v>1.029082774049217</v>
      </c>
      <c r="GU90" s="3">
        <f t="shared" si="68"/>
        <v>0</v>
      </c>
      <c r="GV90" s="3">
        <f t="shared" si="68"/>
        <v>4.647785039941903</v>
      </c>
      <c r="GW90" s="3">
        <f t="shared" si="68"/>
        <v>5.0346420323325631</v>
      </c>
      <c r="GX90" s="3">
        <f t="shared" si="68"/>
        <v>0.11415525114155251</v>
      </c>
      <c r="GY90" s="3">
        <f t="shared" si="68"/>
        <v>0</v>
      </c>
      <c r="GZ90" s="3">
        <f t="shared" si="68"/>
        <v>0</v>
      </c>
      <c r="HA90" s="3">
        <f t="shared" si="68"/>
        <v>1.5108924806746311</v>
      </c>
      <c r="HB90" s="3">
        <f t="shared" si="68"/>
        <v>1.4596451058958215</v>
      </c>
      <c r="HC90" s="3">
        <f t="shared" si="68"/>
        <v>0</v>
      </c>
      <c r="HD90" s="3">
        <f t="shared" si="68"/>
        <v>0.59701492537313439</v>
      </c>
      <c r="HE90" s="3">
        <f t="shared" si="68"/>
        <v>4.7016274864376131</v>
      </c>
      <c r="HF90" s="3">
        <f t="shared" si="68"/>
        <v>1.680672268907563</v>
      </c>
      <c r="HG90" s="3">
        <f t="shared" si="68"/>
        <v>5.4693274205469331</v>
      </c>
      <c r="HH90" s="3">
        <f t="shared" si="68"/>
        <v>1.4489069649211999</v>
      </c>
      <c r="HI90" s="3">
        <f t="shared" si="68"/>
        <v>4.4621026894865521</v>
      </c>
      <c r="HJ90" s="3">
        <f t="shared" si="68"/>
        <v>1.3953488372093024</v>
      </c>
      <c r="HK90" s="3">
        <f t="shared" si="68"/>
        <v>0.8875739644970414</v>
      </c>
      <c r="HL90" s="3">
        <f t="shared" si="68"/>
        <v>1.7543859649122806</v>
      </c>
      <c r="HM90" s="3">
        <f t="shared" si="68"/>
        <v>0.92081031307550654</v>
      </c>
      <c r="HN90" s="3">
        <f t="shared" si="68"/>
        <v>2.2865853658536586</v>
      </c>
      <c r="HO90" s="3">
        <f t="shared" si="68"/>
        <v>0</v>
      </c>
      <c r="HP90" s="3">
        <f t="shared" si="68"/>
        <v>0</v>
      </c>
      <c r="HQ90" s="3">
        <f t="shared" si="68"/>
        <v>0</v>
      </c>
      <c r="HR90" s="3">
        <f t="shared" si="68"/>
        <v>0</v>
      </c>
      <c r="HS90" s="3">
        <f t="shared" si="68"/>
        <v>0</v>
      </c>
      <c r="HT90" s="3">
        <f t="shared" si="68"/>
        <v>0</v>
      </c>
      <c r="HU90" s="3">
        <f t="shared" si="68"/>
        <v>0</v>
      </c>
      <c r="HV90" s="3">
        <f t="shared" si="68"/>
        <v>0</v>
      </c>
      <c r="HW90" s="3">
        <f t="shared" si="68"/>
        <v>2</v>
      </c>
      <c r="HX90" s="3">
        <f t="shared" si="68"/>
        <v>2.147239263803681</v>
      </c>
      <c r="HY90" s="3">
        <f t="shared" si="68"/>
        <v>0</v>
      </c>
      <c r="HZ90" s="3">
        <f t="shared" si="68"/>
        <v>0.43478260869565216</v>
      </c>
      <c r="IA90" s="3">
        <f t="shared" si="68"/>
        <v>0</v>
      </c>
      <c r="IB90" s="3">
        <f t="shared" si="68"/>
        <v>0</v>
      </c>
      <c r="IC90" s="3">
        <f t="shared" si="68"/>
        <v>0</v>
      </c>
      <c r="ID90" s="3">
        <f t="shared" si="68"/>
        <v>0</v>
      </c>
      <c r="IE90" s="3">
        <f t="shared" si="68"/>
        <v>2.6347305389221556</v>
      </c>
      <c r="IF90" s="3">
        <f t="shared" si="68"/>
        <v>1.9061583577712611</v>
      </c>
      <c r="IG90" s="3">
        <f t="shared" si="68"/>
        <v>3.0219780219780219</v>
      </c>
      <c r="IH90" s="3">
        <f t="shared" si="68"/>
        <v>0</v>
      </c>
      <c r="II90" s="3">
        <f t="shared" si="68"/>
        <v>3.8596491228070176</v>
      </c>
      <c r="IJ90" s="3">
        <f t="shared" si="68"/>
        <v>0.23603461841070023</v>
      </c>
      <c r="IK90" s="3">
        <f t="shared" si="68"/>
        <v>1.8465909090909092</v>
      </c>
      <c r="IL90" s="3">
        <f t="shared" si="68"/>
        <v>0</v>
      </c>
      <c r="IM90" s="3">
        <f t="shared" si="68"/>
        <v>0</v>
      </c>
      <c r="IN90" s="3">
        <f t="shared" si="68"/>
        <v>0</v>
      </c>
      <c r="IO90" s="3">
        <f t="shared" si="68"/>
        <v>0</v>
      </c>
      <c r="IP90" s="3">
        <f t="shared" si="68"/>
        <v>2.2418879056047198</v>
      </c>
      <c r="IQ90" s="3">
        <f t="shared" si="68"/>
        <v>9.7283085013146362</v>
      </c>
      <c r="IR90" s="3">
        <f t="shared" si="68"/>
        <v>0.98379629629629628</v>
      </c>
      <c r="IS90" s="3">
        <f t="shared" si="68"/>
        <v>10.78622482131254</v>
      </c>
      <c r="IT90" s="3">
        <f t="shared" si="68"/>
        <v>0</v>
      </c>
      <c r="IU90" s="3">
        <f t="shared" si="68"/>
        <v>1.7825311942959003</v>
      </c>
      <c r="IV90" s="3">
        <f t="shared" si="68"/>
        <v>2.6436781609195403</v>
      </c>
      <c r="IW90" s="3">
        <f t="shared" si="68"/>
        <v>0</v>
      </c>
      <c r="IX90" s="3">
        <f t="shared" si="54"/>
        <v>0.23961661341853036</v>
      </c>
      <c r="IY90" s="3">
        <f t="shared" si="54"/>
        <v>0</v>
      </c>
      <c r="IZ90" s="3">
        <f t="shared" si="54"/>
        <v>0</v>
      </c>
      <c r="JA90" s="3">
        <f t="shared" si="51"/>
        <v>0</v>
      </c>
      <c r="JB90" s="3">
        <f t="shared" si="62"/>
        <v>0</v>
      </c>
      <c r="JC90" s="3">
        <f t="shared" si="62"/>
        <v>0</v>
      </c>
      <c r="JD90" s="3">
        <f t="shared" si="62"/>
        <v>0</v>
      </c>
      <c r="JE90" s="3">
        <f t="shared" si="62"/>
        <v>0</v>
      </c>
      <c r="JF90" s="3">
        <f t="shared" si="62"/>
        <v>1.0416666666666665</v>
      </c>
      <c r="JG90" s="3">
        <f t="shared" si="62"/>
        <v>0</v>
      </c>
      <c r="JH90" s="3">
        <f t="shared" si="62"/>
        <v>0</v>
      </c>
      <c r="JI90" s="3">
        <f t="shared" si="62"/>
        <v>0</v>
      </c>
      <c r="JJ90" s="3">
        <f t="shared" si="62"/>
        <v>0</v>
      </c>
      <c r="JK90" s="3">
        <f t="shared" si="62"/>
        <v>0.65530799475753598</v>
      </c>
      <c r="JL90" s="3">
        <f t="shared" si="62"/>
        <v>0</v>
      </c>
      <c r="JM90" s="3">
        <f t="shared" si="62"/>
        <v>0</v>
      </c>
      <c r="JN90" s="3">
        <f t="shared" si="62"/>
        <v>0.1589825119236884</v>
      </c>
      <c r="JO90" s="3">
        <f t="shared" si="62"/>
        <v>1.5259409969481181</v>
      </c>
      <c r="JP90" s="3">
        <f t="shared" si="62"/>
        <v>4.7258979206049148</v>
      </c>
      <c r="JQ90" s="3">
        <f t="shared" si="62"/>
        <v>10.897134805072804</v>
      </c>
      <c r="JR90" s="3">
        <f t="shared" si="62"/>
        <v>0</v>
      </c>
      <c r="JS90" s="3">
        <f t="shared" si="62"/>
        <v>3.6410923276983094</v>
      </c>
      <c r="JT90" s="3">
        <f t="shared" si="62"/>
        <v>0.54551653596999661</v>
      </c>
      <c r="JU90" s="3">
        <f t="shared" si="62"/>
        <v>0</v>
      </c>
      <c r="JV90" s="3">
        <f t="shared" si="62"/>
        <v>2.2331861854063879</v>
      </c>
      <c r="JW90" s="3">
        <f t="shared" si="62"/>
        <v>0</v>
      </c>
      <c r="JX90" s="3">
        <f t="shared" si="62"/>
        <v>1.0273972602739725</v>
      </c>
      <c r="JY90" s="3">
        <f t="shared" si="62"/>
        <v>2.8928336620644313</v>
      </c>
      <c r="JZ90" s="3">
        <f t="shared" si="62"/>
        <v>1.4696058784235138</v>
      </c>
      <c r="KA90" s="3">
        <f t="shared" si="62"/>
        <v>5.1272455089820363</v>
      </c>
      <c r="KB90" s="3">
        <f t="shared" si="62"/>
        <v>2.9689234184239734</v>
      </c>
      <c r="KC90" s="3">
        <f t="shared" si="62"/>
        <v>5.2495139338950096</v>
      </c>
      <c r="KD90" s="3">
        <f t="shared" si="62"/>
        <v>0</v>
      </c>
      <c r="KE90" s="3">
        <f t="shared" si="62"/>
        <v>5.1428571428571423</v>
      </c>
      <c r="KF90" s="3">
        <f t="shared" si="62"/>
        <v>0</v>
      </c>
      <c r="KG90" s="3">
        <f t="shared" si="62"/>
        <v>4.5662100456620998</v>
      </c>
      <c r="KH90" s="3">
        <f t="shared" si="62"/>
        <v>0.14792899408284024</v>
      </c>
      <c r="KI90" s="3">
        <f t="shared" si="62"/>
        <v>3.523489932885906</v>
      </c>
      <c r="KJ90" s="3">
        <f t="shared" si="62"/>
        <v>0</v>
      </c>
      <c r="KK90" s="3">
        <f t="shared" si="62"/>
        <v>0</v>
      </c>
      <c r="KL90" s="3">
        <f t="shared" si="62"/>
        <v>0</v>
      </c>
      <c r="KM90" s="3">
        <f t="shared" si="62"/>
        <v>0</v>
      </c>
      <c r="KN90" s="3">
        <f t="shared" si="62"/>
        <v>0</v>
      </c>
      <c r="KO90" s="3">
        <f t="shared" si="62"/>
        <v>0</v>
      </c>
      <c r="KP90" s="3">
        <f t="shared" si="62"/>
        <v>0</v>
      </c>
      <c r="KQ90" s="3">
        <f t="shared" si="62"/>
        <v>5.4545454545454541</v>
      </c>
      <c r="KR90" s="3">
        <f t="shared" si="62"/>
        <v>0.25510204081632654</v>
      </c>
      <c r="KS90" s="3">
        <f t="shared" si="62"/>
        <v>1.6797312430011198</v>
      </c>
      <c r="KT90" s="3">
        <f t="shared" si="62"/>
        <v>0</v>
      </c>
      <c r="KU90" s="3">
        <f t="shared" si="62"/>
        <v>0</v>
      </c>
      <c r="KV90" s="3">
        <f t="shared" si="62"/>
        <v>0</v>
      </c>
      <c r="KW90" s="3">
        <f t="shared" si="62"/>
        <v>0</v>
      </c>
      <c r="KX90" s="3">
        <f t="shared" si="62"/>
        <v>0</v>
      </c>
      <c r="KY90" s="3">
        <f t="shared" si="62"/>
        <v>0</v>
      </c>
      <c r="KZ90" s="3">
        <f t="shared" si="62"/>
        <v>2.271062271062271</v>
      </c>
      <c r="LA90" s="3">
        <f t="shared" si="62"/>
        <v>6.7307692307692308</v>
      </c>
      <c r="LB90" s="3">
        <f t="shared" si="62"/>
        <v>2.4096385542168677</v>
      </c>
      <c r="LC90" s="3">
        <f t="shared" si="62"/>
        <v>0</v>
      </c>
      <c r="LD90" s="3">
        <f t="shared" si="62"/>
        <v>0.52287581699346397</v>
      </c>
      <c r="LE90" s="3">
        <f t="shared" si="62"/>
        <v>0.92514718250630779</v>
      </c>
      <c r="LF90" s="3">
        <f t="shared" si="62"/>
        <v>0</v>
      </c>
      <c r="LG90" s="3">
        <f t="shared" si="62"/>
        <v>0</v>
      </c>
      <c r="LH90" s="3">
        <f t="shared" si="62"/>
        <v>0</v>
      </c>
      <c r="LI90" s="3">
        <f t="shared" si="62"/>
        <v>2.7878787878787876</v>
      </c>
      <c r="LJ90" s="3">
        <f t="shared" si="62"/>
        <v>1.8996960486322187</v>
      </c>
      <c r="LK90" s="3">
        <f t="shared" si="62"/>
        <v>3.306451612903226</v>
      </c>
      <c r="LL90" s="3">
        <f t="shared" si="62"/>
        <v>1.7785427423981641</v>
      </c>
      <c r="LM90" s="3">
        <f>(LM27-LM$11)/LM$11*100</f>
        <v>6.811332127787824</v>
      </c>
      <c r="LN90" s="3">
        <f>(LN27-LN$11)/LN$11*100</f>
        <v>0</v>
      </c>
      <c r="LO90" s="3">
        <f>(LO27-LO$11)/LO$11*100</f>
        <v>0</v>
      </c>
      <c r="LP90" s="3">
        <f t="shared" ref="LP90:MW90" si="69">(LP27-LP$11)/LP$11*100</f>
        <v>2.880658436213992</v>
      </c>
      <c r="LQ90" s="3">
        <f t="shared" si="69"/>
        <v>0.30706243602865912</v>
      </c>
      <c r="LR90" s="3">
        <f t="shared" si="69"/>
        <v>1.097972972972973</v>
      </c>
      <c r="LS90" s="3">
        <f t="shared" si="69"/>
        <v>3.1775700934579438</v>
      </c>
      <c r="LT90" s="3">
        <f t="shared" si="69"/>
        <v>0</v>
      </c>
      <c r="LU90" s="3">
        <f t="shared" si="69"/>
        <v>0</v>
      </c>
      <c r="LV90" s="3">
        <f t="shared" si="69"/>
        <v>0</v>
      </c>
      <c r="LW90" s="3">
        <f t="shared" si="69"/>
        <v>0</v>
      </c>
      <c r="LX90" s="3">
        <f t="shared" si="69"/>
        <v>0</v>
      </c>
      <c r="LY90" s="3">
        <f t="shared" si="69"/>
        <v>0</v>
      </c>
      <c r="LZ90" s="3">
        <f t="shared" si="69"/>
        <v>1.7746228926353149</v>
      </c>
      <c r="MA90" s="3">
        <f t="shared" si="69"/>
        <v>0</v>
      </c>
      <c r="MB90" s="3">
        <f t="shared" si="69"/>
        <v>2.0418084589207584</v>
      </c>
      <c r="MC90" s="3">
        <f t="shared" si="69"/>
        <v>0</v>
      </c>
      <c r="MD90" s="3">
        <f t="shared" si="69"/>
        <v>1.0232558139534882</v>
      </c>
      <c r="ME90" s="3">
        <f t="shared" si="69"/>
        <v>0</v>
      </c>
      <c r="MF90" s="3">
        <f t="shared" si="69"/>
        <v>0</v>
      </c>
      <c r="MG90" s="3">
        <f t="shared" si="69"/>
        <v>0</v>
      </c>
      <c r="MH90" s="3">
        <f t="shared" si="69"/>
        <v>1.7543859649122806</v>
      </c>
      <c r="MI90" s="3">
        <f t="shared" si="69"/>
        <v>0</v>
      </c>
      <c r="MJ90" s="3">
        <f t="shared" si="69"/>
        <v>3.6946812829882254</v>
      </c>
      <c r="MK90" s="3">
        <f t="shared" si="69"/>
        <v>3.3281127642913075</v>
      </c>
      <c r="ML90" s="3">
        <f t="shared" si="69"/>
        <v>1.4412416851441241</v>
      </c>
      <c r="MM90" s="3">
        <f t="shared" si="69"/>
        <v>0</v>
      </c>
      <c r="MN90" s="3">
        <f t="shared" si="69"/>
        <v>0.5992010652463382</v>
      </c>
      <c r="MO90" s="3">
        <f t="shared" si="69"/>
        <v>3.303303303303303</v>
      </c>
      <c r="MP90" s="3">
        <f t="shared" si="69"/>
        <v>0</v>
      </c>
      <c r="MQ90" s="3">
        <f t="shared" si="69"/>
        <v>0</v>
      </c>
      <c r="MR90" s="3">
        <f t="shared" si="69"/>
        <v>1.0279001468428781</v>
      </c>
      <c r="MS90" s="3">
        <f t="shared" si="69"/>
        <v>0</v>
      </c>
      <c r="MT90" s="3">
        <f t="shared" si="69"/>
        <v>2.2238163558106172</v>
      </c>
      <c r="MU90" s="3">
        <f t="shared" si="69"/>
        <v>4.1017850360805168</v>
      </c>
      <c r="MV90" s="3">
        <f t="shared" si="69"/>
        <v>1.7959396147839666</v>
      </c>
      <c r="MW90" s="3">
        <f t="shared" si="69"/>
        <v>6.6131025957972804</v>
      </c>
      <c r="MX90" s="3"/>
      <c r="MY90" s="3"/>
    </row>
    <row r="91" spans="1:363" x14ac:dyDescent="0.3">
      <c r="A91" s="3">
        <v>17</v>
      </c>
      <c r="B91" s="3">
        <f t="shared" si="33"/>
        <v>1.1494252873563218</v>
      </c>
      <c r="C91" s="3">
        <f t="shared" si="66"/>
        <v>0</v>
      </c>
      <c r="D91" s="3">
        <f t="shared" si="66"/>
        <v>0.21186440677966101</v>
      </c>
      <c r="E91" s="3">
        <f t="shared" si="66"/>
        <v>6.4220183486238538</v>
      </c>
      <c r="F91" s="3">
        <f t="shared" si="66"/>
        <v>0</v>
      </c>
      <c r="G91" s="3">
        <f t="shared" si="66"/>
        <v>2.1032504780114722</v>
      </c>
      <c r="H91" s="3">
        <f t="shared" si="66"/>
        <v>0</v>
      </c>
      <c r="I91" s="3">
        <f t="shared" si="66"/>
        <v>0</v>
      </c>
      <c r="J91" s="3">
        <f t="shared" si="66"/>
        <v>0</v>
      </c>
      <c r="K91" s="3">
        <f t="shared" si="66"/>
        <v>0</v>
      </c>
      <c r="L91" s="3">
        <f t="shared" si="66"/>
        <v>0</v>
      </c>
      <c r="M91" s="3">
        <f t="shared" si="66"/>
        <v>0</v>
      </c>
      <c r="N91" s="3">
        <f t="shared" si="66"/>
        <v>1.4678899082568808</v>
      </c>
      <c r="O91" s="3">
        <f t="shared" si="66"/>
        <v>1.0373443983402488</v>
      </c>
      <c r="P91" s="3">
        <f t="shared" si="66"/>
        <v>1.6569200779727096</v>
      </c>
      <c r="Q91" s="3">
        <f t="shared" si="66"/>
        <v>0</v>
      </c>
      <c r="R91" s="3">
        <f t="shared" si="66"/>
        <v>0.48355899419729209</v>
      </c>
      <c r="S91" s="3">
        <f t="shared" si="66"/>
        <v>1.5837104072398189</v>
      </c>
      <c r="T91" s="3">
        <f t="shared" si="66"/>
        <v>0</v>
      </c>
      <c r="U91" s="3">
        <f t="shared" si="66"/>
        <v>0</v>
      </c>
      <c r="V91" s="3">
        <f t="shared" si="66"/>
        <v>0</v>
      </c>
      <c r="W91" s="3">
        <f t="shared" si="66"/>
        <v>3.7962962962962963</v>
      </c>
      <c r="X91" s="3">
        <f t="shared" si="66"/>
        <v>0.38759689922480622</v>
      </c>
      <c r="Y91" s="3">
        <f t="shared" si="66"/>
        <v>7.9347826086956523</v>
      </c>
      <c r="Z91" s="3">
        <f t="shared" si="66"/>
        <v>0.28490028490028491</v>
      </c>
      <c r="AA91" s="3">
        <f t="shared" si="66"/>
        <v>0.66152149944873206</v>
      </c>
      <c r="AB91" s="3">
        <f t="shared" si="66"/>
        <v>1.4655172413793103</v>
      </c>
      <c r="AC91" s="3">
        <f t="shared" si="66"/>
        <v>0.82582582582582575</v>
      </c>
      <c r="AD91" s="3">
        <f t="shared" si="66"/>
        <v>0.54525627044711011</v>
      </c>
      <c r="AE91" s="3">
        <f t="shared" si="66"/>
        <v>0</v>
      </c>
      <c r="AF91" s="3">
        <f t="shared" si="66"/>
        <v>0.46511627906976744</v>
      </c>
      <c r="AG91" s="3">
        <f t="shared" si="66"/>
        <v>3.9814814814814818</v>
      </c>
      <c r="AH91" s="3">
        <f t="shared" si="66"/>
        <v>1.0928961748633881</v>
      </c>
      <c r="AI91" s="3">
        <f t="shared" si="66"/>
        <v>3.9667896678966788</v>
      </c>
      <c r="AJ91" s="3">
        <f t="shared" si="66"/>
        <v>0.54890219560878251</v>
      </c>
      <c r="AK91" s="3">
        <f t="shared" si="66"/>
        <v>7.642276422764227</v>
      </c>
      <c r="AL91" s="3">
        <f t="shared" si="66"/>
        <v>0</v>
      </c>
      <c r="AM91" s="3">
        <f t="shared" si="66"/>
        <v>0</v>
      </c>
      <c r="AN91" s="3">
        <f t="shared" si="66"/>
        <v>3.2467532467532463</v>
      </c>
      <c r="AO91" s="3">
        <f t="shared" si="66"/>
        <v>0</v>
      </c>
      <c r="AP91" s="3">
        <f t="shared" si="66"/>
        <v>7.2992700729927001E-2</v>
      </c>
      <c r="AQ91" s="3">
        <f t="shared" si="66"/>
        <v>0</v>
      </c>
      <c r="AR91" s="3">
        <f t="shared" si="66"/>
        <v>0</v>
      </c>
      <c r="AS91" s="3">
        <f t="shared" si="66"/>
        <v>0</v>
      </c>
      <c r="AT91" s="3">
        <f t="shared" si="66"/>
        <v>0</v>
      </c>
      <c r="AU91" s="3">
        <f t="shared" si="66"/>
        <v>0</v>
      </c>
      <c r="AV91" s="3">
        <f t="shared" si="66"/>
        <v>0</v>
      </c>
      <c r="AW91" s="3">
        <f t="shared" si="66"/>
        <v>0</v>
      </c>
      <c r="AX91" s="3">
        <f t="shared" si="66"/>
        <v>0</v>
      </c>
      <c r="AY91" s="3">
        <f t="shared" si="66"/>
        <v>1.0973936899862824</v>
      </c>
      <c r="AZ91" s="3">
        <f t="shared" si="66"/>
        <v>2.6963657678780772</v>
      </c>
      <c r="BA91" s="3">
        <f t="shared" si="66"/>
        <v>0</v>
      </c>
      <c r="BB91" s="3">
        <f t="shared" si="66"/>
        <v>2.0331325301204819</v>
      </c>
      <c r="BC91" s="3">
        <f t="shared" si="66"/>
        <v>2.9005524861878453</v>
      </c>
      <c r="BD91" s="3">
        <f t="shared" si="66"/>
        <v>0</v>
      </c>
      <c r="BE91" s="3">
        <f t="shared" si="66"/>
        <v>0</v>
      </c>
      <c r="BF91" s="3">
        <f t="shared" si="66"/>
        <v>0</v>
      </c>
      <c r="BG91" s="3">
        <f t="shared" si="66"/>
        <v>4.9067713444553483E-2</v>
      </c>
      <c r="BH91" s="3">
        <f t="shared" si="66"/>
        <v>4.3495771244462338</v>
      </c>
      <c r="BI91" s="3">
        <f t="shared" si="66"/>
        <v>7.9161317928968762</v>
      </c>
      <c r="BJ91" s="3">
        <f t="shared" si="66"/>
        <v>0.38289725590299939</v>
      </c>
      <c r="BK91" s="3">
        <f t="shared" si="66"/>
        <v>4.2364016736401675</v>
      </c>
      <c r="BL91" s="3">
        <f t="shared" si="66"/>
        <v>0</v>
      </c>
      <c r="BM91" s="3">
        <f t="shared" si="66"/>
        <v>3.9090909090909092</v>
      </c>
      <c r="BN91" s="3">
        <f t="shared" si="66"/>
        <v>1.8992350303350041</v>
      </c>
      <c r="BO91" s="3">
        <f t="shared" si="64"/>
        <v>1.9428907859876361</v>
      </c>
      <c r="BP91" s="3">
        <f t="shared" si="64"/>
        <v>1.8849206349206349</v>
      </c>
      <c r="BQ91" s="3">
        <f t="shared" si="64"/>
        <v>0</v>
      </c>
      <c r="BR91" s="3">
        <f t="shared" si="64"/>
        <v>2.5263951734539969</v>
      </c>
      <c r="BS91" s="3">
        <f t="shared" si="64"/>
        <v>5.3486529318541995</v>
      </c>
      <c r="BT91" s="3">
        <f t="shared" si="64"/>
        <v>2.510460251046025</v>
      </c>
      <c r="BU91" s="3">
        <f t="shared" si="64"/>
        <v>6.2131204442901771</v>
      </c>
      <c r="BV91" s="3">
        <f t="shared" si="64"/>
        <v>1.3297872340425532</v>
      </c>
      <c r="BW91" s="3">
        <f t="shared" si="64"/>
        <v>0</v>
      </c>
      <c r="BX91" s="3">
        <f t="shared" si="64"/>
        <v>1.2254901960784315</v>
      </c>
      <c r="BY91" s="3">
        <f t="shared" si="64"/>
        <v>2.358490566037736</v>
      </c>
      <c r="BZ91" s="3">
        <f t="shared" si="64"/>
        <v>0.16806722689075632</v>
      </c>
      <c r="CA91" s="3">
        <f t="shared" si="64"/>
        <v>4.562043795620438</v>
      </c>
      <c r="CB91" s="3">
        <f t="shared" si="64"/>
        <v>0</v>
      </c>
      <c r="CC91" s="3">
        <f t="shared" si="64"/>
        <v>0</v>
      </c>
      <c r="CD91" s="3">
        <f t="shared" si="64"/>
        <v>0</v>
      </c>
      <c r="CE91" s="3">
        <f t="shared" si="64"/>
        <v>0</v>
      </c>
      <c r="CF91" s="3">
        <f t="shared" si="64"/>
        <v>0</v>
      </c>
      <c r="CG91" s="3">
        <f t="shared" si="64"/>
        <v>0</v>
      </c>
      <c r="CH91" s="3">
        <f t="shared" si="64"/>
        <v>0.76804915514592931</v>
      </c>
      <c r="CI91" s="3">
        <f t="shared" si="64"/>
        <v>0</v>
      </c>
      <c r="CJ91" s="3">
        <f t="shared" si="64"/>
        <v>2.3423423423423424</v>
      </c>
      <c r="CK91" s="3">
        <f t="shared" si="64"/>
        <v>3.8502673796791447</v>
      </c>
      <c r="CL91" s="3">
        <f t="shared" si="64"/>
        <v>0</v>
      </c>
      <c r="CM91" s="3">
        <f t="shared" si="64"/>
        <v>0</v>
      </c>
      <c r="CN91" s="3">
        <f t="shared" si="64"/>
        <v>0</v>
      </c>
      <c r="CO91" s="3">
        <f t="shared" si="64"/>
        <v>0</v>
      </c>
      <c r="CP91" s="3">
        <f t="shared" si="64"/>
        <v>9.0334236675700091E-2</v>
      </c>
      <c r="CQ91" s="3">
        <f t="shared" si="64"/>
        <v>0</v>
      </c>
      <c r="CR91" s="3">
        <f t="shared" si="64"/>
        <v>2.0788530465949822</v>
      </c>
      <c r="CS91" s="3">
        <f t="shared" si="64"/>
        <v>6.7970204841713215</v>
      </c>
      <c r="CT91" s="3">
        <f t="shared" si="64"/>
        <v>0</v>
      </c>
      <c r="CU91" s="3">
        <f t="shared" si="64"/>
        <v>0</v>
      </c>
      <c r="CV91" s="3">
        <f t="shared" si="64"/>
        <v>0</v>
      </c>
      <c r="CW91" s="3">
        <f t="shared" si="64"/>
        <v>0</v>
      </c>
      <c r="CX91" s="3">
        <f t="shared" si="64"/>
        <v>0</v>
      </c>
      <c r="CY91" s="3">
        <f t="shared" si="64"/>
        <v>0</v>
      </c>
      <c r="CZ91" s="3">
        <f t="shared" si="64"/>
        <v>0</v>
      </c>
      <c r="DA91" s="3">
        <f t="shared" si="64"/>
        <v>0</v>
      </c>
      <c r="DB91" s="3">
        <f t="shared" si="64"/>
        <v>0.98765432098765427</v>
      </c>
      <c r="DC91" s="3">
        <f t="shared" si="64"/>
        <v>5.1546391752577314</v>
      </c>
      <c r="DD91" s="3">
        <f t="shared" si="64"/>
        <v>0.91954022988505746</v>
      </c>
      <c r="DE91" s="3">
        <f t="shared" si="64"/>
        <v>8.1756245268735803</v>
      </c>
      <c r="DF91" s="3">
        <f t="shared" si="64"/>
        <v>0</v>
      </c>
      <c r="DG91" s="3">
        <f t="shared" si="64"/>
        <v>0.78125</v>
      </c>
      <c r="DH91" s="3">
        <f t="shared" si="64"/>
        <v>0</v>
      </c>
      <c r="DI91" s="3">
        <f t="shared" si="64"/>
        <v>0.27598896044158233</v>
      </c>
      <c r="DJ91" s="3">
        <f t="shared" si="64"/>
        <v>0</v>
      </c>
      <c r="DK91" s="3">
        <f t="shared" si="64"/>
        <v>1.1128775834658187</v>
      </c>
      <c r="DL91" s="3">
        <f t="shared" si="64"/>
        <v>0</v>
      </c>
      <c r="DM91" s="3">
        <f t="shared" si="64"/>
        <v>0</v>
      </c>
      <c r="DN91" s="3">
        <f t="shared" si="64"/>
        <v>0</v>
      </c>
      <c r="DO91" s="3">
        <f t="shared" si="64"/>
        <v>0</v>
      </c>
      <c r="DP91" s="3">
        <f t="shared" si="64"/>
        <v>0</v>
      </c>
      <c r="DQ91" s="3">
        <f t="shared" si="64"/>
        <v>0</v>
      </c>
      <c r="DR91" s="3">
        <f t="shared" si="64"/>
        <v>0</v>
      </c>
      <c r="DS91" s="3">
        <f t="shared" si="64"/>
        <v>0</v>
      </c>
      <c r="DT91" s="3">
        <f t="shared" si="64"/>
        <v>1.4966740576496673</v>
      </c>
      <c r="DU91" s="3">
        <f t="shared" si="64"/>
        <v>1.6248153618906942</v>
      </c>
      <c r="DV91" s="3">
        <f t="shared" si="64"/>
        <v>0</v>
      </c>
      <c r="DW91" s="3">
        <f t="shared" si="64"/>
        <v>0</v>
      </c>
      <c r="DX91" s="3">
        <f t="shared" si="64"/>
        <v>0</v>
      </c>
      <c r="DY91" s="3">
        <f t="shared" si="64"/>
        <v>0</v>
      </c>
      <c r="DZ91" s="3">
        <f t="shared" si="40"/>
        <v>0.17551557700745943</v>
      </c>
      <c r="EA91" s="3">
        <f t="shared" ref="EA91:GL94" si="70">(EA28-EA$11)/EA$11*100</f>
        <v>3.4040178571428568</v>
      </c>
      <c r="EB91" s="3">
        <f t="shared" si="70"/>
        <v>3.7777777777777777</v>
      </c>
      <c r="EC91" s="3">
        <f t="shared" si="70"/>
        <v>6.4640410958904102</v>
      </c>
      <c r="ED91" s="3">
        <f t="shared" si="70"/>
        <v>2.336769759450172</v>
      </c>
      <c r="EE91" s="3">
        <f t="shared" si="70"/>
        <v>0</v>
      </c>
      <c r="EF91" s="3">
        <f t="shared" si="70"/>
        <v>2.8463648834019204</v>
      </c>
      <c r="EG91" s="3">
        <f t="shared" si="70"/>
        <v>2.3633677991137372</v>
      </c>
      <c r="EH91" s="3">
        <f t="shared" si="70"/>
        <v>1.7451084082496033</v>
      </c>
      <c r="EI91" s="3">
        <f t="shared" si="70"/>
        <v>0.24154589371980675</v>
      </c>
      <c r="EJ91" s="3">
        <f t="shared" si="70"/>
        <v>0.86050724637681164</v>
      </c>
      <c r="EK91" s="3">
        <f t="shared" si="70"/>
        <v>1.757944557133198</v>
      </c>
      <c r="EL91" s="3">
        <f t="shared" si="70"/>
        <v>1.4970059880239521</v>
      </c>
      <c r="EM91" s="3">
        <f t="shared" si="70"/>
        <v>8.0531340805313398</v>
      </c>
      <c r="EN91" s="3">
        <f t="shared" si="70"/>
        <v>1.6666666666666667</v>
      </c>
      <c r="EO91" s="3">
        <f t="shared" si="70"/>
        <v>6.8166992824527064</v>
      </c>
      <c r="EP91" s="3">
        <f t="shared" si="70"/>
        <v>2.083333333333333</v>
      </c>
      <c r="EQ91" s="3">
        <f t="shared" si="70"/>
        <v>0</v>
      </c>
      <c r="ER91" s="3">
        <f t="shared" si="70"/>
        <v>1.7391304347826086</v>
      </c>
      <c r="ES91" s="3">
        <f t="shared" si="70"/>
        <v>0</v>
      </c>
      <c r="ET91" s="3">
        <f t="shared" si="70"/>
        <v>1.2658227848101267</v>
      </c>
      <c r="EU91" s="3">
        <f t="shared" si="70"/>
        <v>1.8922852983988356</v>
      </c>
      <c r="EV91" s="3">
        <f t="shared" si="70"/>
        <v>0</v>
      </c>
      <c r="EW91" s="3">
        <f t="shared" si="70"/>
        <v>0</v>
      </c>
      <c r="EX91" s="3">
        <f t="shared" si="70"/>
        <v>0</v>
      </c>
      <c r="EY91" s="3">
        <f t="shared" si="70"/>
        <v>0</v>
      </c>
      <c r="EZ91" s="3">
        <f t="shared" si="70"/>
        <v>0</v>
      </c>
      <c r="FA91" s="3">
        <f t="shared" si="70"/>
        <v>0</v>
      </c>
      <c r="FB91" s="3">
        <f t="shared" si="70"/>
        <v>0</v>
      </c>
      <c r="FC91" s="3">
        <f t="shared" si="70"/>
        <v>3.070175438596491</v>
      </c>
      <c r="FD91" s="3">
        <f t="shared" si="70"/>
        <v>2.1164021164021163</v>
      </c>
      <c r="FE91" s="3">
        <f t="shared" si="70"/>
        <v>0</v>
      </c>
      <c r="FF91" s="3">
        <f t="shared" si="70"/>
        <v>1.7241379310344827</v>
      </c>
      <c r="FG91" s="3">
        <f t="shared" si="70"/>
        <v>1.8621973929236499</v>
      </c>
      <c r="FH91" s="3">
        <f t="shared" si="70"/>
        <v>0</v>
      </c>
      <c r="FI91" s="3">
        <f t="shared" si="70"/>
        <v>0</v>
      </c>
      <c r="FJ91" s="3">
        <f t="shared" si="70"/>
        <v>0</v>
      </c>
      <c r="FK91" s="3">
        <f t="shared" si="70"/>
        <v>0</v>
      </c>
      <c r="FL91" s="3">
        <f t="shared" si="70"/>
        <v>1.25</v>
      </c>
      <c r="FM91" s="3">
        <f t="shared" si="70"/>
        <v>1.9720624486442069</v>
      </c>
      <c r="FN91" s="3">
        <f t="shared" si="70"/>
        <v>0</v>
      </c>
      <c r="FO91" s="3">
        <f t="shared" si="70"/>
        <v>5.0373134328358207</v>
      </c>
      <c r="FP91" s="3">
        <f t="shared" si="70"/>
        <v>0</v>
      </c>
      <c r="FQ91" s="3">
        <f t="shared" si="70"/>
        <v>0.75642965204236012</v>
      </c>
      <c r="FR91" s="3">
        <f t="shared" si="70"/>
        <v>2.9545454545454546</v>
      </c>
      <c r="FS91" s="3">
        <f t="shared" si="70"/>
        <v>0</v>
      </c>
      <c r="FT91" s="3">
        <f t="shared" si="70"/>
        <v>1.7068273092369479</v>
      </c>
      <c r="FU91" s="3">
        <f t="shared" si="70"/>
        <v>4.6814044213263983</v>
      </c>
      <c r="FV91" s="3">
        <f t="shared" si="70"/>
        <v>1.6793893129770994</v>
      </c>
      <c r="FW91" s="3">
        <f t="shared" si="70"/>
        <v>5.4771784232365146</v>
      </c>
      <c r="FX91" s="3">
        <f t="shared" si="70"/>
        <v>1.8238993710691824</v>
      </c>
      <c r="FY91" s="3">
        <f t="shared" si="70"/>
        <v>8.4478021978021989</v>
      </c>
      <c r="FZ91" s="3">
        <f t="shared" si="70"/>
        <v>1.6304347826086956</v>
      </c>
      <c r="GA91" s="3">
        <f t="shared" si="70"/>
        <v>0</v>
      </c>
      <c r="GB91" s="3">
        <f t="shared" si="70"/>
        <v>1.7528483786152498</v>
      </c>
      <c r="GC91" s="3">
        <f t="shared" si="70"/>
        <v>4.6318289786223277</v>
      </c>
      <c r="GD91" s="3">
        <f t="shared" si="70"/>
        <v>0</v>
      </c>
      <c r="GE91" s="3">
        <f t="shared" si="70"/>
        <v>0</v>
      </c>
      <c r="GF91" s="3">
        <f t="shared" si="70"/>
        <v>0</v>
      </c>
      <c r="GG91" s="3">
        <f t="shared" si="70"/>
        <v>0</v>
      </c>
      <c r="GH91" s="3">
        <f t="shared" si="70"/>
        <v>0</v>
      </c>
      <c r="GI91" s="3">
        <f t="shared" si="70"/>
        <v>0</v>
      </c>
      <c r="GJ91" s="3">
        <f t="shared" si="70"/>
        <v>0</v>
      </c>
      <c r="GK91" s="3">
        <f t="shared" si="70"/>
        <v>0</v>
      </c>
      <c r="GL91" s="3">
        <f t="shared" si="70"/>
        <v>0.16722408026755853</v>
      </c>
      <c r="GM91" s="3">
        <f t="shared" si="68"/>
        <v>3.5016286644951142</v>
      </c>
      <c r="GN91" s="3">
        <f t="shared" si="68"/>
        <v>2.2471910112359552</v>
      </c>
      <c r="GO91" s="3">
        <f t="shared" si="68"/>
        <v>2.2762545266425245</v>
      </c>
      <c r="GP91" s="3">
        <f t="shared" si="68"/>
        <v>0</v>
      </c>
      <c r="GQ91" s="3">
        <f t="shared" si="68"/>
        <v>0</v>
      </c>
      <c r="GR91" s="3">
        <f t="shared" si="68"/>
        <v>0</v>
      </c>
      <c r="GS91" s="3">
        <f t="shared" si="68"/>
        <v>0</v>
      </c>
      <c r="GT91" s="3">
        <f t="shared" si="68"/>
        <v>0.71588366890380317</v>
      </c>
      <c r="GU91" s="3">
        <f t="shared" si="68"/>
        <v>0</v>
      </c>
      <c r="GV91" s="3">
        <f t="shared" si="68"/>
        <v>4.5751633986928102</v>
      </c>
      <c r="GW91" s="3">
        <f t="shared" si="68"/>
        <v>4.7575057736720554</v>
      </c>
      <c r="GX91" s="3">
        <f t="shared" si="68"/>
        <v>0.22831050228310501</v>
      </c>
      <c r="GY91" s="3">
        <f t="shared" si="68"/>
        <v>0</v>
      </c>
      <c r="GZ91" s="3">
        <f t="shared" si="68"/>
        <v>0</v>
      </c>
      <c r="HA91" s="3">
        <f t="shared" si="68"/>
        <v>1.6865776528460996</v>
      </c>
      <c r="HB91" s="3">
        <f t="shared" si="68"/>
        <v>0.97309673726388091</v>
      </c>
      <c r="HC91" s="3">
        <f t="shared" si="68"/>
        <v>0</v>
      </c>
      <c r="HD91" s="3">
        <f t="shared" si="68"/>
        <v>0.59701492537313439</v>
      </c>
      <c r="HE91" s="3">
        <f t="shared" si="68"/>
        <v>4.8824593128390594</v>
      </c>
      <c r="HF91" s="3">
        <f t="shared" si="68"/>
        <v>1.6483516483516485</v>
      </c>
      <c r="HG91" s="3">
        <f t="shared" si="68"/>
        <v>5.4323725055432366</v>
      </c>
      <c r="HH91" s="3">
        <f t="shared" si="68"/>
        <v>1.3472292831723438</v>
      </c>
      <c r="HI91" s="3">
        <f t="shared" si="68"/>
        <v>4.4621026894865521</v>
      </c>
      <c r="HJ91" s="3">
        <f t="shared" si="68"/>
        <v>1.3953488372093024</v>
      </c>
      <c r="HK91" s="3">
        <f t="shared" si="68"/>
        <v>0.8875739644970414</v>
      </c>
      <c r="HL91" s="3">
        <f t="shared" si="68"/>
        <v>1.7543859649122806</v>
      </c>
      <c r="HM91" s="3">
        <f t="shared" si="68"/>
        <v>0</v>
      </c>
      <c r="HN91" s="3">
        <f t="shared" si="68"/>
        <v>2.2865853658536586</v>
      </c>
      <c r="HO91" s="3">
        <f t="shared" si="68"/>
        <v>0</v>
      </c>
      <c r="HP91" s="3">
        <f t="shared" si="68"/>
        <v>0</v>
      </c>
      <c r="HQ91" s="3">
        <f t="shared" si="68"/>
        <v>0</v>
      </c>
      <c r="HR91" s="3">
        <f t="shared" si="68"/>
        <v>0</v>
      </c>
      <c r="HS91" s="3">
        <f t="shared" si="68"/>
        <v>0</v>
      </c>
      <c r="HT91" s="3">
        <f t="shared" si="68"/>
        <v>0</v>
      </c>
      <c r="HU91" s="3">
        <f t="shared" si="68"/>
        <v>0</v>
      </c>
      <c r="HV91" s="3">
        <f t="shared" si="68"/>
        <v>0</v>
      </c>
      <c r="HW91" s="3">
        <f t="shared" si="68"/>
        <v>2</v>
      </c>
      <c r="HX91" s="3">
        <f t="shared" si="68"/>
        <v>2.147239263803681</v>
      </c>
      <c r="HY91" s="3">
        <f t="shared" si="68"/>
        <v>0</v>
      </c>
      <c r="HZ91" s="3">
        <f t="shared" si="68"/>
        <v>0.57971014492753625</v>
      </c>
      <c r="IA91" s="3">
        <f t="shared" si="68"/>
        <v>0</v>
      </c>
      <c r="IB91" s="3">
        <f t="shared" si="68"/>
        <v>0</v>
      </c>
      <c r="IC91" s="3">
        <f t="shared" si="68"/>
        <v>0</v>
      </c>
      <c r="ID91" s="3">
        <f t="shared" si="68"/>
        <v>0</v>
      </c>
      <c r="IE91" s="3">
        <f t="shared" si="68"/>
        <v>0.95808383233532934</v>
      </c>
      <c r="IF91" s="3">
        <f t="shared" si="68"/>
        <v>1.5395894428152492</v>
      </c>
      <c r="IG91" s="3">
        <f t="shared" si="68"/>
        <v>3.5714285714285712</v>
      </c>
      <c r="IH91" s="3">
        <f t="shared" si="68"/>
        <v>0</v>
      </c>
      <c r="II91" s="3">
        <f t="shared" si="68"/>
        <v>3.8596491228070176</v>
      </c>
      <c r="IJ91" s="3">
        <f t="shared" si="68"/>
        <v>0.70810385523210073</v>
      </c>
      <c r="IK91" s="3">
        <f t="shared" si="68"/>
        <v>2.4857954545454546</v>
      </c>
      <c r="IL91" s="3">
        <f t="shared" si="68"/>
        <v>0</v>
      </c>
      <c r="IM91" s="3">
        <f t="shared" si="68"/>
        <v>0</v>
      </c>
      <c r="IN91" s="3">
        <f t="shared" si="68"/>
        <v>0</v>
      </c>
      <c r="IO91" s="3">
        <f t="shared" si="68"/>
        <v>0</v>
      </c>
      <c r="IP91" s="3">
        <f t="shared" si="68"/>
        <v>2.1828908554572273</v>
      </c>
      <c r="IQ91" s="3">
        <f t="shared" si="68"/>
        <v>8.5889570552147241</v>
      </c>
      <c r="IR91" s="3">
        <f t="shared" si="68"/>
        <v>0.75231481481481477</v>
      </c>
      <c r="IS91" s="3">
        <f t="shared" si="68"/>
        <v>9.0968161143599744</v>
      </c>
      <c r="IT91" s="3">
        <f t="shared" si="68"/>
        <v>0</v>
      </c>
      <c r="IU91" s="3">
        <f t="shared" si="68"/>
        <v>1.7825311942959003</v>
      </c>
      <c r="IV91" s="3">
        <f t="shared" si="68"/>
        <v>2.7586206896551726</v>
      </c>
      <c r="IW91" s="3">
        <f t="shared" si="68"/>
        <v>0</v>
      </c>
      <c r="IX91" s="3">
        <f t="shared" si="54"/>
        <v>7.9872204472843447E-2</v>
      </c>
      <c r="IY91" s="3">
        <f t="shared" si="54"/>
        <v>0</v>
      </c>
      <c r="IZ91" s="3">
        <f t="shared" si="54"/>
        <v>0</v>
      </c>
      <c r="JA91" s="3">
        <f t="shared" si="51"/>
        <v>0</v>
      </c>
      <c r="JB91" s="3">
        <f t="shared" ref="JB91:LM94" si="71">(JB28-JB$11)/JB$11*100</f>
        <v>0</v>
      </c>
      <c r="JC91" s="3">
        <f t="shared" si="71"/>
        <v>0</v>
      </c>
      <c r="JD91" s="3">
        <f t="shared" si="71"/>
        <v>0</v>
      </c>
      <c r="JE91" s="3">
        <f t="shared" si="71"/>
        <v>0</v>
      </c>
      <c r="JF91" s="3">
        <f t="shared" si="71"/>
        <v>1.2152777777777779</v>
      </c>
      <c r="JG91" s="3">
        <f t="shared" si="71"/>
        <v>0</v>
      </c>
      <c r="JH91" s="3">
        <f t="shared" si="71"/>
        <v>0</v>
      </c>
      <c r="JI91" s="3">
        <f t="shared" si="71"/>
        <v>0</v>
      </c>
      <c r="JJ91" s="3">
        <f t="shared" si="71"/>
        <v>0</v>
      </c>
      <c r="JK91" s="3">
        <f t="shared" si="71"/>
        <v>0.56793359545653122</v>
      </c>
      <c r="JL91" s="3">
        <f t="shared" si="71"/>
        <v>0</v>
      </c>
      <c r="JM91" s="3">
        <f t="shared" si="71"/>
        <v>0</v>
      </c>
      <c r="JN91" s="3">
        <f t="shared" si="71"/>
        <v>0.11923688394276628</v>
      </c>
      <c r="JO91" s="3">
        <f t="shared" si="71"/>
        <v>1.7293997965412005</v>
      </c>
      <c r="JP91" s="3">
        <f t="shared" si="71"/>
        <v>4.9527410207939511</v>
      </c>
      <c r="JQ91" s="3">
        <f t="shared" si="71"/>
        <v>10.098637858149367</v>
      </c>
      <c r="JR91" s="3">
        <f t="shared" si="71"/>
        <v>0</v>
      </c>
      <c r="JS91" s="3">
        <f t="shared" si="71"/>
        <v>3.4460338101430428</v>
      </c>
      <c r="JT91" s="3">
        <f t="shared" si="71"/>
        <v>0.64780088646437095</v>
      </c>
      <c r="JU91" s="3">
        <f t="shared" si="71"/>
        <v>0</v>
      </c>
      <c r="JV91" s="3">
        <f t="shared" si="71"/>
        <v>1.9735133731498311</v>
      </c>
      <c r="JW91" s="3">
        <f t="shared" si="71"/>
        <v>0</v>
      </c>
      <c r="JX91" s="3">
        <f t="shared" si="71"/>
        <v>1.1986301369863013</v>
      </c>
      <c r="JY91" s="3">
        <f t="shared" si="71"/>
        <v>3.0900723208415517</v>
      </c>
      <c r="JZ91" s="3">
        <f t="shared" si="71"/>
        <v>1.3694054776219104</v>
      </c>
      <c r="KA91" s="3">
        <f t="shared" si="71"/>
        <v>5.5763473053892216</v>
      </c>
      <c r="KB91" s="3">
        <f t="shared" si="71"/>
        <v>2.8856825749167592</v>
      </c>
      <c r="KC91" s="3">
        <f t="shared" si="71"/>
        <v>6.4160725858716781</v>
      </c>
      <c r="KD91" s="3">
        <f t="shared" si="71"/>
        <v>0</v>
      </c>
      <c r="KE91" s="3">
        <f t="shared" si="71"/>
        <v>5.1428571428571423</v>
      </c>
      <c r="KF91" s="3">
        <f t="shared" si="71"/>
        <v>0</v>
      </c>
      <c r="KG91" s="3">
        <f t="shared" si="71"/>
        <v>3.8812785388127851</v>
      </c>
      <c r="KH91" s="3">
        <f t="shared" si="71"/>
        <v>0</v>
      </c>
      <c r="KI91" s="3">
        <f t="shared" si="71"/>
        <v>4.1946308724832218</v>
      </c>
      <c r="KJ91" s="3">
        <f t="shared" si="71"/>
        <v>0</v>
      </c>
      <c r="KK91" s="3">
        <f t="shared" si="71"/>
        <v>0</v>
      </c>
      <c r="KL91" s="3">
        <f t="shared" si="71"/>
        <v>0</v>
      </c>
      <c r="KM91" s="3">
        <f t="shared" si="71"/>
        <v>0</v>
      </c>
      <c r="KN91" s="3">
        <f t="shared" si="71"/>
        <v>0</v>
      </c>
      <c r="KO91" s="3">
        <f t="shared" si="71"/>
        <v>0</v>
      </c>
      <c r="KP91" s="3">
        <f t="shared" si="71"/>
        <v>0</v>
      </c>
      <c r="KQ91" s="3">
        <f t="shared" si="71"/>
        <v>5.4545454545454541</v>
      </c>
      <c r="KR91" s="3">
        <f t="shared" si="71"/>
        <v>0.25510204081632654</v>
      </c>
      <c r="KS91" s="3">
        <f t="shared" si="71"/>
        <v>1.6797312430011198</v>
      </c>
      <c r="KT91" s="3">
        <f t="shared" si="71"/>
        <v>0</v>
      </c>
      <c r="KU91" s="3">
        <f t="shared" si="71"/>
        <v>0</v>
      </c>
      <c r="KV91" s="3">
        <f t="shared" si="71"/>
        <v>0</v>
      </c>
      <c r="KW91" s="3">
        <f t="shared" si="71"/>
        <v>0</v>
      </c>
      <c r="KX91" s="3">
        <f t="shared" si="71"/>
        <v>0</v>
      </c>
      <c r="KY91" s="3">
        <f t="shared" si="71"/>
        <v>0</v>
      </c>
      <c r="KZ91" s="3">
        <f t="shared" si="71"/>
        <v>2.1245421245421245</v>
      </c>
      <c r="LA91" s="3">
        <f t="shared" si="71"/>
        <v>7.5854700854700852</v>
      </c>
      <c r="LB91" s="3">
        <f t="shared" si="71"/>
        <v>2.4096385542168677</v>
      </c>
      <c r="LC91" s="3">
        <f t="shared" si="71"/>
        <v>0</v>
      </c>
      <c r="LD91" s="3">
        <f t="shared" si="71"/>
        <v>0.39215686274509803</v>
      </c>
      <c r="LE91" s="3">
        <f t="shared" si="71"/>
        <v>0.7569386038687973</v>
      </c>
      <c r="LF91" s="3">
        <f t="shared" si="71"/>
        <v>0</v>
      </c>
      <c r="LG91" s="3">
        <f t="shared" si="71"/>
        <v>0</v>
      </c>
      <c r="LH91" s="3">
        <f t="shared" si="71"/>
        <v>0</v>
      </c>
      <c r="LI91" s="3">
        <f t="shared" si="71"/>
        <v>2.7878787878787876</v>
      </c>
      <c r="LJ91" s="3">
        <f t="shared" si="71"/>
        <v>2.2036474164133737</v>
      </c>
      <c r="LK91" s="3">
        <f t="shared" si="71"/>
        <v>4.435483870967742</v>
      </c>
      <c r="LL91" s="3">
        <f t="shared" si="71"/>
        <v>1.663798049340218</v>
      </c>
      <c r="LM91" s="3">
        <f t="shared" si="71"/>
        <v>5.0030138637733579</v>
      </c>
      <c r="LN91" s="3">
        <f t="shared" ref="LN91:LO104" si="72">(LN28-LN$11)/LN$11*100</f>
        <v>0</v>
      </c>
      <c r="LO91" s="3">
        <f t="shared" si="72"/>
        <v>0</v>
      </c>
      <c r="LP91" s="3">
        <f t="shared" ref="LP91:MW91" si="73">(LP28-LP$11)/LP$11*100</f>
        <v>2.9835390946502058</v>
      </c>
      <c r="LQ91" s="3">
        <f t="shared" si="73"/>
        <v>0</v>
      </c>
      <c r="LR91" s="3">
        <f t="shared" si="73"/>
        <v>1.2668918918918919</v>
      </c>
      <c r="LS91" s="3">
        <f t="shared" si="73"/>
        <v>3.7383177570093453</v>
      </c>
      <c r="LT91" s="3">
        <f t="shared" si="73"/>
        <v>0</v>
      </c>
      <c r="LU91" s="3">
        <f t="shared" si="73"/>
        <v>0</v>
      </c>
      <c r="LV91" s="3">
        <f t="shared" si="73"/>
        <v>0</v>
      </c>
      <c r="LW91" s="3">
        <f t="shared" si="73"/>
        <v>0</v>
      </c>
      <c r="LX91" s="3">
        <f t="shared" si="73"/>
        <v>0</v>
      </c>
      <c r="LY91" s="3">
        <f t="shared" si="73"/>
        <v>0</v>
      </c>
      <c r="LZ91" s="3">
        <f t="shared" si="73"/>
        <v>1.7746228926353149</v>
      </c>
      <c r="MA91" s="3">
        <f t="shared" si="73"/>
        <v>0</v>
      </c>
      <c r="MB91" s="3">
        <f t="shared" si="73"/>
        <v>2.2362664073894019</v>
      </c>
      <c r="MC91" s="3">
        <f t="shared" si="73"/>
        <v>0</v>
      </c>
      <c r="MD91" s="3">
        <f t="shared" si="73"/>
        <v>0.97674418604651159</v>
      </c>
      <c r="ME91" s="3">
        <f t="shared" si="73"/>
        <v>0</v>
      </c>
      <c r="MF91" s="3">
        <f t="shared" si="73"/>
        <v>0</v>
      </c>
      <c r="MG91" s="3">
        <f t="shared" si="73"/>
        <v>0</v>
      </c>
      <c r="MH91" s="3">
        <f t="shared" si="73"/>
        <v>1.7982456140350878</v>
      </c>
      <c r="MI91" s="3">
        <f t="shared" si="73"/>
        <v>0</v>
      </c>
      <c r="MJ91" s="3">
        <f t="shared" si="73"/>
        <v>4.790905399918798</v>
      </c>
      <c r="MK91" s="3">
        <f t="shared" si="73"/>
        <v>3.1323414252153485</v>
      </c>
      <c r="ML91" s="3">
        <f t="shared" si="73"/>
        <v>1.4412416851441241</v>
      </c>
      <c r="MM91" s="3">
        <f t="shared" si="73"/>
        <v>0</v>
      </c>
      <c r="MN91" s="3">
        <f t="shared" si="73"/>
        <v>0.66577896138482018</v>
      </c>
      <c r="MO91" s="3">
        <f t="shared" si="73"/>
        <v>4.0540540540540544</v>
      </c>
      <c r="MP91" s="3">
        <f t="shared" si="73"/>
        <v>0</v>
      </c>
      <c r="MQ91" s="3">
        <f t="shared" si="73"/>
        <v>0</v>
      </c>
      <c r="MR91" s="3">
        <f t="shared" si="73"/>
        <v>1.1747430249632893</v>
      </c>
      <c r="MS91" s="3">
        <f t="shared" si="73"/>
        <v>0</v>
      </c>
      <c r="MT91" s="3">
        <f t="shared" si="73"/>
        <v>2.187948350071736</v>
      </c>
      <c r="MU91" s="3">
        <f t="shared" si="73"/>
        <v>4.8993543486517277</v>
      </c>
      <c r="MV91" s="3">
        <f t="shared" si="73"/>
        <v>1.6397709526288391</v>
      </c>
      <c r="MW91" s="3">
        <f t="shared" si="73"/>
        <v>7.2311495673671207</v>
      </c>
      <c r="MX91" s="3"/>
      <c r="MY91" s="3"/>
    </row>
    <row r="92" spans="1:363" x14ac:dyDescent="0.3">
      <c r="A92" s="3">
        <v>18</v>
      </c>
      <c r="B92" s="3">
        <f t="shared" si="33"/>
        <v>1.1494252873563218</v>
      </c>
      <c r="C92" s="3">
        <f t="shared" si="66"/>
        <v>0</v>
      </c>
      <c r="D92" s="3">
        <f t="shared" si="66"/>
        <v>0.21186440677966101</v>
      </c>
      <c r="E92" s="3">
        <f t="shared" si="66"/>
        <v>8.2568807339449553</v>
      </c>
      <c r="F92" s="3">
        <f t="shared" si="66"/>
        <v>0</v>
      </c>
      <c r="G92" s="3">
        <f t="shared" si="66"/>
        <v>2.1032504780114722</v>
      </c>
      <c r="H92" s="3">
        <f t="shared" si="66"/>
        <v>0</v>
      </c>
      <c r="I92" s="3">
        <f t="shared" si="66"/>
        <v>0</v>
      </c>
      <c r="J92" s="3">
        <f t="shared" si="66"/>
        <v>0</v>
      </c>
      <c r="K92" s="3">
        <f t="shared" si="66"/>
        <v>0</v>
      </c>
      <c r="L92" s="3">
        <f t="shared" si="66"/>
        <v>0</v>
      </c>
      <c r="M92" s="3">
        <f t="shared" si="66"/>
        <v>0</v>
      </c>
      <c r="N92" s="3">
        <f t="shared" si="66"/>
        <v>1.4678899082568808</v>
      </c>
      <c r="O92" s="3">
        <f t="shared" si="66"/>
        <v>1.0373443983402488</v>
      </c>
      <c r="P92" s="3">
        <f t="shared" si="66"/>
        <v>1.6569200779727096</v>
      </c>
      <c r="Q92" s="3">
        <f t="shared" si="66"/>
        <v>0</v>
      </c>
      <c r="R92" s="3">
        <f t="shared" si="66"/>
        <v>0.67698259187620891</v>
      </c>
      <c r="S92" s="3">
        <f t="shared" si="66"/>
        <v>2.9411764705882351</v>
      </c>
      <c r="T92" s="3">
        <f t="shared" si="66"/>
        <v>0</v>
      </c>
      <c r="U92" s="3">
        <f t="shared" si="66"/>
        <v>0</v>
      </c>
      <c r="V92" s="3">
        <f t="shared" si="66"/>
        <v>0</v>
      </c>
      <c r="W92" s="3">
        <f t="shared" si="66"/>
        <v>2.8703703703703702</v>
      </c>
      <c r="X92" s="3">
        <f t="shared" si="66"/>
        <v>0.38759689922480622</v>
      </c>
      <c r="Y92" s="3">
        <f t="shared" si="66"/>
        <v>9.4565217391304337</v>
      </c>
      <c r="Z92" s="3">
        <f t="shared" si="66"/>
        <v>0.28490028490028491</v>
      </c>
      <c r="AA92" s="3">
        <f t="shared" si="66"/>
        <v>0.66152149944873206</v>
      </c>
      <c r="AB92" s="3">
        <f t="shared" si="66"/>
        <v>1.7241379310344827</v>
      </c>
      <c r="AC92" s="3">
        <f t="shared" si="66"/>
        <v>0.82582582582582575</v>
      </c>
      <c r="AD92" s="3">
        <f t="shared" si="66"/>
        <v>0.70883315158124316</v>
      </c>
      <c r="AE92" s="3">
        <f t="shared" si="66"/>
        <v>0</v>
      </c>
      <c r="AF92" s="3">
        <f t="shared" si="66"/>
        <v>0.46511627906976744</v>
      </c>
      <c r="AG92" s="3">
        <f t="shared" si="66"/>
        <v>3.9814814814814818</v>
      </c>
      <c r="AH92" s="3">
        <f t="shared" si="66"/>
        <v>1.2021857923497268</v>
      </c>
      <c r="AI92" s="3">
        <f t="shared" si="66"/>
        <v>2.859778597785978</v>
      </c>
      <c r="AJ92" s="3">
        <f t="shared" si="66"/>
        <v>0.64870259481037917</v>
      </c>
      <c r="AK92" s="3">
        <f t="shared" si="66"/>
        <v>6.178861788617886</v>
      </c>
      <c r="AL92" s="3">
        <f t="shared" si="66"/>
        <v>0</v>
      </c>
      <c r="AM92" s="3">
        <f t="shared" si="66"/>
        <v>0</v>
      </c>
      <c r="AN92" s="3">
        <f t="shared" si="66"/>
        <v>3.1539888682745829</v>
      </c>
      <c r="AO92" s="3">
        <f t="shared" si="66"/>
        <v>0</v>
      </c>
      <c r="AP92" s="3">
        <f t="shared" si="66"/>
        <v>0.36496350364963503</v>
      </c>
      <c r="AQ92" s="3">
        <f t="shared" si="66"/>
        <v>0</v>
      </c>
      <c r="AR92" s="3">
        <f t="shared" si="66"/>
        <v>0</v>
      </c>
      <c r="AS92" s="3">
        <f t="shared" si="66"/>
        <v>0</v>
      </c>
      <c r="AT92" s="3">
        <f t="shared" si="66"/>
        <v>0</v>
      </c>
      <c r="AU92" s="3">
        <f t="shared" si="66"/>
        <v>0</v>
      </c>
      <c r="AV92" s="3">
        <f t="shared" si="66"/>
        <v>0</v>
      </c>
      <c r="AW92" s="3">
        <f t="shared" si="66"/>
        <v>0</v>
      </c>
      <c r="AX92" s="3">
        <f t="shared" si="66"/>
        <v>0</v>
      </c>
      <c r="AY92" s="3">
        <f t="shared" si="66"/>
        <v>0.82304526748971196</v>
      </c>
      <c r="AZ92" s="3">
        <f t="shared" si="66"/>
        <v>2.6377491207502932</v>
      </c>
      <c r="BA92" s="3">
        <f t="shared" si="66"/>
        <v>0</v>
      </c>
      <c r="BB92" s="3">
        <f t="shared" si="66"/>
        <v>1.9954819277108431</v>
      </c>
      <c r="BC92" s="3">
        <f t="shared" si="66"/>
        <v>2.2559852670349909</v>
      </c>
      <c r="BD92" s="3">
        <f t="shared" si="66"/>
        <v>0</v>
      </c>
      <c r="BE92" s="3">
        <f t="shared" si="66"/>
        <v>0</v>
      </c>
      <c r="BF92" s="3">
        <f t="shared" si="66"/>
        <v>0</v>
      </c>
      <c r="BG92" s="3">
        <f t="shared" si="66"/>
        <v>0</v>
      </c>
      <c r="BH92" s="3">
        <f t="shared" si="66"/>
        <v>4.0676600886024969</v>
      </c>
      <c r="BI92" s="3">
        <f t="shared" si="66"/>
        <v>7.5738125802310652</v>
      </c>
      <c r="BJ92" s="3">
        <f t="shared" si="66"/>
        <v>0.38289725590299939</v>
      </c>
      <c r="BK92" s="3">
        <f t="shared" si="66"/>
        <v>3.8179916317991633</v>
      </c>
      <c r="BL92" s="3">
        <f t="shared" si="66"/>
        <v>0</v>
      </c>
      <c r="BM92" s="3">
        <f t="shared" si="66"/>
        <v>4.1363636363636367</v>
      </c>
      <c r="BN92" s="3">
        <f t="shared" ref="BN92:DY95" si="74">(BN29-BN$11)/BN$11*100</f>
        <v>1.9783698232656293</v>
      </c>
      <c r="BO92" s="3">
        <f t="shared" si="74"/>
        <v>1.8251398292611127</v>
      </c>
      <c r="BP92" s="3">
        <f t="shared" si="74"/>
        <v>2.1329365079365079</v>
      </c>
      <c r="BQ92" s="3">
        <f t="shared" si="74"/>
        <v>0</v>
      </c>
      <c r="BR92" s="3">
        <f t="shared" si="74"/>
        <v>2.4132730015082959</v>
      </c>
      <c r="BS92" s="3">
        <f t="shared" si="74"/>
        <v>4.5958795562599049</v>
      </c>
      <c r="BT92" s="3">
        <f t="shared" si="74"/>
        <v>2.4208009563658099</v>
      </c>
      <c r="BU92" s="3">
        <f t="shared" si="74"/>
        <v>6.0395695938910103</v>
      </c>
      <c r="BV92" s="3">
        <f t="shared" si="74"/>
        <v>1.3297872340425532</v>
      </c>
      <c r="BW92" s="3">
        <f t="shared" si="74"/>
        <v>0</v>
      </c>
      <c r="BX92" s="3">
        <f t="shared" si="74"/>
        <v>1.2254901960784315</v>
      </c>
      <c r="BY92" s="3">
        <f t="shared" si="74"/>
        <v>2.1226415094339623</v>
      </c>
      <c r="BZ92" s="3">
        <f t="shared" si="74"/>
        <v>0.33613445378151263</v>
      </c>
      <c r="CA92" s="3">
        <f t="shared" si="74"/>
        <v>4.562043795620438</v>
      </c>
      <c r="CB92" s="3">
        <f t="shared" si="74"/>
        <v>0</v>
      </c>
      <c r="CC92" s="3">
        <f t="shared" si="74"/>
        <v>0</v>
      </c>
      <c r="CD92" s="3">
        <f t="shared" si="74"/>
        <v>0</v>
      </c>
      <c r="CE92" s="3">
        <f t="shared" si="74"/>
        <v>0</v>
      </c>
      <c r="CF92" s="3">
        <f t="shared" si="74"/>
        <v>0</v>
      </c>
      <c r="CG92" s="3">
        <f t="shared" si="74"/>
        <v>0</v>
      </c>
      <c r="CH92" s="3">
        <f t="shared" si="74"/>
        <v>0.76804915514592931</v>
      </c>
      <c r="CI92" s="3">
        <f t="shared" si="74"/>
        <v>0</v>
      </c>
      <c r="CJ92" s="3">
        <f t="shared" si="74"/>
        <v>2.4324324324324325</v>
      </c>
      <c r="CK92" s="3">
        <f t="shared" si="74"/>
        <v>3.8502673796791447</v>
      </c>
      <c r="CL92" s="3">
        <f t="shared" si="74"/>
        <v>0</v>
      </c>
      <c r="CM92" s="3">
        <f t="shared" si="74"/>
        <v>0</v>
      </c>
      <c r="CN92" s="3">
        <f t="shared" si="74"/>
        <v>0</v>
      </c>
      <c r="CO92" s="3">
        <f t="shared" si="74"/>
        <v>0</v>
      </c>
      <c r="CP92" s="3">
        <f t="shared" si="74"/>
        <v>9.0334236675700091E-2</v>
      </c>
      <c r="CQ92" s="3">
        <f t="shared" si="74"/>
        <v>0</v>
      </c>
      <c r="CR92" s="3">
        <f t="shared" si="74"/>
        <v>2.0788530465949822</v>
      </c>
      <c r="CS92" s="3">
        <f t="shared" si="74"/>
        <v>5.7728119180633151</v>
      </c>
      <c r="CT92" s="3">
        <f t="shared" si="74"/>
        <v>0</v>
      </c>
      <c r="CU92" s="3">
        <f t="shared" si="74"/>
        <v>0</v>
      </c>
      <c r="CV92" s="3">
        <f t="shared" si="74"/>
        <v>0</v>
      </c>
      <c r="CW92" s="3">
        <f t="shared" si="74"/>
        <v>0</v>
      </c>
      <c r="CX92" s="3">
        <f t="shared" si="74"/>
        <v>0</v>
      </c>
      <c r="CY92" s="3">
        <f t="shared" si="74"/>
        <v>0</v>
      </c>
      <c r="CZ92" s="3">
        <f t="shared" si="74"/>
        <v>0</v>
      </c>
      <c r="DA92" s="3">
        <f t="shared" si="74"/>
        <v>0</v>
      </c>
      <c r="DB92" s="3">
        <f t="shared" si="74"/>
        <v>1.0493827160493827</v>
      </c>
      <c r="DC92" s="3">
        <f t="shared" si="74"/>
        <v>4.7581284694686756</v>
      </c>
      <c r="DD92" s="3">
        <f t="shared" si="74"/>
        <v>0.68965517241379315</v>
      </c>
      <c r="DE92" s="3">
        <f t="shared" si="74"/>
        <v>8.6298258894776687</v>
      </c>
      <c r="DF92" s="3">
        <f t="shared" si="74"/>
        <v>0</v>
      </c>
      <c r="DG92" s="3">
        <f t="shared" si="74"/>
        <v>0.46875</v>
      </c>
      <c r="DH92" s="3">
        <f t="shared" si="74"/>
        <v>0</v>
      </c>
      <c r="DI92" s="3">
        <f t="shared" si="74"/>
        <v>0</v>
      </c>
      <c r="DJ92" s="3">
        <f t="shared" si="74"/>
        <v>0</v>
      </c>
      <c r="DK92" s="3">
        <f t="shared" si="74"/>
        <v>2.3052464228934819</v>
      </c>
      <c r="DL92" s="3">
        <f t="shared" si="74"/>
        <v>0</v>
      </c>
      <c r="DM92" s="3">
        <f t="shared" si="74"/>
        <v>0</v>
      </c>
      <c r="DN92" s="3">
        <f t="shared" si="74"/>
        <v>0</v>
      </c>
      <c r="DO92" s="3">
        <f t="shared" si="74"/>
        <v>0</v>
      </c>
      <c r="DP92" s="3">
        <f t="shared" si="74"/>
        <v>0</v>
      </c>
      <c r="DQ92" s="3">
        <f t="shared" si="74"/>
        <v>0</v>
      </c>
      <c r="DR92" s="3">
        <f t="shared" si="74"/>
        <v>0</v>
      </c>
      <c r="DS92" s="3">
        <f t="shared" si="74"/>
        <v>0</v>
      </c>
      <c r="DT92" s="3">
        <f t="shared" si="74"/>
        <v>1.662971175166297</v>
      </c>
      <c r="DU92" s="3">
        <f t="shared" si="74"/>
        <v>0.73855243722304276</v>
      </c>
      <c r="DV92" s="3">
        <f t="shared" si="74"/>
        <v>0</v>
      </c>
      <c r="DW92" s="3">
        <f t="shared" si="74"/>
        <v>0</v>
      </c>
      <c r="DX92" s="3">
        <f t="shared" si="74"/>
        <v>0</v>
      </c>
      <c r="DY92" s="3">
        <f t="shared" si="74"/>
        <v>0</v>
      </c>
      <c r="DZ92" s="3">
        <f t="shared" si="40"/>
        <v>0.13163668275559456</v>
      </c>
      <c r="EA92" s="3">
        <f t="shared" si="70"/>
        <v>4.1852678571428568</v>
      </c>
      <c r="EB92" s="3">
        <f t="shared" si="70"/>
        <v>2.9629629629629632</v>
      </c>
      <c r="EC92" s="3">
        <f t="shared" si="70"/>
        <v>6.8493150684931505</v>
      </c>
      <c r="ED92" s="3">
        <f t="shared" si="70"/>
        <v>1.9243986254295533</v>
      </c>
      <c r="EE92" s="3">
        <f t="shared" si="70"/>
        <v>0</v>
      </c>
      <c r="EF92" s="3">
        <f t="shared" si="70"/>
        <v>2.8463648834019204</v>
      </c>
      <c r="EG92" s="3">
        <f t="shared" si="70"/>
        <v>2.6218611521418018</v>
      </c>
      <c r="EH92" s="3">
        <f t="shared" si="70"/>
        <v>1.5864621893178215</v>
      </c>
      <c r="EI92" s="3">
        <f t="shared" si="70"/>
        <v>0.37573805689747719</v>
      </c>
      <c r="EJ92" s="3">
        <f t="shared" si="70"/>
        <v>0.76992753623188415</v>
      </c>
      <c r="EK92" s="3">
        <f t="shared" si="70"/>
        <v>3.1102096010818121</v>
      </c>
      <c r="EL92" s="3">
        <f t="shared" si="70"/>
        <v>1.437125748502994</v>
      </c>
      <c r="EM92" s="3">
        <f t="shared" si="70"/>
        <v>6.4757160647571599</v>
      </c>
      <c r="EN92" s="3">
        <f t="shared" si="70"/>
        <v>1.5079365079365079</v>
      </c>
      <c r="EO92" s="3">
        <f t="shared" si="70"/>
        <v>6.8493150684931505</v>
      </c>
      <c r="EP92" s="3">
        <f t="shared" si="70"/>
        <v>2.083333333333333</v>
      </c>
      <c r="EQ92" s="3">
        <f t="shared" si="70"/>
        <v>0</v>
      </c>
      <c r="ER92" s="3">
        <f t="shared" si="70"/>
        <v>1.7391304347826086</v>
      </c>
      <c r="ES92" s="3">
        <f t="shared" si="70"/>
        <v>0</v>
      </c>
      <c r="ET92" s="3">
        <f t="shared" si="70"/>
        <v>1.2658227848101267</v>
      </c>
      <c r="EU92" s="3">
        <f t="shared" si="70"/>
        <v>1.0189228529839884</v>
      </c>
      <c r="EV92" s="3">
        <f t="shared" si="70"/>
        <v>0</v>
      </c>
      <c r="EW92" s="3">
        <f t="shared" si="70"/>
        <v>0</v>
      </c>
      <c r="EX92" s="3">
        <f t="shared" si="70"/>
        <v>0</v>
      </c>
      <c r="EY92" s="3">
        <f t="shared" si="70"/>
        <v>0</v>
      </c>
      <c r="EZ92" s="3">
        <f t="shared" si="70"/>
        <v>0</v>
      </c>
      <c r="FA92" s="3">
        <f t="shared" si="70"/>
        <v>0</v>
      </c>
      <c r="FB92" s="3">
        <f t="shared" si="70"/>
        <v>0</v>
      </c>
      <c r="FC92" s="3">
        <f t="shared" si="70"/>
        <v>3.070175438596491</v>
      </c>
      <c r="FD92" s="3">
        <f t="shared" si="70"/>
        <v>2.1164021164021163</v>
      </c>
      <c r="FE92" s="3">
        <f t="shared" si="70"/>
        <v>0</v>
      </c>
      <c r="FF92" s="3">
        <f t="shared" si="70"/>
        <v>1.3793103448275863</v>
      </c>
      <c r="FG92" s="3">
        <f t="shared" si="70"/>
        <v>1.8621973929236499</v>
      </c>
      <c r="FH92" s="3">
        <f t="shared" si="70"/>
        <v>0</v>
      </c>
      <c r="FI92" s="3">
        <f t="shared" si="70"/>
        <v>0</v>
      </c>
      <c r="FJ92" s="3">
        <f t="shared" si="70"/>
        <v>0</v>
      </c>
      <c r="FK92" s="3">
        <f t="shared" si="70"/>
        <v>0</v>
      </c>
      <c r="FL92" s="3">
        <f t="shared" si="70"/>
        <v>1.6666666666666667</v>
      </c>
      <c r="FM92" s="3">
        <f t="shared" si="70"/>
        <v>3.2046014790468362</v>
      </c>
      <c r="FN92" s="3">
        <f t="shared" si="70"/>
        <v>0</v>
      </c>
      <c r="FO92" s="3">
        <f t="shared" si="70"/>
        <v>5.0373134328358207</v>
      </c>
      <c r="FP92" s="3">
        <f t="shared" si="70"/>
        <v>0</v>
      </c>
      <c r="FQ92" s="3">
        <f t="shared" si="70"/>
        <v>1.3615733736762481</v>
      </c>
      <c r="FR92" s="3">
        <f t="shared" si="70"/>
        <v>2.8409090909090908</v>
      </c>
      <c r="FS92" s="3">
        <f t="shared" si="70"/>
        <v>0</v>
      </c>
      <c r="FT92" s="3">
        <f t="shared" si="70"/>
        <v>1.8072289156626504</v>
      </c>
      <c r="FU92" s="3">
        <f t="shared" si="70"/>
        <v>4.6814044213263983</v>
      </c>
      <c r="FV92" s="3">
        <f t="shared" si="70"/>
        <v>1.7557251908396947</v>
      </c>
      <c r="FW92" s="3">
        <f t="shared" si="70"/>
        <v>5.2282157676348548</v>
      </c>
      <c r="FX92" s="3">
        <f t="shared" si="70"/>
        <v>1.7610062893081762</v>
      </c>
      <c r="FY92" s="3">
        <f t="shared" si="70"/>
        <v>7.8296703296703294</v>
      </c>
      <c r="FZ92" s="3">
        <f t="shared" si="70"/>
        <v>1.6304347826086956</v>
      </c>
      <c r="GA92" s="3">
        <f t="shared" si="70"/>
        <v>0</v>
      </c>
      <c r="GB92" s="3">
        <f t="shared" si="70"/>
        <v>1.8404907975460123</v>
      </c>
      <c r="GC92" s="3">
        <f t="shared" si="70"/>
        <v>4.3942992874109263</v>
      </c>
      <c r="GD92" s="3">
        <f t="shared" si="70"/>
        <v>0</v>
      </c>
      <c r="GE92" s="3">
        <f t="shared" si="70"/>
        <v>0</v>
      </c>
      <c r="GF92" s="3">
        <f t="shared" si="70"/>
        <v>0</v>
      </c>
      <c r="GG92" s="3">
        <f t="shared" si="70"/>
        <v>0</v>
      </c>
      <c r="GH92" s="3">
        <f t="shared" si="70"/>
        <v>0</v>
      </c>
      <c r="GI92" s="3">
        <f t="shared" si="70"/>
        <v>0</v>
      </c>
      <c r="GJ92" s="3">
        <f t="shared" si="70"/>
        <v>0</v>
      </c>
      <c r="GK92" s="3">
        <f t="shared" si="70"/>
        <v>0</v>
      </c>
      <c r="GL92" s="3">
        <f t="shared" si="70"/>
        <v>0.41806020066889632</v>
      </c>
      <c r="GM92" s="3">
        <f t="shared" si="68"/>
        <v>3.1758957654723128</v>
      </c>
      <c r="GN92" s="3">
        <f t="shared" si="68"/>
        <v>2.5891548607718611</v>
      </c>
      <c r="GO92" s="3">
        <f t="shared" si="68"/>
        <v>2.0175892395240558</v>
      </c>
      <c r="GP92" s="3">
        <f t="shared" si="68"/>
        <v>0</v>
      </c>
      <c r="GQ92" s="3">
        <f t="shared" si="68"/>
        <v>0</v>
      </c>
      <c r="GR92" s="3">
        <f t="shared" si="68"/>
        <v>0</v>
      </c>
      <c r="GS92" s="3">
        <f t="shared" si="68"/>
        <v>0</v>
      </c>
      <c r="GT92" s="3">
        <f t="shared" si="68"/>
        <v>1.029082774049217</v>
      </c>
      <c r="GU92" s="3">
        <f t="shared" si="68"/>
        <v>0</v>
      </c>
      <c r="GV92" s="3">
        <f t="shared" si="68"/>
        <v>6.2817719680464776</v>
      </c>
      <c r="GW92" s="3">
        <f t="shared" si="68"/>
        <v>4.2956120092378747</v>
      </c>
      <c r="GX92" s="3">
        <f t="shared" si="68"/>
        <v>0.34246575342465752</v>
      </c>
      <c r="GY92" s="3">
        <f t="shared" si="68"/>
        <v>0</v>
      </c>
      <c r="GZ92" s="3">
        <f t="shared" si="68"/>
        <v>0</v>
      </c>
      <c r="HA92" s="3">
        <f t="shared" si="68"/>
        <v>1.4406184118060434</v>
      </c>
      <c r="HB92" s="3">
        <f t="shared" si="68"/>
        <v>1.4882655981682884</v>
      </c>
      <c r="HC92" s="3">
        <f t="shared" si="68"/>
        <v>0</v>
      </c>
      <c r="HD92" s="3">
        <f t="shared" si="68"/>
        <v>0.59701492537313439</v>
      </c>
      <c r="HE92" s="3">
        <f t="shared" si="68"/>
        <v>6.027727546714889</v>
      </c>
      <c r="HF92" s="3">
        <f t="shared" si="68"/>
        <v>1.9392372333548804</v>
      </c>
      <c r="HG92" s="3">
        <f t="shared" si="68"/>
        <v>4.951958610495196</v>
      </c>
      <c r="HH92" s="3">
        <f t="shared" si="68"/>
        <v>1.2709710218607015</v>
      </c>
      <c r="HI92" s="3">
        <f t="shared" si="68"/>
        <v>4.7677261613691932</v>
      </c>
      <c r="HJ92" s="3">
        <f t="shared" si="68"/>
        <v>1.3953488372093024</v>
      </c>
      <c r="HK92" s="3">
        <f t="shared" si="68"/>
        <v>0.8875739644970414</v>
      </c>
      <c r="HL92" s="3">
        <f t="shared" si="68"/>
        <v>1.7543859649122806</v>
      </c>
      <c r="HM92" s="3">
        <f t="shared" si="68"/>
        <v>0</v>
      </c>
      <c r="HN92" s="3">
        <f t="shared" si="68"/>
        <v>2.2865853658536586</v>
      </c>
      <c r="HO92" s="3">
        <f t="shared" si="68"/>
        <v>0</v>
      </c>
      <c r="HP92" s="3">
        <f t="shared" si="68"/>
        <v>0</v>
      </c>
      <c r="HQ92" s="3">
        <f t="shared" si="68"/>
        <v>0</v>
      </c>
      <c r="HR92" s="3">
        <f t="shared" si="68"/>
        <v>0</v>
      </c>
      <c r="HS92" s="3">
        <f t="shared" si="68"/>
        <v>0</v>
      </c>
      <c r="HT92" s="3">
        <f t="shared" si="68"/>
        <v>0</v>
      </c>
      <c r="HU92" s="3">
        <f t="shared" si="68"/>
        <v>0</v>
      </c>
      <c r="HV92" s="3">
        <f t="shared" si="68"/>
        <v>0</v>
      </c>
      <c r="HW92" s="3">
        <f t="shared" si="68"/>
        <v>2</v>
      </c>
      <c r="HX92" s="3">
        <f t="shared" si="68"/>
        <v>2.147239263803681</v>
      </c>
      <c r="HY92" s="3">
        <f t="shared" si="68"/>
        <v>0</v>
      </c>
      <c r="HZ92" s="3">
        <f t="shared" si="68"/>
        <v>0.57971014492753625</v>
      </c>
      <c r="IA92" s="3">
        <f t="shared" si="68"/>
        <v>0</v>
      </c>
      <c r="IB92" s="3">
        <f t="shared" si="68"/>
        <v>0</v>
      </c>
      <c r="IC92" s="3">
        <f t="shared" si="68"/>
        <v>0</v>
      </c>
      <c r="ID92" s="3">
        <f t="shared" si="68"/>
        <v>0</v>
      </c>
      <c r="IE92" s="3">
        <f t="shared" si="68"/>
        <v>0.71856287425149701</v>
      </c>
      <c r="IF92" s="3">
        <f t="shared" si="68"/>
        <v>1.8328445747800588</v>
      </c>
      <c r="IG92" s="3">
        <f t="shared" si="68"/>
        <v>2.838827838827839</v>
      </c>
      <c r="IH92" s="3">
        <f t="shared" si="68"/>
        <v>0</v>
      </c>
      <c r="II92" s="3">
        <f t="shared" si="68"/>
        <v>3.6257309941520468</v>
      </c>
      <c r="IJ92" s="3">
        <f t="shared" si="68"/>
        <v>0.47206923682140045</v>
      </c>
      <c r="IK92" s="3">
        <f t="shared" si="68"/>
        <v>2.2727272727272729</v>
      </c>
      <c r="IL92" s="3">
        <f t="shared" si="68"/>
        <v>0</v>
      </c>
      <c r="IM92" s="3">
        <f t="shared" si="68"/>
        <v>0</v>
      </c>
      <c r="IN92" s="3">
        <f t="shared" si="68"/>
        <v>0</v>
      </c>
      <c r="IO92" s="3">
        <f t="shared" si="68"/>
        <v>0</v>
      </c>
      <c r="IP92" s="3">
        <f t="shared" si="68"/>
        <v>1.887905604719764</v>
      </c>
      <c r="IQ92" s="3">
        <f t="shared" si="68"/>
        <v>7.9754601226993866</v>
      </c>
      <c r="IR92" s="3">
        <f t="shared" si="68"/>
        <v>0.63657407407407407</v>
      </c>
      <c r="IS92" s="3">
        <f t="shared" si="68"/>
        <v>9.6816114359974002</v>
      </c>
      <c r="IT92" s="3">
        <f t="shared" si="68"/>
        <v>0</v>
      </c>
      <c r="IU92" s="3">
        <f t="shared" si="68"/>
        <v>1.7825311942959003</v>
      </c>
      <c r="IV92" s="3">
        <f t="shared" si="68"/>
        <v>2.6436781609195403</v>
      </c>
      <c r="IW92" s="3">
        <f t="shared" si="68"/>
        <v>0</v>
      </c>
      <c r="IX92" s="3">
        <f t="shared" si="54"/>
        <v>0.31948881789137379</v>
      </c>
      <c r="IY92" s="3">
        <f t="shared" si="54"/>
        <v>0</v>
      </c>
      <c r="IZ92" s="3">
        <f t="shared" si="54"/>
        <v>0</v>
      </c>
      <c r="JA92" s="3">
        <f t="shared" si="51"/>
        <v>0</v>
      </c>
      <c r="JB92" s="3">
        <f t="shared" si="71"/>
        <v>0</v>
      </c>
      <c r="JC92" s="3">
        <f t="shared" si="71"/>
        <v>0</v>
      </c>
      <c r="JD92" s="3">
        <f t="shared" si="71"/>
        <v>0.24764735017335313</v>
      </c>
      <c r="JE92" s="3">
        <f t="shared" si="71"/>
        <v>0</v>
      </c>
      <c r="JF92" s="3">
        <f t="shared" si="71"/>
        <v>1.0416666666666665</v>
      </c>
      <c r="JG92" s="3">
        <f t="shared" si="71"/>
        <v>0</v>
      </c>
      <c r="JH92" s="3">
        <f t="shared" si="71"/>
        <v>0</v>
      </c>
      <c r="JI92" s="3">
        <f t="shared" si="71"/>
        <v>0</v>
      </c>
      <c r="JJ92" s="3">
        <f t="shared" si="71"/>
        <v>0</v>
      </c>
      <c r="JK92" s="3">
        <f t="shared" si="71"/>
        <v>0.96111839231105278</v>
      </c>
      <c r="JL92" s="3">
        <f t="shared" si="71"/>
        <v>0</v>
      </c>
      <c r="JM92" s="3">
        <f t="shared" si="71"/>
        <v>0</v>
      </c>
      <c r="JN92" s="3">
        <f t="shared" si="71"/>
        <v>0</v>
      </c>
      <c r="JO92" s="3">
        <f t="shared" si="71"/>
        <v>0.55951169888097652</v>
      </c>
      <c r="JP92" s="3">
        <f t="shared" si="71"/>
        <v>4.8771266540642717</v>
      </c>
      <c r="JQ92" s="3">
        <f t="shared" si="71"/>
        <v>10.944105213715359</v>
      </c>
      <c r="JR92" s="3">
        <f t="shared" si="71"/>
        <v>0</v>
      </c>
      <c r="JS92" s="3">
        <f t="shared" si="71"/>
        <v>3.3810143042912877</v>
      </c>
      <c r="JT92" s="3">
        <f t="shared" si="71"/>
        <v>0.57961131946812139</v>
      </c>
      <c r="JU92" s="3">
        <f t="shared" si="71"/>
        <v>0</v>
      </c>
      <c r="JV92" s="3">
        <f t="shared" si="71"/>
        <v>2.2072189041807322</v>
      </c>
      <c r="JW92" s="3">
        <f t="shared" si="71"/>
        <v>0</v>
      </c>
      <c r="JX92" s="3">
        <f t="shared" si="71"/>
        <v>0.97031963470319627</v>
      </c>
      <c r="JY92" s="3">
        <f t="shared" si="71"/>
        <v>1.5121630506245891</v>
      </c>
      <c r="JZ92" s="3">
        <f t="shared" si="71"/>
        <v>1.6032064128256511</v>
      </c>
      <c r="KA92" s="3">
        <f t="shared" si="71"/>
        <v>4.7904191616766472</v>
      </c>
      <c r="KB92" s="3">
        <f t="shared" si="71"/>
        <v>2.6914539400665927</v>
      </c>
      <c r="KC92" s="3">
        <f t="shared" si="71"/>
        <v>6.383668178872326</v>
      </c>
      <c r="KD92" s="3">
        <f t="shared" si="71"/>
        <v>0</v>
      </c>
      <c r="KE92" s="3">
        <f t="shared" si="71"/>
        <v>5.1428571428571423</v>
      </c>
      <c r="KF92" s="3">
        <f t="shared" si="71"/>
        <v>0</v>
      </c>
      <c r="KG92" s="3">
        <f t="shared" si="71"/>
        <v>3.8812785388127851</v>
      </c>
      <c r="KH92" s="3">
        <f t="shared" si="71"/>
        <v>0.14792899408284024</v>
      </c>
      <c r="KI92" s="3">
        <f t="shared" si="71"/>
        <v>3.6912751677852351</v>
      </c>
      <c r="KJ92" s="3">
        <f t="shared" si="71"/>
        <v>0</v>
      </c>
      <c r="KK92" s="3">
        <f t="shared" si="71"/>
        <v>0</v>
      </c>
      <c r="KL92" s="3">
        <f t="shared" si="71"/>
        <v>0</v>
      </c>
      <c r="KM92" s="3">
        <f t="shared" si="71"/>
        <v>0</v>
      </c>
      <c r="KN92" s="3">
        <f t="shared" si="71"/>
        <v>0</v>
      </c>
      <c r="KO92" s="3">
        <f t="shared" si="71"/>
        <v>0</v>
      </c>
      <c r="KP92" s="3">
        <f t="shared" si="71"/>
        <v>0</v>
      </c>
      <c r="KQ92" s="3">
        <f t="shared" si="71"/>
        <v>5.4545454545454541</v>
      </c>
      <c r="KR92" s="3">
        <f t="shared" si="71"/>
        <v>0.25510204081632654</v>
      </c>
      <c r="KS92" s="3">
        <f t="shared" si="71"/>
        <v>1.6797312430011198</v>
      </c>
      <c r="KT92" s="3">
        <f t="shared" si="71"/>
        <v>0</v>
      </c>
      <c r="KU92" s="3">
        <f t="shared" si="71"/>
        <v>0</v>
      </c>
      <c r="KV92" s="3">
        <f t="shared" si="71"/>
        <v>0</v>
      </c>
      <c r="KW92" s="3">
        <f t="shared" si="71"/>
        <v>0</v>
      </c>
      <c r="KX92" s="3">
        <f t="shared" si="71"/>
        <v>0</v>
      </c>
      <c r="KY92" s="3">
        <f t="shared" si="71"/>
        <v>0</v>
      </c>
      <c r="KZ92" s="3">
        <f t="shared" si="71"/>
        <v>2.271062271062271</v>
      </c>
      <c r="LA92" s="3">
        <f t="shared" si="71"/>
        <v>7.9059829059829054</v>
      </c>
      <c r="LB92" s="3">
        <f t="shared" si="71"/>
        <v>2.4096385542168677</v>
      </c>
      <c r="LC92" s="3">
        <f t="shared" si="71"/>
        <v>0</v>
      </c>
      <c r="LD92" s="3">
        <f t="shared" si="71"/>
        <v>0.39215686274509803</v>
      </c>
      <c r="LE92" s="3">
        <f t="shared" si="71"/>
        <v>0.50462573591253157</v>
      </c>
      <c r="LF92" s="3">
        <f t="shared" si="71"/>
        <v>0</v>
      </c>
      <c r="LG92" s="3">
        <f t="shared" si="71"/>
        <v>0</v>
      </c>
      <c r="LH92" s="3">
        <f t="shared" si="71"/>
        <v>0</v>
      </c>
      <c r="LI92" s="3">
        <f t="shared" si="71"/>
        <v>2.7878787878787876</v>
      </c>
      <c r="LJ92" s="3">
        <f t="shared" si="71"/>
        <v>2.2036474164133737</v>
      </c>
      <c r="LK92" s="3">
        <f t="shared" si="71"/>
        <v>4.838709677419355</v>
      </c>
      <c r="LL92" s="3">
        <f t="shared" si="71"/>
        <v>1.7211703958691909</v>
      </c>
      <c r="LM92" s="3">
        <f t="shared" si="71"/>
        <v>5.3646775165762506</v>
      </c>
      <c r="LN92" s="3">
        <f t="shared" si="72"/>
        <v>0</v>
      </c>
      <c r="LO92" s="3">
        <f t="shared" si="72"/>
        <v>0</v>
      </c>
      <c r="LP92" s="3">
        <f t="shared" ref="LP92:MW92" si="75">(LP29-LP$11)/LP$11*100</f>
        <v>2.9835390946502058</v>
      </c>
      <c r="LQ92" s="3">
        <f t="shared" si="75"/>
        <v>0.51177072671443202</v>
      </c>
      <c r="LR92" s="3">
        <f t="shared" si="75"/>
        <v>1.097972972972973</v>
      </c>
      <c r="LS92" s="3">
        <f t="shared" si="75"/>
        <v>4.5794392523364484</v>
      </c>
      <c r="LT92" s="3">
        <f t="shared" si="75"/>
        <v>0</v>
      </c>
      <c r="LU92" s="3">
        <f t="shared" si="75"/>
        <v>0</v>
      </c>
      <c r="LV92" s="3">
        <f t="shared" si="75"/>
        <v>0</v>
      </c>
      <c r="LW92" s="3">
        <f t="shared" si="75"/>
        <v>0</v>
      </c>
      <c r="LX92" s="3">
        <f t="shared" si="75"/>
        <v>0</v>
      </c>
      <c r="LY92" s="3">
        <f t="shared" si="75"/>
        <v>0</v>
      </c>
      <c r="LZ92" s="3">
        <f t="shared" si="75"/>
        <v>1.7746228926353149</v>
      </c>
      <c r="MA92" s="3">
        <f t="shared" si="75"/>
        <v>0</v>
      </c>
      <c r="MB92" s="3">
        <f t="shared" si="75"/>
        <v>2.3334953816237238</v>
      </c>
      <c r="MC92" s="3">
        <f t="shared" si="75"/>
        <v>0</v>
      </c>
      <c r="MD92" s="3">
        <f t="shared" si="75"/>
        <v>1.0697674418604652</v>
      </c>
      <c r="ME92" s="3">
        <f t="shared" si="75"/>
        <v>0</v>
      </c>
      <c r="MF92" s="3">
        <f t="shared" si="75"/>
        <v>0</v>
      </c>
      <c r="MG92" s="3">
        <f t="shared" si="75"/>
        <v>0</v>
      </c>
      <c r="MH92" s="3">
        <f t="shared" si="75"/>
        <v>1.9298245614035088</v>
      </c>
      <c r="MI92" s="3">
        <f t="shared" si="75"/>
        <v>0</v>
      </c>
      <c r="MJ92" s="3">
        <f t="shared" si="75"/>
        <v>4.4254973609419404</v>
      </c>
      <c r="MK92" s="3">
        <f t="shared" si="75"/>
        <v>3.0148786217697729</v>
      </c>
      <c r="ML92" s="3">
        <f t="shared" si="75"/>
        <v>1.4966740576496673</v>
      </c>
      <c r="MM92" s="3">
        <f t="shared" si="75"/>
        <v>0</v>
      </c>
      <c r="MN92" s="3">
        <f t="shared" si="75"/>
        <v>0.56591211717709722</v>
      </c>
      <c r="MO92" s="3">
        <f t="shared" si="75"/>
        <v>3.7537537537537538</v>
      </c>
      <c r="MP92" s="3">
        <f t="shared" si="75"/>
        <v>0</v>
      </c>
      <c r="MQ92" s="3">
        <f t="shared" si="75"/>
        <v>0</v>
      </c>
      <c r="MR92" s="3">
        <f t="shared" si="75"/>
        <v>1.2236906510034264</v>
      </c>
      <c r="MS92" s="3">
        <f t="shared" si="75"/>
        <v>0</v>
      </c>
      <c r="MT92" s="3">
        <f t="shared" si="75"/>
        <v>2.080344332855093</v>
      </c>
      <c r="MU92" s="3">
        <f t="shared" si="75"/>
        <v>4.5195594379035322</v>
      </c>
      <c r="MV92" s="3">
        <f t="shared" si="75"/>
        <v>1.7699115044247788</v>
      </c>
      <c r="MW92" s="3">
        <f t="shared" si="75"/>
        <v>6.7367119901112478</v>
      </c>
      <c r="MX92" s="3"/>
      <c r="MY92" s="3"/>
    </row>
    <row r="93" spans="1:363" x14ac:dyDescent="0.3">
      <c r="A93" s="3">
        <v>19</v>
      </c>
      <c r="B93" s="3">
        <f t="shared" si="33"/>
        <v>1.1494252873563218</v>
      </c>
      <c r="C93" s="3">
        <f t="shared" ref="C93:BN96" si="76">(C30-C$11)/C$11*100</f>
        <v>0</v>
      </c>
      <c r="D93" s="3">
        <f t="shared" si="76"/>
        <v>0.21186440677966101</v>
      </c>
      <c r="E93" s="3">
        <f t="shared" si="76"/>
        <v>6.6513761467889916</v>
      </c>
      <c r="F93" s="3">
        <f t="shared" si="76"/>
        <v>0</v>
      </c>
      <c r="G93" s="3">
        <f t="shared" si="76"/>
        <v>2.1032504780114722</v>
      </c>
      <c r="H93" s="3">
        <f t="shared" si="76"/>
        <v>0</v>
      </c>
      <c r="I93" s="3">
        <f t="shared" si="76"/>
        <v>0</v>
      </c>
      <c r="J93" s="3">
        <f t="shared" si="76"/>
        <v>0</v>
      </c>
      <c r="K93" s="3">
        <f t="shared" si="76"/>
        <v>0</v>
      </c>
      <c r="L93" s="3">
        <f t="shared" si="76"/>
        <v>0</v>
      </c>
      <c r="M93" s="3">
        <f t="shared" si="76"/>
        <v>0</v>
      </c>
      <c r="N93" s="3">
        <f t="shared" si="76"/>
        <v>1.4678899082568808</v>
      </c>
      <c r="O93" s="3">
        <f t="shared" si="76"/>
        <v>1.0373443983402488</v>
      </c>
      <c r="P93" s="3">
        <f t="shared" si="76"/>
        <v>1.364522417153996</v>
      </c>
      <c r="Q93" s="3">
        <f t="shared" si="76"/>
        <v>0</v>
      </c>
      <c r="R93" s="3">
        <f t="shared" si="76"/>
        <v>0.58027079303675055</v>
      </c>
      <c r="S93" s="3">
        <f t="shared" si="76"/>
        <v>3.0542986425339365</v>
      </c>
      <c r="T93" s="3">
        <f t="shared" si="76"/>
        <v>0</v>
      </c>
      <c r="U93" s="3">
        <f t="shared" si="76"/>
        <v>0</v>
      </c>
      <c r="V93" s="3">
        <f t="shared" si="76"/>
        <v>9.6618357487922704E-2</v>
      </c>
      <c r="W93" s="3">
        <f t="shared" si="76"/>
        <v>2.7777777777777777</v>
      </c>
      <c r="X93" s="3">
        <f t="shared" si="76"/>
        <v>0.31007751937984496</v>
      </c>
      <c r="Y93" s="3">
        <f t="shared" si="76"/>
        <v>8.804347826086957</v>
      </c>
      <c r="Z93" s="3">
        <f t="shared" si="76"/>
        <v>0.28490028490028491</v>
      </c>
      <c r="AA93" s="3">
        <f t="shared" si="76"/>
        <v>0.66152149944873206</v>
      </c>
      <c r="AB93" s="3">
        <f t="shared" si="76"/>
        <v>1.7241379310344827</v>
      </c>
      <c r="AC93" s="3">
        <f t="shared" si="76"/>
        <v>0.97597597597597596</v>
      </c>
      <c r="AD93" s="3">
        <f t="shared" si="76"/>
        <v>0.5997818974918212</v>
      </c>
      <c r="AE93" s="3">
        <f t="shared" si="76"/>
        <v>0</v>
      </c>
      <c r="AF93" s="3">
        <f t="shared" si="76"/>
        <v>0.46511627906976744</v>
      </c>
      <c r="AG93" s="3">
        <f t="shared" si="76"/>
        <v>3.9814814814814818</v>
      </c>
      <c r="AH93" s="3">
        <f t="shared" si="76"/>
        <v>0.98360655737704927</v>
      </c>
      <c r="AI93" s="3">
        <f t="shared" si="76"/>
        <v>4.3357933579335795</v>
      </c>
      <c r="AJ93" s="3">
        <f t="shared" si="76"/>
        <v>0.54890219560878251</v>
      </c>
      <c r="AK93" s="3">
        <f t="shared" si="76"/>
        <v>6.7479674796747959</v>
      </c>
      <c r="AL93" s="3">
        <f t="shared" si="76"/>
        <v>0</v>
      </c>
      <c r="AM93" s="3">
        <f t="shared" si="76"/>
        <v>0</v>
      </c>
      <c r="AN93" s="3">
        <f t="shared" si="76"/>
        <v>2.8756957328385901</v>
      </c>
      <c r="AO93" s="3">
        <f t="shared" si="76"/>
        <v>0</v>
      </c>
      <c r="AP93" s="3">
        <f t="shared" si="76"/>
        <v>0.43795620437956206</v>
      </c>
      <c r="AQ93" s="3">
        <f t="shared" si="76"/>
        <v>0</v>
      </c>
      <c r="AR93" s="3">
        <f t="shared" si="76"/>
        <v>0</v>
      </c>
      <c r="AS93" s="3">
        <f t="shared" si="76"/>
        <v>0</v>
      </c>
      <c r="AT93" s="3">
        <f t="shared" si="76"/>
        <v>0</v>
      </c>
      <c r="AU93" s="3">
        <f t="shared" si="76"/>
        <v>0</v>
      </c>
      <c r="AV93" s="3">
        <f t="shared" si="76"/>
        <v>0</v>
      </c>
      <c r="AW93" s="3">
        <f t="shared" si="76"/>
        <v>0</v>
      </c>
      <c r="AX93" s="3">
        <f t="shared" si="76"/>
        <v>0</v>
      </c>
      <c r="AY93" s="3">
        <f t="shared" si="76"/>
        <v>0.96021947873799729</v>
      </c>
      <c r="AZ93" s="3">
        <f t="shared" si="76"/>
        <v>2.5791324736225087</v>
      </c>
      <c r="BA93" s="3">
        <f t="shared" si="76"/>
        <v>0</v>
      </c>
      <c r="BB93" s="3">
        <f t="shared" si="76"/>
        <v>1.8448795180722892</v>
      </c>
      <c r="BC93" s="3">
        <f t="shared" si="76"/>
        <v>3.0847145488029466</v>
      </c>
      <c r="BD93" s="3">
        <f t="shared" si="76"/>
        <v>0</v>
      </c>
      <c r="BE93" s="3">
        <f t="shared" si="76"/>
        <v>0</v>
      </c>
      <c r="BF93" s="3">
        <f t="shared" si="76"/>
        <v>0</v>
      </c>
      <c r="BG93" s="3">
        <f t="shared" si="76"/>
        <v>0</v>
      </c>
      <c r="BH93" s="3">
        <f t="shared" si="76"/>
        <v>4.3495771244462338</v>
      </c>
      <c r="BI93" s="3">
        <f t="shared" si="76"/>
        <v>8.2584510055626872</v>
      </c>
      <c r="BJ93" s="3">
        <f t="shared" si="76"/>
        <v>0.44671346522016592</v>
      </c>
      <c r="BK93" s="3">
        <f t="shared" si="76"/>
        <v>3.7133891213389121</v>
      </c>
      <c r="BL93" s="3">
        <f t="shared" si="76"/>
        <v>0</v>
      </c>
      <c r="BM93" s="3">
        <f t="shared" si="76"/>
        <v>3.5909090909090913</v>
      </c>
      <c r="BN93" s="3">
        <f t="shared" si="76"/>
        <v>2.0047480875758374</v>
      </c>
      <c r="BO93" s="3">
        <f t="shared" si="74"/>
        <v>1.3246982631733883</v>
      </c>
      <c r="BP93" s="3">
        <f t="shared" si="74"/>
        <v>2.083333333333333</v>
      </c>
      <c r="BQ93" s="3">
        <f t="shared" si="74"/>
        <v>0</v>
      </c>
      <c r="BR93" s="3">
        <f t="shared" si="74"/>
        <v>2.2624434389140271</v>
      </c>
      <c r="BS93" s="3">
        <f t="shared" si="74"/>
        <v>5.6259904912836767</v>
      </c>
      <c r="BT93" s="3">
        <f t="shared" si="74"/>
        <v>2.4208009563658099</v>
      </c>
      <c r="BU93" s="3">
        <f t="shared" si="74"/>
        <v>5.7271780631725093</v>
      </c>
      <c r="BV93" s="3">
        <f t="shared" si="74"/>
        <v>1.3297872340425532</v>
      </c>
      <c r="BW93" s="3">
        <f t="shared" si="74"/>
        <v>0</v>
      </c>
      <c r="BX93" s="3">
        <f t="shared" si="74"/>
        <v>1.2254901960784315</v>
      </c>
      <c r="BY93" s="3">
        <f t="shared" si="74"/>
        <v>2.358490566037736</v>
      </c>
      <c r="BZ93" s="3">
        <f t="shared" si="74"/>
        <v>0.16806722689075632</v>
      </c>
      <c r="CA93" s="3">
        <f t="shared" si="74"/>
        <v>4.562043795620438</v>
      </c>
      <c r="CB93" s="3">
        <f t="shared" si="74"/>
        <v>0</v>
      </c>
      <c r="CC93" s="3">
        <f t="shared" si="74"/>
        <v>0</v>
      </c>
      <c r="CD93" s="3">
        <f t="shared" si="74"/>
        <v>0</v>
      </c>
      <c r="CE93" s="3">
        <f t="shared" si="74"/>
        <v>0</v>
      </c>
      <c r="CF93" s="3">
        <f t="shared" si="74"/>
        <v>0</v>
      </c>
      <c r="CG93" s="3">
        <f t="shared" si="74"/>
        <v>0</v>
      </c>
      <c r="CH93" s="3">
        <f t="shared" si="74"/>
        <v>0.76804915514592931</v>
      </c>
      <c r="CI93" s="3">
        <f t="shared" si="74"/>
        <v>0</v>
      </c>
      <c r="CJ93" s="3">
        <f t="shared" si="74"/>
        <v>2.4324324324324325</v>
      </c>
      <c r="CK93" s="3">
        <f t="shared" si="74"/>
        <v>4.7058823529411766</v>
      </c>
      <c r="CL93" s="3">
        <f t="shared" si="74"/>
        <v>0</v>
      </c>
      <c r="CM93" s="3">
        <f t="shared" si="74"/>
        <v>0</v>
      </c>
      <c r="CN93" s="3">
        <f t="shared" si="74"/>
        <v>0</v>
      </c>
      <c r="CO93" s="3">
        <f t="shared" si="74"/>
        <v>0</v>
      </c>
      <c r="CP93" s="3">
        <f t="shared" si="74"/>
        <v>9.0334236675700091E-2</v>
      </c>
      <c r="CQ93" s="3">
        <f t="shared" si="74"/>
        <v>0</v>
      </c>
      <c r="CR93" s="3">
        <f t="shared" si="74"/>
        <v>1.935483870967742</v>
      </c>
      <c r="CS93" s="3">
        <f t="shared" si="74"/>
        <v>5.5865921787709496</v>
      </c>
      <c r="CT93" s="3">
        <f t="shared" si="74"/>
        <v>0</v>
      </c>
      <c r="CU93" s="3">
        <f t="shared" si="74"/>
        <v>0</v>
      </c>
      <c r="CV93" s="3">
        <f t="shared" si="74"/>
        <v>0</v>
      </c>
      <c r="CW93" s="3">
        <f t="shared" si="74"/>
        <v>0</v>
      </c>
      <c r="CX93" s="3">
        <f t="shared" si="74"/>
        <v>0</v>
      </c>
      <c r="CY93" s="3">
        <f t="shared" si="74"/>
        <v>0</v>
      </c>
      <c r="CZ93" s="3">
        <f t="shared" si="74"/>
        <v>0</v>
      </c>
      <c r="DA93" s="3">
        <f t="shared" si="74"/>
        <v>0</v>
      </c>
      <c r="DB93" s="3">
        <f t="shared" si="74"/>
        <v>0.92592592592592582</v>
      </c>
      <c r="DC93" s="3">
        <f t="shared" si="74"/>
        <v>5.3132434575733543</v>
      </c>
      <c r="DD93" s="3">
        <f t="shared" si="74"/>
        <v>0.8045977011494253</v>
      </c>
      <c r="DE93" s="3">
        <f t="shared" si="74"/>
        <v>6.9644208932626794</v>
      </c>
      <c r="DF93" s="3">
        <f t="shared" si="74"/>
        <v>0</v>
      </c>
      <c r="DG93" s="3">
        <f t="shared" si="74"/>
        <v>0.46875</v>
      </c>
      <c r="DH93" s="3">
        <f t="shared" si="74"/>
        <v>0</v>
      </c>
      <c r="DI93" s="3">
        <f t="shared" si="74"/>
        <v>0.64397424103035883</v>
      </c>
      <c r="DJ93" s="3">
        <f t="shared" si="74"/>
        <v>0</v>
      </c>
      <c r="DK93" s="3">
        <f t="shared" si="74"/>
        <v>3.2591414944356121</v>
      </c>
      <c r="DL93" s="3">
        <f t="shared" si="74"/>
        <v>0</v>
      </c>
      <c r="DM93" s="3">
        <f t="shared" si="74"/>
        <v>0</v>
      </c>
      <c r="DN93" s="3">
        <f t="shared" si="74"/>
        <v>0</v>
      </c>
      <c r="DO93" s="3">
        <f t="shared" si="74"/>
        <v>0</v>
      </c>
      <c r="DP93" s="3">
        <f t="shared" si="74"/>
        <v>0</v>
      </c>
      <c r="DQ93" s="3">
        <f t="shared" si="74"/>
        <v>0</v>
      </c>
      <c r="DR93" s="3">
        <f t="shared" si="74"/>
        <v>0</v>
      </c>
      <c r="DS93" s="3">
        <f t="shared" si="74"/>
        <v>0</v>
      </c>
      <c r="DT93" s="3">
        <f t="shared" si="74"/>
        <v>1.662971175166297</v>
      </c>
      <c r="DU93" s="3">
        <f t="shared" si="74"/>
        <v>2.0679468242245198</v>
      </c>
      <c r="DV93" s="3">
        <f t="shared" si="74"/>
        <v>0</v>
      </c>
      <c r="DW93" s="3">
        <f t="shared" si="74"/>
        <v>0</v>
      </c>
      <c r="DX93" s="3">
        <f t="shared" si="74"/>
        <v>0</v>
      </c>
      <c r="DY93" s="3">
        <f t="shared" si="74"/>
        <v>0</v>
      </c>
      <c r="DZ93" s="3">
        <f t="shared" si="40"/>
        <v>0.13163668275559456</v>
      </c>
      <c r="EA93" s="3">
        <f t="shared" si="70"/>
        <v>3.6272321428571432</v>
      </c>
      <c r="EB93" s="3">
        <f t="shared" si="70"/>
        <v>3.4444444444444446</v>
      </c>
      <c r="EC93" s="3">
        <f t="shared" si="70"/>
        <v>5.2226027397260273</v>
      </c>
      <c r="ED93" s="3">
        <f t="shared" si="70"/>
        <v>2.268041237113402</v>
      </c>
      <c r="EE93" s="3">
        <f t="shared" si="70"/>
        <v>0</v>
      </c>
      <c r="EF93" s="3">
        <f t="shared" si="70"/>
        <v>2.9149519890260631</v>
      </c>
      <c r="EG93" s="3">
        <f t="shared" si="70"/>
        <v>2.2156573116691285</v>
      </c>
      <c r="EH93" s="3">
        <f t="shared" si="70"/>
        <v>1.560021152829191</v>
      </c>
      <c r="EI93" s="3">
        <f t="shared" si="70"/>
        <v>0.322061191626409</v>
      </c>
      <c r="EJ93" s="3">
        <f t="shared" si="70"/>
        <v>0.81521739130434778</v>
      </c>
      <c r="EK93" s="3">
        <f t="shared" si="70"/>
        <v>3.7187288708586883</v>
      </c>
      <c r="EL93" s="3">
        <f t="shared" si="70"/>
        <v>1.4670658682634732</v>
      </c>
      <c r="EM93" s="3">
        <f t="shared" si="70"/>
        <v>7.9286010792860102</v>
      </c>
      <c r="EN93" s="3">
        <f t="shared" si="70"/>
        <v>1.6137566137566137</v>
      </c>
      <c r="EO93" s="3">
        <f t="shared" si="70"/>
        <v>6.6862361382909326</v>
      </c>
      <c r="EP93" s="3">
        <f t="shared" si="70"/>
        <v>2.083333333333333</v>
      </c>
      <c r="EQ93" s="3">
        <f t="shared" si="70"/>
        <v>0</v>
      </c>
      <c r="ER93" s="3">
        <f t="shared" si="70"/>
        <v>1.7391304347826086</v>
      </c>
      <c r="ES93" s="3">
        <f t="shared" si="70"/>
        <v>0</v>
      </c>
      <c r="ET93" s="3">
        <f t="shared" si="70"/>
        <v>1.2658227848101267</v>
      </c>
      <c r="EU93" s="3">
        <f t="shared" si="70"/>
        <v>1.8922852983988356</v>
      </c>
      <c r="EV93" s="3">
        <f t="shared" si="70"/>
        <v>0</v>
      </c>
      <c r="EW93" s="3">
        <f t="shared" si="70"/>
        <v>0</v>
      </c>
      <c r="EX93" s="3">
        <f t="shared" si="70"/>
        <v>0</v>
      </c>
      <c r="EY93" s="3">
        <f t="shared" si="70"/>
        <v>0</v>
      </c>
      <c r="EZ93" s="3">
        <f t="shared" si="70"/>
        <v>0</v>
      </c>
      <c r="FA93" s="3">
        <f t="shared" si="70"/>
        <v>0</v>
      </c>
      <c r="FB93" s="3">
        <f t="shared" si="70"/>
        <v>0</v>
      </c>
      <c r="FC93" s="3">
        <f t="shared" si="70"/>
        <v>3.070175438596491</v>
      </c>
      <c r="FD93" s="3">
        <f t="shared" si="70"/>
        <v>2.1164021164021163</v>
      </c>
      <c r="FE93" s="3">
        <f t="shared" si="70"/>
        <v>0</v>
      </c>
      <c r="FF93" s="3">
        <f t="shared" si="70"/>
        <v>1.6379310344827587</v>
      </c>
      <c r="FG93" s="3">
        <f t="shared" si="70"/>
        <v>1.8621973929236499</v>
      </c>
      <c r="FH93" s="3">
        <f t="shared" si="70"/>
        <v>0</v>
      </c>
      <c r="FI93" s="3">
        <f t="shared" si="70"/>
        <v>0</v>
      </c>
      <c r="FJ93" s="3">
        <f t="shared" si="70"/>
        <v>0</v>
      </c>
      <c r="FK93" s="3">
        <f t="shared" si="70"/>
        <v>0</v>
      </c>
      <c r="FL93" s="3">
        <f t="shared" si="70"/>
        <v>2</v>
      </c>
      <c r="FM93" s="3">
        <f t="shared" si="70"/>
        <v>1.8077239112571899</v>
      </c>
      <c r="FN93" s="3">
        <f t="shared" si="70"/>
        <v>0</v>
      </c>
      <c r="FO93" s="3">
        <f t="shared" si="70"/>
        <v>5.0373134328358207</v>
      </c>
      <c r="FP93" s="3">
        <f t="shared" si="70"/>
        <v>0</v>
      </c>
      <c r="FQ93" s="3">
        <f t="shared" si="70"/>
        <v>1.2102874432677762</v>
      </c>
      <c r="FR93" s="3">
        <f t="shared" si="70"/>
        <v>2.8409090909090908</v>
      </c>
      <c r="FS93" s="3">
        <f t="shared" si="70"/>
        <v>0</v>
      </c>
      <c r="FT93" s="3">
        <f t="shared" si="70"/>
        <v>1.3052208835341366</v>
      </c>
      <c r="FU93" s="3">
        <f t="shared" si="70"/>
        <v>4.6814044213263983</v>
      </c>
      <c r="FV93" s="3">
        <f t="shared" si="70"/>
        <v>1.6030534351145038</v>
      </c>
      <c r="FW93" s="3">
        <f t="shared" si="70"/>
        <v>5.2282157676348548</v>
      </c>
      <c r="FX93" s="3">
        <f t="shared" si="70"/>
        <v>1.7610062893081762</v>
      </c>
      <c r="FY93" s="3">
        <f t="shared" si="70"/>
        <v>8.2417582417582409</v>
      </c>
      <c r="FZ93" s="3">
        <f t="shared" si="70"/>
        <v>1.6304347826086956</v>
      </c>
      <c r="GA93" s="3">
        <f t="shared" si="70"/>
        <v>0</v>
      </c>
      <c r="GB93" s="3">
        <f t="shared" si="70"/>
        <v>1.9281332164767746</v>
      </c>
      <c r="GC93" s="3">
        <f t="shared" si="70"/>
        <v>3.0878859857482186</v>
      </c>
      <c r="GD93" s="3">
        <f t="shared" si="70"/>
        <v>0</v>
      </c>
      <c r="GE93" s="3">
        <f t="shared" si="70"/>
        <v>0</v>
      </c>
      <c r="GF93" s="3">
        <f t="shared" si="70"/>
        <v>0</v>
      </c>
      <c r="GG93" s="3">
        <f t="shared" si="70"/>
        <v>0</v>
      </c>
      <c r="GH93" s="3">
        <f t="shared" si="70"/>
        <v>0</v>
      </c>
      <c r="GI93" s="3">
        <f t="shared" si="70"/>
        <v>0</v>
      </c>
      <c r="GJ93" s="3">
        <f t="shared" si="70"/>
        <v>0</v>
      </c>
      <c r="GK93" s="3">
        <f t="shared" si="70"/>
        <v>0</v>
      </c>
      <c r="GL93" s="3">
        <f t="shared" si="70"/>
        <v>0.33444816053511706</v>
      </c>
      <c r="GM93" s="3">
        <f t="shared" si="68"/>
        <v>3.1758957654723128</v>
      </c>
      <c r="GN93" s="3">
        <f t="shared" si="68"/>
        <v>2.1983390327308254</v>
      </c>
      <c r="GO93" s="3">
        <f t="shared" si="68"/>
        <v>2.3797206414899121</v>
      </c>
      <c r="GP93" s="3">
        <f t="shared" si="68"/>
        <v>0</v>
      </c>
      <c r="GQ93" s="3">
        <f t="shared" si="68"/>
        <v>0</v>
      </c>
      <c r="GR93" s="3">
        <f t="shared" si="68"/>
        <v>0</v>
      </c>
      <c r="GS93" s="3">
        <f t="shared" si="68"/>
        <v>0</v>
      </c>
      <c r="GT93" s="3">
        <f t="shared" si="68"/>
        <v>0.85011185682326629</v>
      </c>
      <c r="GU93" s="3">
        <f t="shared" si="68"/>
        <v>0</v>
      </c>
      <c r="GV93" s="3">
        <f t="shared" si="68"/>
        <v>5.3013798111837325</v>
      </c>
      <c r="GW93" s="3">
        <f t="shared" si="68"/>
        <v>3.9722863741339496</v>
      </c>
      <c r="GX93" s="3">
        <f t="shared" si="68"/>
        <v>0</v>
      </c>
      <c r="GY93" s="3">
        <f t="shared" si="68"/>
        <v>0</v>
      </c>
      <c r="GZ93" s="3">
        <f t="shared" si="68"/>
        <v>0</v>
      </c>
      <c r="HA93" s="3">
        <f t="shared" si="68"/>
        <v>1.0541110330288124</v>
      </c>
      <c r="HB93" s="3">
        <f t="shared" si="68"/>
        <v>1.2879221522610189</v>
      </c>
      <c r="HC93" s="3">
        <f t="shared" si="68"/>
        <v>0</v>
      </c>
      <c r="HD93" s="3">
        <f t="shared" si="68"/>
        <v>0.54726368159203986</v>
      </c>
      <c r="HE93" s="3">
        <f t="shared" si="68"/>
        <v>4.8221820373719106</v>
      </c>
      <c r="HF93" s="3">
        <f t="shared" si="68"/>
        <v>1.9069166127989658</v>
      </c>
      <c r="HG93" s="3">
        <f t="shared" si="68"/>
        <v>5.801921655580192</v>
      </c>
      <c r="HH93" s="3">
        <f t="shared" si="68"/>
        <v>1.1692933401118455</v>
      </c>
      <c r="HI93" s="3">
        <f t="shared" si="68"/>
        <v>4.4009779951100247</v>
      </c>
      <c r="HJ93" s="3">
        <f t="shared" si="68"/>
        <v>1.3953488372093024</v>
      </c>
      <c r="HK93" s="3">
        <f t="shared" si="68"/>
        <v>0.8875739644970414</v>
      </c>
      <c r="HL93" s="3">
        <f t="shared" si="68"/>
        <v>1.7543859649122806</v>
      </c>
      <c r="HM93" s="3">
        <f t="shared" si="68"/>
        <v>0</v>
      </c>
      <c r="HN93" s="3">
        <f t="shared" si="68"/>
        <v>2.2865853658536586</v>
      </c>
      <c r="HO93" s="3">
        <f t="shared" si="68"/>
        <v>0</v>
      </c>
      <c r="HP93" s="3">
        <f t="shared" si="68"/>
        <v>0</v>
      </c>
      <c r="HQ93" s="3">
        <f t="shared" si="68"/>
        <v>0</v>
      </c>
      <c r="HR93" s="3">
        <f t="shared" si="68"/>
        <v>0</v>
      </c>
      <c r="HS93" s="3">
        <f t="shared" si="68"/>
        <v>0</v>
      </c>
      <c r="HT93" s="3">
        <f t="shared" si="68"/>
        <v>0</v>
      </c>
      <c r="HU93" s="3">
        <f t="shared" si="68"/>
        <v>0</v>
      </c>
      <c r="HV93" s="3">
        <f t="shared" si="68"/>
        <v>0</v>
      </c>
      <c r="HW93" s="3">
        <f t="shared" si="68"/>
        <v>2</v>
      </c>
      <c r="HX93" s="3">
        <f t="shared" si="68"/>
        <v>2.147239263803681</v>
      </c>
      <c r="HY93" s="3">
        <f t="shared" si="68"/>
        <v>0</v>
      </c>
      <c r="HZ93" s="3">
        <f t="shared" si="68"/>
        <v>0.72463768115942029</v>
      </c>
      <c r="IA93" s="3">
        <f t="shared" si="68"/>
        <v>0</v>
      </c>
      <c r="IB93" s="3">
        <f t="shared" si="68"/>
        <v>0</v>
      </c>
      <c r="IC93" s="3">
        <f t="shared" si="68"/>
        <v>0</v>
      </c>
      <c r="ID93" s="3">
        <f t="shared" si="68"/>
        <v>0</v>
      </c>
      <c r="IE93" s="3">
        <f t="shared" si="68"/>
        <v>1.3173652694610778</v>
      </c>
      <c r="IF93" s="3">
        <f t="shared" si="68"/>
        <v>2.1994134897360706</v>
      </c>
      <c r="IG93" s="3">
        <f t="shared" si="68"/>
        <v>3.5714285714285712</v>
      </c>
      <c r="IH93" s="3">
        <f t="shared" si="68"/>
        <v>0</v>
      </c>
      <c r="II93" s="3">
        <f t="shared" si="68"/>
        <v>3.6257309941520468</v>
      </c>
      <c r="IJ93" s="3">
        <f t="shared" si="68"/>
        <v>0.9441384736428009</v>
      </c>
      <c r="IK93" s="3">
        <f t="shared" si="68"/>
        <v>1.8465909090909092</v>
      </c>
      <c r="IL93" s="3">
        <f t="shared" si="68"/>
        <v>0</v>
      </c>
      <c r="IM93" s="3">
        <f t="shared" si="68"/>
        <v>0</v>
      </c>
      <c r="IN93" s="3">
        <f t="shared" si="68"/>
        <v>0</v>
      </c>
      <c r="IO93" s="3">
        <f t="shared" si="68"/>
        <v>0</v>
      </c>
      <c r="IP93" s="3">
        <f t="shared" si="68"/>
        <v>2.1238938053097343</v>
      </c>
      <c r="IQ93" s="3">
        <f t="shared" si="68"/>
        <v>8.6765994741454868</v>
      </c>
      <c r="IR93" s="3">
        <f t="shared" si="68"/>
        <v>0.69444444444444442</v>
      </c>
      <c r="IS93" s="3">
        <f t="shared" si="68"/>
        <v>9.0968161143599744</v>
      </c>
      <c r="IT93" s="3">
        <f t="shared" si="68"/>
        <v>0</v>
      </c>
      <c r="IU93" s="3">
        <f t="shared" si="68"/>
        <v>1.7825311942959003</v>
      </c>
      <c r="IV93" s="3">
        <f t="shared" si="68"/>
        <v>2.6436781609195403</v>
      </c>
      <c r="IW93" s="3">
        <f t="shared" si="68"/>
        <v>0</v>
      </c>
      <c r="IX93" s="3">
        <f t="shared" si="54"/>
        <v>0.31948881789137379</v>
      </c>
      <c r="IY93" s="3">
        <f t="shared" si="54"/>
        <v>0</v>
      </c>
      <c r="IZ93" s="3">
        <f t="shared" si="54"/>
        <v>0</v>
      </c>
      <c r="JA93" s="3">
        <f t="shared" si="51"/>
        <v>0</v>
      </c>
      <c r="JB93" s="3">
        <f t="shared" si="71"/>
        <v>0</v>
      </c>
      <c r="JC93" s="3">
        <f t="shared" si="71"/>
        <v>0</v>
      </c>
      <c r="JD93" s="3">
        <f t="shared" si="71"/>
        <v>4.9529470034670627E-2</v>
      </c>
      <c r="JE93" s="3">
        <f t="shared" si="71"/>
        <v>0</v>
      </c>
      <c r="JF93" s="3">
        <f t="shared" si="71"/>
        <v>1.0416666666666665</v>
      </c>
      <c r="JG93" s="3">
        <f t="shared" si="71"/>
        <v>0</v>
      </c>
      <c r="JH93" s="3">
        <f t="shared" si="71"/>
        <v>0</v>
      </c>
      <c r="JI93" s="3">
        <f t="shared" si="71"/>
        <v>0</v>
      </c>
      <c r="JJ93" s="3">
        <f t="shared" si="71"/>
        <v>0</v>
      </c>
      <c r="JK93" s="3">
        <f t="shared" si="71"/>
        <v>1.09217999126256</v>
      </c>
      <c r="JL93" s="3">
        <f t="shared" si="71"/>
        <v>0</v>
      </c>
      <c r="JM93" s="3">
        <f t="shared" si="71"/>
        <v>0</v>
      </c>
      <c r="JN93" s="3">
        <f t="shared" si="71"/>
        <v>3.9745627980922099E-2</v>
      </c>
      <c r="JO93" s="3">
        <f t="shared" si="71"/>
        <v>1.2716174974567651</v>
      </c>
      <c r="JP93" s="3">
        <f t="shared" si="71"/>
        <v>4.5746691871455569</v>
      </c>
      <c r="JQ93" s="3">
        <f t="shared" si="71"/>
        <v>10.192578675434476</v>
      </c>
      <c r="JR93" s="3">
        <f t="shared" si="71"/>
        <v>0</v>
      </c>
      <c r="JS93" s="3">
        <f t="shared" si="71"/>
        <v>3.836150845253576</v>
      </c>
      <c r="JT93" s="3">
        <f t="shared" si="71"/>
        <v>0.71599045346062051</v>
      </c>
      <c r="JU93" s="3">
        <f t="shared" si="71"/>
        <v>0</v>
      </c>
      <c r="JV93" s="3">
        <f t="shared" si="71"/>
        <v>2.2072189041807322</v>
      </c>
      <c r="JW93" s="3">
        <f t="shared" si="71"/>
        <v>0</v>
      </c>
      <c r="JX93" s="3">
        <f t="shared" si="71"/>
        <v>1.0844748858447488</v>
      </c>
      <c r="JY93" s="3">
        <f t="shared" si="71"/>
        <v>3.4845496383957926</v>
      </c>
      <c r="JZ93" s="3">
        <f t="shared" si="71"/>
        <v>1.3026052104208417</v>
      </c>
      <c r="KA93" s="3">
        <f t="shared" si="71"/>
        <v>4.0044910179640718</v>
      </c>
      <c r="KB93" s="3">
        <f t="shared" si="71"/>
        <v>2.5527192008879025</v>
      </c>
      <c r="KC93" s="3">
        <f t="shared" si="71"/>
        <v>6.5456902138690864</v>
      </c>
      <c r="KD93" s="3">
        <f t="shared" si="71"/>
        <v>0</v>
      </c>
      <c r="KE93" s="3">
        <f t="shared" si="71"/>
        <v>5.1428571428571423</v>
      </c>
      <c r="KF93" s="3">
        <f t="shared" si="71"/>
        <v>0</v>
      </c>
      <c r="KG93" s="3">
        <f t="shared" si="71"/>
        <v>5.2511415525114149</v>
      </c>
      <c r="KH93" s="3">
        <f t="shared" si="71"/>
        <v>0.14792899408284024</v>
      </c>
      <c r="KI93" s="3">
        <f t="shared" si="71"/>
        <v>5.0335570469798654</v>
      </c>
      <c r="KJ93" s="3">
        <f t="shared" si="71"/>
        <v>0</v>
      </c>
      <c r="KK93" s="3">
        <f t="shared" si="71"/>
        <v>0</v>
      </c>
      <c r="KL93" s="3">
        <f t="shared" si="71"/>
        <v>0</v>
      </c>
      <c r="KM93" s="3">
        <f t="shared" si="71"/>
        <v>0</v>
      </c>
      <c r="KN93" s="3">
        <f t="shared" si="71"/>
        <v>0</v>
      </c>
      <c r="KO93" s="3">
        <f t="shared" si="71"/>
        <v>0</v>
      </c>
      <c r="KP93" s="3">
        <f t="shared" si="71"/>
        <v>0</v>
      </c>
      <c r="KQ93" s="3">
        <f t="shared" si="71"/>
        <v>5.4545454545454541</v>
      </c>
      <c r="KR93" s="3">
        <f t="shared" si="71"/>
        <v>0.25510204081632654</v>
      </c>
      <c r="KS93" s="3">
        <f t="shared" si="71"/>
        <v>1.6797312430011198</v>
      </c>
      <c r="KT93" s="3">
        <f t="shared" si="71"/>
        <v>0</v>
      </c>
      <c r="KU93" s="3">
        <f t="shared" si="71"/>
        <v>0</v>
      </c>
      <c r="KV93" s="3">
        <f t="shared" si="71"/>
        <v>0</v>
      </c>
      <c r="KW93" s="3">
        <f t="shared" si="71"/>
        <v>0</v>
      </c>
      <c r="KX93" s="3">
        <f t="shared" si="71"/>
        <v>0</v>
      </c>
      <c r="KY93" s="3">
        <f t="shared" si="71"/>
        <v>0</v>
      </c>
      <c r="KZ93" s="3">
        <f t="shared" si="71"/>
        <v>2.0512820512820511</v>
      </c>
      <c r="LA93" s="3">
        <f t="shared" si="71"/>
        <v>7.4786324786324787</v>
      </c>
      <c r="LB93" s="3">
        <f t="shared" si="71"/>
        <v>2.4096385542168677</v>
      </c>
      <c r="LC93" s="3">
        <f t="shared" si="71"/>
        <v>0</v>
      </c>
      <c r="LD93" s="3">
        <f t="shared" si="71"/>
        <v>0.39215686274509803</v>
      </c>
      <c r="LE93" s="3">
        <f t="shared" si="71"/>
        <v>0.67283431455004206</v>
      </c>
      <c r="LF93" s="3">
        <f t="shared" si="71"/>
        <v>0</v>
      </c>
      <c r="LG93" s="3">
        <f t="shared" si="71"/>
        <v>0</v>
      </c>
      <c r="LH93" s="3">
        <f t="shared" si="71"/>
        <v>0</v>
      </c>
      <c r="LI93" s="3">
        <f t="shared" si="71"/>
        <v>2.7878787878787876</v>
      </c>
      <c r="LJ93" s="3">
        <f t="shared" si="71"/>
        <v>2.0516717325227964</v>
      </c>
      <c r="LK93" s="3">
        <f t="shared" si="71"/>
        <v>3.306451612903226</v>
      </c>
      <c r="LL93" s="3">
        <f t="shared" si="71"/>
        <v>1.663798049340218</v>
      </c>
      <c r="LM93" s="3">
        <f t="shared" si="71"/>
        <v>6.9318866787221207</v>
      </c>
      <c r="LN93" s="3">
        <f t="shared" si="72"/>
        <v>0</v>
      </c>
      <c r="LO93" s="3">
        <f t="shared" si="72"/>
        <v>0</v>
      </c>
      <c r="LP93" s="3">
        <f t="shared" ref="LP93:MW93" si="77">(LP30-LP$11)/LP$11*100</f>
        <v>2.880658436213992</v>
      </c>
      <c r="LQ93" s="3">
        <f t="shared" si="77"/>
        <v>0.51177072671443202</v>
      </c>
      <c r="LR93" s="3">
        <f t="shared" si="77"/>
        <v>1.097972972972973</v>
      </c>
      <c r="LS93" s="3">
        <f t="shared" si="77"/>
        <v>4.5794392523364484</v>
      </c>
      <c r="LT93" s="3">
        <f t="shared" si="77"/>
        <v>0</v>
      </c>
      <c r="LU93" s="3">
        <f t="shared" si="77"/>
        <v>0</v>
      </c>
      <c r="LV93" s="3">
        <f t="shared" si="77"/>
        <v>0</v>
      </c>
      <c r="LW93" s="3">
        <f t="shared" si="77"/>
        <v>0</v>
      </c>
      <c r="LX93" s="3">
        <f t="shared" si="77"/>
        <v>0</v>
      </c>
      <c r="LY93" s="3">
        <f t="shared" si="77"/>
        <v>0</v>
      </c>
      <c r="LZ93" s="3">
        <f t="shared" si="77"/>
        <v>1.7746228926353149</v>
      </c>
      <c r="MA93" s="3">
        <f t="shared" si="77"/>
        <v>0</v>
      </c>
      <c r="MB93" s="3">
        <f t="shared" si="77"/>
        <v>2.1876519202722413</v>
      </c>
      <c r="MC93" s="3">
        <f t="shared" si="77"/>
        <v>0</v>
      </c>
      <c r="MD93" s="3">
        <f t="shared" si="77"/>
        <v>0.97674418604651159</v>
      </c>
      <c r="ME93" s="3">
        <f t="shared" si="77"/>
        <v>0</v>
      </c>
      <c r="MF93" s="3">
        <f t="shared" si="77"/>
        <v>0</v>
      </c>
      <c r="MG93" s="3">
        <f t="shared" si="77"/>
        <v>0</v>
      </c>
      <c r="MH93" s="3">
        <f t="shared" si="77"/>
        <v>1.8421052631578945</v>
      </c>
      <c r="MI93" s="3">
        <f t="shared" si="77"/>
        <v>0</v>
      </c>
      <c r="MJ93" s="3">
        <f t="shared" si="77"/>
        <v>5.0345107592367029</v>
      </c>
      <c r="MK93" s="3">
        <f t="shared" si="77"/>
        <v>3.4064212999216914</v>
      </c>
      <c r="ML93" s="3">
        <f t="shared" si="77"/>
        <v>1.6075388026607538</v>
      </c>
      <c r="MM93" s="3">
        <f t="shared" si="77"/>
        <v>0</v>
      </c>
      <c r="MN93" s="3">
        <f t="shared" si="77"/>
        <v>0.69906790945406128</v>
      </c>
      <c r="MO93" s="3">
        <f t="shared" si="77"/>
        <v>3.303303303303303</v>
      </c>
      <c r="MP93" s="3">
        <f t="shared" si="77"/>
        <v>0</v>
      </c>
      <c r="MQ93" s="3">
        <f t="shared" si="77"/>
        <v>0</v>
      </c>
      <c r="MR93" s="3">
        <f t="shared" si="77"/>
        <v>1.2236906510034264</v>
      </c>
      <c r="MS93" s="3">
        <f t="shared" si="77"/>
        <v>0</v>
      </c>
      <c r="MT93" s="3">
        <f t="shared" si="77"/>
        <v>2.187948350071736</v>
      </c>
      <c r="MU93" s="3">
        <f t="shared" si="77"/>
        <v>4.8613748575769087</v>
      </c>
      <c r="MV93" s="3">
        <f t="shared" si="77"/>
        <v>1.5356585111920875</v>
      </c>
      <c r="MW93" s="3">
        <f t="shared" si="77"/>
        <v>6.3967861557478374</v>
      </c>
      <c r="MX93" s="3"/>
      <c r="MY93" s="3"/>
    </row>
    <row r="94" spans="1:363" x14ac:dyDescent="0.3">
      <c r="A94" s="3">
        <v>20</v>
      </c>
      <c r="B94" s="3">
        <f t="shared" si="33"/>
        <v>1.1494252873563218</v>
      </c>
      <c r="C94" s="3">
        <f t="shared" si="76"/>
        <v>0</v>
      </c>
      <c r="D94" s="3">
        <f t="shared" si="76"/>
        <v>0.21186440677966101</v>
      </c>
      <c r="E94" s="3">
        <f t="shared" si="76"/>
        <v>6.192660550458716</v>
      </c>
      <c r="F94" s="3">
        <f t="shared" si="76"/>
        <v>0</v>
      </c>
      <c r="G94" s="3">
        <f t="shared" si="76"/>
        <v>2.1032504780114722</v>
      </c>
      <c r="H94" s="3">
        <f t="shared" si="76"/>
        <v>0</v>
      </c>
      <c r="I94" s="3">
        <f t="shared" si="76"/>
        <v>0</v>
      </c>
      <c r="J94" s="3">
        <f t="shared" si="76"/>
        <v>0</v>
      </c>
      <c r="K94" s="3">
        <f t="shared" si="76"/>
        <v>0</v>
      </c>
      <c r="L94" s="3">
        <f t="shared" si="76"/>
        <v>0</v>
      </c>
      <c r="M94" s="3">
        <f t="shared" si="76"/>
        <v>0</v>
      </c>
      <c r="N94" s="3">
        <f t="shared" si="76"/>
        <v>1.4678899082568808</v>
      </c>
      <c r="O94" s="3">
        <f t="shared" si="76"/>
        <v>1.0373443983402488</v>
      </c>
      <c r="P94" s="3">
        <f t="shared" si="76"/>
        <v>1.6569200779727096</v>
      </c>
      <c r="Q94" s="3">
        <f t="shared" si="76"/>
        <v>0</v>
      </c>
      <c r="R94" s="3">
        <f t="shared" si="76"/>
        <v>0.48355899419729209</v>
      </c>
      <c r="S94" s="3">
        <f t="shared" si="76"/>
        <v>2.7149321266968327</v>
      </c>
      <c r="T94" s="3">
        <f t="shared" si="76"/>
        <v>0</v>
      </c>
      <c r="U94" s="3">
        <f t="shared" si="76"/>
        <v>0</v>
      </c>
      <c r="V94" s="3">
        <f t="shared" si="76"/>
        <v>0</v>
      </c>
      <c r="W94" s="3">
        <f t="shared" si="76"/>
        <v>2.7777777777777777</v>
      </c>
      <c r="X94" s="3">
        <f t="shared" si="76"/>
        <v>0.15503875968992248</v>
      </c>
      <c r="Y94" s="3">
        <f t="shared" si="76"/>
        <v>10</v>
      </c>
      <c r="Z94" s="3">
        <f t="shared" si="76"/>
        <v>0.47483380816714149</v>
      </c>
      <c r="AA94" s="3">
        <f t="shared" si="76"/>
        <v>0.66152149944873206</v>
      </c>
      <c r="AB94" s="3">
        <f t="shared" si="76"/>
        <v>1.8103448275862071</v>
      </c>
      <c r="AC94" s="3">
        <f t="shared" si="76"/>
        <v>1.2762762762762763</v>
      </c>
      <c r="AD94" s="3">
        <f t="shared" si="76"/>
        <v>0.49073064340239914</v>
      </c>
      <c r="AE94" s="3">
        <f t="shared" si="76"/>
        <v>0</v>
      </c>
      <c r="AF94" s="3">
        <f t="shared" si="76"/>
        <v>0.46511627906976744</v>
      </c>
      <c r="AG94" s="3">
        <f t="shared" si="76"/>
        <v>3.9814814814814818</v>
      </c>
      <c r="AH94" s="3">
        <f t="shared" si="76"/>
        <v>1.2021857923497268</v>
      </c>
      <c r="AI94" s="3">
        <f t="shared" si="76"/>
        <v>4.3357933579335795</v>
      </c>
      <c r="AJ94" s="3">
        <f t="shared" si="76"/>
        <v>0.5988023952095809</v>
      </c>
      <c r="AK94" s="3">
        <f t="shared" si="76"/>
        <v>7.3170731707317067</v>
      </c>
      <c r="AL94" s="3">
        <f t="shared" si="76"/>
        <v>0</v>
      </c>
      <c r="AM94" s="3">
        <f t="shared" si="76"/>
        <v>0</v>
      </c>
      <c r="AN94" s="3">
        <f t="shared" si="76"/>
        <v>2.2263450834879404</v>
      </c>
      <c r="AO94" s="3">
        <f t="shared" si="76"/>
        <v>0</v>
      </c>
      <c r="AP94" s="3">
        <f t="shared" si="76"/>
        <v>0.21897810218978103</v>
      </c>
      <c r="AQ94" s="3">
        <f t="shared" si="76"/>
        <v>0</v>
      </c>
      <c r="AR94" s="3">
        <f t="shared" si="76"/>
        <v>0</v>
      </c>
      <c r="AS94" s="3">
        <f t="shared" si="76"/>
        <v>0</v>
      </c>
      <c r="AT94" s="3">
        <f t="shared" si="76"/>
        <v>0</v>
      </c>
      <c r="AU94" s="3">
        <f t="shared" si="76"/>
        <v>0</v>
      </c>
      <c r="AV94" s="3">
        <f t="shared" si="76"/>
        <v>0</v>
      </c>
      <c r="AW94" s="3">
        <f t="shared" si="76"/>
        <v>0</v>
      </c>
      <c r="AX94" s="3">
        <f t="shared" si="76"/>
        <v>0</v>
      </c>
      <c r="AY94" s="3">
        <f t="shared" si="76"/>
        <v>0.48010973936899864</v>
      </c>
      <c r="AZ94" s="3">
        <f t="shared" si="76"/>
        <v>2.5205158264947247</v>
      </c>
      <c r="BA94" s="3">
        <f t="shared" si="76"/>
        <v>0</v>
      </c>
      <c r="BB94" s="3">
        <f t="shared" si="76"/>
        <v>2.0707831325301207</v>
      </c>
      <c r="BC94" s="3">
        <f t="shared" si="76"/>
        <v>3.3149171270718232</v>
      </c>
      <c r="BD94" s="3">
        <f t="shared" si="76"/>
        <v>0</v>
      </c>
      <c r="BE94" s="3">
        <f t="shared" si="76"/>
        <v>0</v>
      </c>
      <c r="BF94" s="3">
        <f t="shared" si="76"/>
        <v>0</v>
      </c>
      <c r="BG94" s="3">
        <f t="shared" si="76"/>
        <v>0</v>
      </c>
      <c r="BH94" s="3">
        <f t="shared" si="76"/>
        <v>4.1079339508658874</v>
      </c>
      <c r="BI94" s="3">
        <f t="shared" si="76"/>
        <v>6.5468549422336331</v>
      </c>
      <c r="BJ94" s="3">
        <f t="shared" si="76"/>
        <v>0.31908104658583281</v>
      </c>
      <c r="BK94" s="3">
        <f t="shared" si="76"/>
        <v>4.0794979079497908</v>
      </c>
      <c r="BL94" s="3">
        <f t="shared" si="76"/>
        <v>0</v>
      </c>
      <c r="BM94" s="3">
        <f t="shared" si="76"/>
        <v>4.2727272727272725</v>
      </c>
      <c r="BN94" s="3">
        <f t="shared" si="76"/>
        <v>1.8992350303350041</v>
      </c>
      <c r="BO94" s="3">
        <f t="shared" si="74"/>
        <v>1.9428907859876361</v>
      </c>
      <c r="BP94" s="3">
        <f t="shared" si="74"/>
        <v>2.0337301587301586</v>
      </c>
      <c r="BQ94" s="3">
        <f t="shared" si="74"/>
        <v>0</v>
      </c>
      <c r="BR94" s="3">
        <f t="shared" si="74"/>
        <v>2.5263951734539969</v>
      </c>
      <c r="BS94" s="3">
        <f t="shared" si="74"/>
        <v>5.4675118858954042</v>
      </c>
      <c r="BT94" s="3">
        <f t="shared" si="74"/>
        <v>2.630005977286312</v>
      </c>
      <c r="BU94" s="3">
        <f t="shared" si="74"/>
        <v>5.2759458521346749</v>
      </c>
      <c r="BV94" s="3">
        <f t="shared" si="74"/>
        <v>1.3297872340425532</v>
      </c>
      <c r="BW94" s="3">
        <f t="shared" si="74"/>
        <v>0</v>
      </c>
      <c r="BX94" s="3">
        <f t="shared" si="74"/>
        <v>1.2254901960784315</v>
      </c>
      <c r="BY94" s="3">
        <f t="shared" si="74"/>
        <v>2.358490566037736</v>
      </c>
      <c r="BZ94" s="3">
        <f t="shared" si="74"/>
        <v>0.33613445378151263</v>
      </c>
      <c r="CA94" s="3">
        <f t="shared" si="74"/>
        <v>4.562043795620438</v>
      </c>
      <c r="CB94" s="3">
        <f t="shared" si="74"/>
        <v>0</v>
      </c>
      <c r="CC94" s="3">
        <f t="shared" si="74"/>
        <v>0</v>
      </c>
      <c r="CD94" s="3">
        <f t="shared" si="74"/>
        <v>0</v>
      </c>
      <c r="CE94" s="3">
        <f t="shared" si="74"/>
        <v>0</v>
      </c>
      <c r="CF94" s="3">
        <f t="shared" si="74"/>
        <v>0</v>
      </c>
      <c r="CG94" s="3">
        <f t="shared" si="74"/>
        <v>0</v>
      </c>
      <c r="CH94" s="3">
        <f t="shared" si="74"/>
        <v>0.76804915514592931</v>
      </c>
      <c r="CI94" s="3">
        <f t="shared" si="74"/>
        <v>0</v>
      </c>
      <c r="CJ94" s="3">
        <f t="shared" si="74"/>
        <v>2.4324324324324325</v>
      </c>
      <c r="CK94" s="3">
        <f t="shared" si="74"/>
        <v>4.7058823529411766</v>
      </c>
      <c r="CL94" s="3">
        <f t="shared" si="74"/>
        <v>0</v>
      </c>
      <c r="CM94" s="3">
        <f t="shared" si="74"/>
        <v>0</v>
      </c>
      <c r="CN94" s="3">
        <f t="shared" si="74"/>
        <v>0</v>
      </c>
      <c r="CO94" s="3">
        <f t="shared" si="74"/>
        <v>0</v>
      </c>
      <c r="CP94" s="3">
        <f t="shared" si="74"/>
        <v>0</v>
      </c>
      <c r="CQ94" s="3">
        <f t="shared" si="74"/>
        <v>0</v>
      </c>
      <c r="CR94" s="3">
        <f t="shared" si="74"/>
        <v>2.1505376344086025</v>
      </c>
      <c r="CS94" s="3">
        <f t="shared" si="74"/>
        <v>5.6797020484171323</v>
      </c>
      <c r="CT94" s="3">
        <f t="shared" si="74"/>
        <v>0</v>
      </c>
      <c r="CU94" s="3">
        <f t="shared" si="74"/>
        <v>0</v>
      </c>
      <c r="CV94" s="3">
        <f t="shared" si="74"/>
        <v>0</v>
      </c>
      <c r="CW94" s="3">
        <f t="shared" si="74"/>
        <v>0</v>
      </c>
      <c r="CX94" s="3">
        <f t="shared" si="74"/>
        <v>0</v>
      </c>
      <c r="CY94" s="3">
        <f t="shared" si="74"/>
        <v>0</v>
      </c>
      <c r="CZ94" s="3">
        <f t="shared" si="74"/>
        <v>0</v>
      </c>
      <c r="DA94" s="3">
        <f t="shared" si="74"/>
        <v>0</v>
      </c>
      <c r="DB94" s="3">
        <f t="shared" si="74"/>
        <v>1.2345679012345678</v>
      </c>
      <c r="DC94" s="3">
        <f t="shared" si="74"/>
        <v>4.0444091990483741</v>
      </c>
      <c r="DD94" s="3">
        <f t="shared" si="74"/>
        <v>0.8045977011494253</v>
      </c>
      <c r="DE94" s="3">
        <f t="shared" si="74"/>
        <v>7.6457229371688111</v>
      </c>
      <c r="DF94" s="3">
        <f t="shared" si="74"/>
        <v>0</v>
      </c>
      <c r="DG94" s="3">
        <f t="shared" si="74"/>
        <v>0.46875</v>
      </c>
      <c r="DH94" s="3">
        <f t="shared" si="74"/>
        <v>0</v>
      </c>
      <c r="DI94" s="3">
        <f t="shared" si="74"/>
        <v>0.73597056117755288</v>
      </c>
      <c r="DJ94" s="3">
        <f t="shared" si="74"/>
        <v>0</v>
      </c>
      <c r="DK94" s="3">
        <f t="shared" si="74"/>
        <v>2.8616852146263914</v>
      </c>
      <c r="DL94" s="3">
        <f t="shared" si="74"/>
        <v>0</v>
      </c>
      <c r="DM94" s="3">
        <f t="shared" si="74"/>
        <v>0</v>
      </c>
      <c r="DN94" s="3">
        <f t="shared" si="74"/>
        <v>0</v>
      </c>
      <c r="DO94" s="3">
        <f t="shared" si="74"/>
        <v>0</v>
      </c>
      <c r="DP94" s="3">
        <f t="shared" si="74"/>
        <v>0</v>
      </c>
      <c r="DQ94" s="3">
        <f t="shared" si="74"/>
        <v>0</v>
      </c>
      <c r="DR94" s="3">
        <f t="shared" si="74"/>
        <v>0</v>
      </c>
      <c r="DS94" s="3">
        <f t="shared" si="74"/>
        <v>0</v>
      </c>
      <c r="DT94" s="3">
        <f t="shared" si="74"/>
        <v>1.5521064301552108</v>
      </c>
      <c r="DU94" s="3">
        <f t="shared" si="74"/>
        <v>1.674052191038897</v>
      </c>
      <c r="DV94" s="3">
        <f t="shared" si="74"/>
        <v>0</v>
      </c>
      <c r="DW94" s="3">
        <f t="shared" si="74"/>
        <v>0</v>
      </c>
      <c r="DX94" s="3">
        <f t="shared" si="74"/>
        <v>0</v>
      </c>
      <c r="DY94" s="3">
        <f t="shared" si="74"/>
        <v>0</v>
      </c>
      <c r="DZ94" s="3">
        <f t="shared" si="40"/>
        <v>0.13163668275559456</v>
      </c>
      <c r="EA94" s="3">
        <f t="shared" si="70"/>
        <v>4.1852678571428568</v>
      </c>
      <c r="EB94" s="3">
        <f t="shared" si="70"/>
        <v>3.7037037037037033</v>
      </c>
      <c r="EC94" s="3">
        <f t="shared" si="70"/>
        <v>4.7945205479452051</v>
      </c>
      <c r="ED94" s="3">
        <f t="shared" si="70"/>
        <v>1.9931271477663228</v>
      </c>
      <c r="EE94" s="3">
        <f t="shared" si="70"/>
        <v>0</v>
      </c>
      <c r="EF94" s="3">
        <f t="shared" si="70"/>
        <v>2.9835390946502058</v>
      </c>
      <c r="EG94" s="3">
        <f t="shared" si="70"/>
        <v>2.6957163958641064</v>
      </c>
      <c r="EH94" s="3">
        <f t="shared" si="70"/>
        <v>1.8244315177154944</v>
      </c>
      <c r="EI94" s="3">
        <f t="shared" si="70"/>
        <v>0.48309178743961351</v>
      </c>
      <c r="EJ94" s="3">
        <f t="shared" si="70"/>
        <v>0.54347826086956519</v>
      </c>
      <c r="EK94" s="3">
        <f t="shared" si="70"/>
        <v>3.8539553752535496</v>
      </c>
      <c r="EL94" s="3">
        <f t="shared" si="70"/>
        <v>1.4970059880239521</v>
      </c>
      <c r="EM94" s="3">
        <f t="shared" si="70"/>
        <v>7.7210460772104614</v>
      </c>
      <c r="EN94" s="3">
        <f t="shared" si="70"/>
        <v>1.746031746031746</v>
      </c>
      <c r="EO94" s="3">
        <f t="shared" si="70"/>
        <v>7.4363992172211351</v>
      </c>
      <c r="EP94" s="3">
        <f t="shared" si="70"/>
        <v>2.083333333333333</v>
      </c>
      <c r="EQ94" s="3">
        <f t="shared" si="70"/>
        <v>0</v>
      </c>
      <c r="ER94" s="3">
        <f t="shared" si="70"/>
        <v>1.7391304347826086</v>
      </c>
      <c r="ES94" s="3">
        <f t="shared" si="70"/>
        <v>0</v>
      </c>
      <c r="ET94" s="3">
        <f t="shared" si="70"/>
        <v>1.2658227848101267</v>
      </c>
      <c r="EU94" s="3">
        <f t="shared" si="70"/>
        <v>1.0189228529839884</v>
      </c>
      <c r="EV94" s="3">
        <f t="shared" si="70"/>
        <v>0</v>
      </c>
      <c r="EW94" s="3">
        <f t="shared" si="70"/>
        <v>0</v>
      </c>
      <c r="EX94" s="3">
        <f t="shared" si="70"/>
        <v>0</v>
      </c>
      <c r="EY94" s="3">
        <f t="shared" si="70"/>
        <v>0</v>
      </c>
      <c r="EZ94" s="3">
        <f t="shared" si="70"/>
        <v>0</v>
      </c>
      <c r="FA94" s="3">
        <f t="shared" si="70"/>
        <v>0</v>
      </c>
      <c r="FB94" s="3">
        <f t="shared" si="70"/>
        <v>0</v>
      </c>
      <c r="FC94" s="3">
        <f t="shared" si="70"/>
        <v>3.070175438596491</v>
      </c>
      <c r="FD94" s="3">
        <f t="shared" si="70"/>
        <v>2.1164021164021163</v>
      </c>
      <c r="FE94" s="3">
        <f t="shared" si="70"/>
        <v>0</v>
      </c>
      <c r="FF94" s="3">
        <f t="shared" si="70"/>
        <v>1.6379310344827587</v>
      </c>
      <c r="FG94" s="3">
        <f t="shared" si="70"/>
        <v>2.2346368715083798</v>
      </c>
      <c r="FH94" s="3">
        <f t="shared" si="70"/>
        <v>0</v>
      </c>
      <c r="FI94" s="3">
        <f t="shared" si="70"/>
        <v>0</v>
      </c>
      <c r="FJ94" s="3">
        <f t="shared" si="70"/>
        <v>0</v>
      </c>
      <c r="FK94" s="3">
        <f t="shared" si="70"/>
        <v>0</v>
      </c>
      <c r="FL94" s="3">
        <f t="shared" si="70"/>
        <v>2.083333333333333</v>
      </c>
      <c r="FM94" s="3">
        <f t="shared" si="70"/>
        <v>2.7937551355792936</v>
      </c>
      <c r="FN94" s="3">
        <f t="shared" si="70"/>
        <v>0</v>
      </c>
      <c r="FO94" s="3">
        <f t="shared" si="70"/>
        <v>5.0373134328358207</v>
      </c>
      <c r="FP94" s="3">
        <f t="shared" si="70"/>
        <v>0</v>
      </c>
      <c r="FQ94" s="3">
        <f t="shared" si="70"/>
        <v>1.1346444780635401</v>
      </c>
      <c r="FR94" s="3">
        <f t="shared" si="70"/>
        <v>2.6704545454545454</v>
      </c>
      <c r="FS94" s="3">
        <f t="shared" si="70"/>
        <v>0</v>
      </c>
      <c r="FT94" s="3">
        <f t="shared" si="70"/>
        <v>1.6064257028112447</v>
      </c>
      <c r="FU94" s="3">
        <f t="shared" si="70"/>
        <v>4.6814044213263983</v>
      </c>
      <c r="FV94" s="3">
        <f t="shared" si="70"/>
        <v>1.6030534351145038</v>
      </c>
      <c r="FW94" s="3">
        <f t="shared" si="70"/>
        <v>5.4771784232365146</v>
      </c>
      <c r="FX94" s="3">
        <f t="shared" si="70"/>
        <v>1.8867924528301887</v>
      </c>
      <c r="FY94" s="3">
        <f t="shared" si="70"/>
        <v>8.2417582417582409</v>
      </c>
      <c r="FZ94" s="3">
        <f t="shared" si="70"/>
        <v>1.6304347826086956</v>
      </c>
      <c r="GA94" s="3">
        <f t="shared" si="70"/>
        <v>0</v>
      </c>
      <c r="GB94" s="3">
        <f t="shared" si="70"/>
        <v>2.0157756354075373</v>
      </c>
      <c r="GC94" s="3">
        <f t="shared" si="70"/>
        <v>4.6318289786223277</v>
      </c>
      <c r="GD94" s="3">
        <f t="shared" si="70"/>
        <v>0</v>
      </c>
      <c r="GE94" s="3">
        <f t="shared" si="70"/>
        <v>0</v>
      </c>
      <c r="GF94" s="3">
        <f t="shared" si="70"/>
        <v>0</v>
      </c>
      <c r="GG94" s="3">
        <f t="shared" si="70"/>
        <v>0</v>
      </c>
      <c r="GH94" s="3">
        <f t="shared" si="70"/>
        <v>0</v>
      </c>
      <c r="GI94" s="3">
        <f t="shared" si="70"/>
        <v>0</v>
      </c>
      <c r="GJ94" s="3">
        <f t="shared" si="70"/>
        <v>0</v>
      </c>
      <c r="GK94" s="3">
        <f t="shared" si="70"/>
        <v>0</v>
      </c>
      <c r="GL94" s="3">
        <f t="shared" ref="GL94:IW97" si="78">(GL31-GL$11)/GL$11*100</f>
        <v>0.25083612040133779</v>
      </c>
      <c r="GM94" s="3">
        <f t="shared" si="78"/>
        <v>3.1758957654723128</v>
      </c>
      <c r="GN94" s="3">
        <f t="shared" si="78"/>
        <v>2.0029311187103076</v>
      </c>
      <c r="GO94" s="3">
        <f t="shared" si="78"/>
        <v>2.6901189860320742</v>
      </c>
      <c r="GP94" s="3">
        <f t="shared" si="78"/>
        <v>0</v>
      </c>
      <c r="GQ94" s="3">
        <f t="shared" si="78"/>
        <v>0</v>
      </c>
      <c r="GR94" s="3">
        <f t="shared" si="78"/>
        <v>0</v>
      </c>
      <c r="GS94" s="3">
        <f t="shared" si="78"/>
        <v>0</v>
      </c>
      <c r="GT94" s="3">
        <f t="shared" si="78"/>
        <v>1.0738255033557047</v>
      </c>
      <c r="GU94" s="3">
        <f t="shared" si="78"/>
        <v>0</v>
      </c>
      <c r="GV94" s="3">
        <f t="shared" si="78"/>
        <v>6.3543936092955695</v>
      </c>
      <c r="GW94" s="3">
        <f t="shared" si="78"/>
        <v>4.1570438799076213</v>
      </c>
      <c r="GX94" s="3">
        <f t="shared" si="78"/>
        <v>0</v>
      </c>
      <c r="GY94" s="3">
        <f t="shared" si="78"/>
        <v>0</v>
      </c>
      <c r="GZ94" s="3">
        <f t="shared" si="78"/>
        <v>0</v>
      </c>
      <c r="HA94" s="3">
        <f t="shared" si="78"/>
        <v>1.7217146872803937</v>
      </c>
      <c r="HB94" s="3">
        <f t="shared" si="78"/>
        <v>1.1448196908986834</v>
      </c>
      <c r="HC94" s="3">
        <f t="shared" si="78"/>
        <v>0</v>
      </c>
      <c r="HD94" s="3">
        <f t="shared" si="78"/>
        <v>0.54726368159203986</v>
      </c>
      <c r="HE94" s="3">
        <f t="shared" si="78"/>
        <v>5.7263411693791442</v>
      </c>
      <c r="HF94" s="3">
        <f t="shared" si="78"/>
        <v>1.6160310277957339</v>
      </c>
      <c r="HG94" s="3">
        <f t="shared" si="78"/>
        <v>5.1367331855136733</v>
      </c>
      <c r="HH94" s="3">
        <f t="shared" si="78"/>
        <v>1.3726487036095576</v>
      </c>
      <c r="HI94" s="3">
        <f t="shared" si="78"/>
        <v>4.7677261613691932</v>
      </c>
      <c r="HJ94" s="3">
        <f t="shared" si="78"/>
        <v>1.3953488372093024</v>
      </c>
      <c r="HK94" s="3">
        <f t="shared" si="78"/>
        <v>0.8875739644970414</v>
      </c>
      <c r="HL94" s="3">
        <f t="shared" si="78"/>
        <v>1.7543859649122806</v>
      </c>
      <c r="HM94" s="3">
        <f t="shared" si="78"/>
        <v>0.55248618784530379</v>
      </c>
      <c r="HN94" s="3">
        <f t="shared" si="78"/>
        <v>2.2865853658536586</v>
      </c>
      <c r="HO94" s="3">
        <f t="shared" si="78"/>
        <v>0</v>
      </c>
      <c r="HP94" s="3">
        <f t="shared" si="78"/>
        <v>0</v>
      </c>
      <c r="HQ94" s="3">
        <f t="shared" si="78"/>
        <v>0</v>
      </c>
      <c r="HR94" s="3">
        <f t="shared" si="78"/>
        <v>0</v>
      </c>
      <c r="HS94" s="3">
        <f t="shared" si="78"/>
        <v>0</v>
      </c>
      <c r="HT94" s="3">
        <f t="shared" si="78"/>
        <v>0</v>
      </c>
      <c r="HU94" s="3">
        <f t="shared" si="78"/>
        <v>0</v>
      </c>
      <c r="HV94" s="3">
        <f t="shared" si="78"/>
        <v>0</v>
      </c>
      <c r="HW94" s="3">
        <f t="shared" si="78"/>
        <v>2</v>
      </c>
      <c r="HX94" s="3">
        <f t="shared" si="78"/>
        <v>2.147239263803681</v>
      </c>
      <c r="HY94" s="3">
        <f t="shared" si="78"/>
        <v>0</v>
      </c>
      <c r="HZ94" s="3">
        <f t="shared" si="78"/>
        <v>0.57971014492753625</v>
      </c>
      <c r="IA94" s="3">
        <f t="shared" si="78"/>
        <v>0</v>
      </c>
      <c r="IB94" s="3">
        <f t="shared" si="78"/>
        <v>0</v>
      </c>
      <c r="IC94" s="3">
        <f t="shared" si="78"/>
        <v>0</v>
      </c>
      <c r="ID94" s="3">
        <f t="shared" si="78"/>
        <v>0</v>
      </c>
      <c r="IE94" s="3">
        <f t="shared" si="78"/>
        <v>0.83832335329341312</v>
      </c>
      <c r="IF94" s="3">
        <f t="shared" si="78"/>
        <v>2.0527859237536656</v>
      </c>
      <c r="IG94" s="3">
        <f t="shared" si="78"/>
        <v>3.5714285714285712</v>
      </c>
      <c r="IH94" s="3">
        <f t="shared" si="78"/>
        <v>0</v>
      </c>
      <c r="II94" s="3">
        <f t="shared" si="78"/>
        <v>3.6257309941520468</v>
      </c>
      <c r="IJ94" s="3">
        <f t="shared" si="78"/>
        <v>0.6294256490952006</v>
      </c>
      <c r="IK94" s="3">
        <f t="shared" si="78"/>
        <v>3.0539772727272729</v>
      </c>
      <c r="IL94" s="3">
        <f t="shared" si="78"/>
        <v>0</v>
      </c>
      <c r="IM94" s="3">
        <f t="shared" si="78"/>
        <v>0</v>
      </c>
      <c r="IN94" s="3">
        <f t="shared" si="78"/>
        <v>0</v>
      </c>
      <c r="IO94" s="3">
        <f t="shared" si="78"/>
        <v>0</v>
      </c>
      <c r="IP94" s="3">
        <f t="shared" si="78"/>
        <v>2.3008849557522124</v>
      </c>
      <c r="IQ94" s="3">
        <f t="shared" si="78"/>
        <v>6.4855390008764235</v>
      </c>
      <c r="IR94" s="3">
        <f t="shared" si="78"/>
        <v>0.69444444444444442</v>
      </c>
      <c r="IS94" s="3">
        <f t="shared" si="78"/>
        <v>9.8115659519168279</v>
      </c>
      <c r="IT94" s="3">
        <f t="shared" si="78"/>
        <v>0</v>
      </c>
      <c r="IU94" s="3">
        <f t="shared" si="78"/>
        <v>1.7825311942959003</v>
      </c>
      <c r="IV94" s="3">
        <f t="shared" si="78"/>
        <v>2.5287356321839081</v>
      </c>
      <c r="IW94" s="3">
        <f t="shared" si="78"/>
        <v>0</v>
      </c>
      <c r="IX94" s="3">
        <f t="shared" si="54"/>
        <v>0.31948881789137379</v>
      </c>
      <c r="IY94" s="3">
        <f t="shared" si="54"/>
        <v>0</v>
      </c>
      <c r="IZ94" s="3">
        <f t="shared" si="54"/>
        <v>0</v>
      </c>
      <c r="JA94" s="3">
        <f t="shared" si="51"/>
        <v>0</v>
      </c>
      <c r="JB94" s="3">
        <f t="shared" si="71"/>
        <v>0</v>
      </c>
      <c r="JC94" s="3">
        <f t="shared" si="71"/>
        <v>0</v>
      </c>
      <c r="JD94" s="3">
        <f t="shared" si="71"/>
        <v>0</v>
      </c>
      <c r="JE94" s="3">
        <f t="shared" si="71"/>
        <v>0</v>
      </c>
      <c r="JF94" s="3">
        <f t="shared" si="71"/>
        <v>1.1284722222222221</v>
      </c>
      <c r="JG94" s="3">
        <f t="shared" si="71"/>
        <v>0</v>
      </c>
      <c r="JH94" s="3">
        <f t="shared" si="71"/>
        <v>0</v>
      </c>
      <c r="JI94" s="3">
        <f t="shared" si="71"/>
        <v>0</v>
      </c>
      <c r="JJ94" s="3">
        <f t="shared" si="71"/>
        <v>0</v>
      </c>
      <c r="JK94" s="3">
        <f t="shared" si="71"/>
        <v>1.1795543905635648</v>
      </c>
      <c r="JL94" s="3">
        <f t="shared" si="71"/>
        <v>0</v>
      </c>
      <c r="JM94" s="3">
        <f t="shared" si="71"/>
        <v>0</v>
      </c>
      <c r="JN94" s="3">
        <f t="shared" si="71"/>
        <v>0</v>
      </c>
      <c r="JO94" s="3">
        <f t="shared" si="71"/>
        <v>2.3397761953204474</v>
      </c>
      <c r="JP94" s="3">
        <f t="shared" si="71"/>
        <v>4.688090737240076</v>
      </c>
      <c r="JQ94" s="3">
        <f t="shared" si="71"/>
        <v>10.521371535932362</v>
      </c>
      <c r="JR94" s="3">
        <f t="shared" si="71"/>
        <v>0</v>
      </c>
      <c r="JS94" s="3">
        <f t="shared" si="71"/>
        <v>3.966189856957087</v>
      </c>
      <c r="JT94" s="3">
        <f t="shared" si="71"/>
        <v>0.71599045346062051</v>
      </c>
      <c r="JU94" s="3">
        <f t="shared" si="71"/>
        <v>0</v>
      </c>
      <c r="JV94" s="3">
        <f t="shared" si="71"/>
        <v>2.077382498052454</v>
      </c>
      <c r="JW94" s="3">
        <f t="shared" si="71"/>
        <v>0</v>
      </c>
      <c r="JX94" s="3">
        <f t="shared" si="71"/>
        <v>1.1986301369863013</v>
      </c>
      <c r="JY94" s="3">
        <f t="shared" si="71"/>
        <v>1.5121630506245891</v>
      </c>
      <c r="JZ94" s="3">
        <f t="shared" si="71"/>
        <v>1.3360053440213762</v>
      </c>
      <c r="KA94" s="3">
        <f t="shared" si="71"/>
        <v>4.5658682634730541</v>
      </c>
      <c r="KB94" s="3">
        <f t="shared" si="71"/>
        <v>2.9134295227524971</v>
      </c>
      <c r="KC94" s="3">
        <f t="shared" si="71"/>
        <v>5.9948152948801035</v>
      </c>
      <c r="KD94" s="3">
        <f t="shared" si="71"/>
        <v>0</v>
      </c>
      <c r="KE94" s="3">
        <f t="shared" si="71"/>
        <v>5.1428571428571423</v>
      </c>
      <c r="KF94" s="3">
        <f t="shared" si="71"/>
        <v>0</v>
      </c>
      <c r="KG94" s="3">
        <f t="shared" si="71"/>
        <v>3.8812785388127851</v>
      </c>
      <c r="KH94" s="3">
        <f t="shared" si="71"/>
        <v>0</v>
      </c>
      <c r="KI94" s="3">
        <f t="shared" si="71"/>
        <v>3.0201342281879198</v>
      </c>
      <c r="KJ94" s="3">
        <f t="shared" si="71"/>
        <v>0</v>
      </c>
      <c r="KK94" s="3">
        <f t="shared" si="71"/>
        <v>0</v>
      </c>
      <c r="KL94" s="3">
        <f t="shared" si="71"/>
        <v>0</v>
      </c>
      <c r="KM94" s="3">
        <f t="shared" si="71"/>
        <v>0</v>
      </c>
      <c r="KN94" s="3">
        <f t="shared" si="71"/>
        <v>0</v>
      </c>
      <c r="KO94" s="3">
        <f t="shared" si="71"/>
        <v>0</v>
      </c>
      <c r="KP94" s="3">
        <f t="shared" si="71"/>
        <v>0</v>
      </c>
      <c r="KQ94" s="3">
        <f t="shared" si="71"/>
        <v>5.4545454545454541</v>
      </c>
      <c r="KR94" s="3">
        <f t="shared" si="71"/>
        <v>0.25510204081632654</v>
      </c>
      <c r="KS94" s="3">
        <f t="shared" si="71"/>
        <v>1.6797312430011198</v>
      </c>
      <c r="KT94" s="3">
        <f t="shared" si="71"/>
        <v>0</v>
      </c>
      <c r="KU94" s="3">
        <f t="shared" si="71"/>
        <v>0</v>
      </c>
      <c r="KV94" s="3">
        <f t="shared" si="71"/>
        <v>0</v>
      </c>
      <c r="KW94" s="3">
        <f t="shared" si="71"/>
        <v>0</v>
      </c>
      <c r="KX94" s="3">
        <f t="shared" si="71"/>
        <v>0</v>
      </c>
      <c r="KY94" s="3">
        <f t="shared" si="71"/>
        <v>0</v>
      </c>
      <c r="KZ94" s="3">
        <f t="shared" si="71"/>
        <v>2.271062271062271</v>
      </c>
      <c r="LA94" s="3">
        <f t="shared" si="71"/>
        <v>6.8376068376068382</v>
      </c>
      <c r="LB94" s="3">
        <f t="shared" si="71"/>
        <v>2.4096385542168677</v>
      </c>
      <c r="LC94" s="3">
        <f t="shared" si="71"/>
        <v>0</v>
      </c>
      <c r="LD94" s="3">
        <f t="shared" si="71"/>
        <v>0.19607843137254902</v>
      </c>
      <c r="LE94" s="3">
        <f t="shared" si="71"/>
        <v>0.7569386038687973</v>
      </c>
      <c r="LF94" s="3">
        <f t="shared" si="71"/>
        <v>0</v>
      </c>
      <c r="LG94" s="3">
        <f t="shared" si="71"/>
        <v>0</v>
      </c>
      <c r="LH94" s="3">
        <f t="shared" si="71"/>
        <v>0</v>
      </c>
      <c r="LI94" s="3">
        <f t="shared" si="71"/>
        <v>2.7878787878787876</v>
      </c>
      <c r="LJ94" s="3">
        <f t="shared" si="71"/>
        <v>2.2796352583586628</v>
      </c>
      <c r="LK94" s="3">
        <f t="shared" si="71"/>
        <v>3.306451612903226</v>
      </c>
      <c r="LL94" s="3">
        <f t="shared" si="71"/>
        <v>1.663798049340218</v>
      </c>
      <c r="LM94" s="3">
        <f>(LM31-LM$11)/LM$11*100</f>
        <v>6.3893911995177817</v>
      </c>
      <c r="LN94" s="3">
        <f t="shared" si="72"/>
        <v>0</v>
      </c>
      <c r="LO94" s="3">
        <f t="shared" si="72"/>
        <v>0</v>
      </c>
      <c r="LP94" s="3">
        <f t="shared" ref="LP94:MW94" si="79">(LP31-LP$11)/LP$11*100</f>
        <v>3.0864197530864197</v>
      </c>
      <c r="LQ94" s="3">
        <f t="shared" si="79"/>
        <v>0.20470829068577279</v>
      </c>
      <c r="LR94" s="3">
        <f t="shared" si="79"/>
        <v>1.1824324324324325</v>
      </c>
      <c r="LS94" s="3">
        <f t="shared" si="79"/>
        <v>3.6448598130841123</v>
      </c>
      <c r="LT94" s="3">
        <f t="shared" si="79"/>
        <v>0</v>
      </c>
      <c r="LU94" s="3">
        <f t="shared" si="79"/>
        <v>0</v>
      </c>
      <c r="LV94" s="3">
        <f t="shared" si="79"/>
        <v>0</v>
      </c>
      <c r="LW94" s="3">
        <f t="shared" si="79"/>
        <v>0</v>
      </c>
      <c r="LX94" s="3">
        <f t="shared" si="79"/>
        <v>0</v>
      </c>
      <c r="LY94" s="3">
        <f t="shared" si="79"/>
        <v>0</v>
      </c>
      <c r="LZ94" s="3">
        <f t="shared" si="79"/>
        <v>1.7746228926353149</v>
      </c>
      <c r="MA94" s="3">
        <f t="shared" si="79"/>
        <v>0</v>
      </c>
      <c r="MB94" s="3">
        <f t="shared" si="79"/>
        <v>1.9931939718035974</v>
      </c>
      <c r="MC94" s="3">
        <f t="shared" si="79"/>
        <v>0</v>
      </c>
      <c r="MD94" s="3">
        <f t="shared" si="79"/>
        <v>1.2093023255813953</v>
      </c>
      <c r="ME94" s="3">
        <f t="shared" si="79"/>
        <v>0</v>
      </c>
      <c r="MF94" s="3">
        <f t="shared" si="79"/>
        <v>0</v>
      </c>
      <c r="MG94" s="3">
        <f t="shared" si="79"/>
        <v>0</v>
      </c>
      <c r="MH94" s="3">
        <f t="shared" si="79"/>
        <v>1.9298245614035088</v>
      </c>
      <c r="MI94" s="3">
        <f t="shared" si="79"/>
        <v>0</v>
      </c>
      <c r="MJ94" s="3">
        <f t="shared" si="79"/>
        <v>4.7503045066991474</v>
      </c>
      <c r="MK94" s="3">
        <f t="shared" si="79"/>
        <v>2.8974158183241974</v>
      </c>
      <c r="ML94" s="3">
        <f t="shared" si="79"/>
        <v>1.5521064301552108</v>
      </c>
      <c r="MM94" s="3">
        <f t="shared" si="79"/>
        <v>0</v>
      </c>
      <c r="MN94" s="3">
        <f t="shared" si="79"/>
        <v>0.66577896138482018</v>
      </c>
      <c r="MO94" s="3">
        <f t="shared" si="79"/>
        <v>4.0915915915915919</v>
      </c>
      <c r="MP94" s="3">
        <f t="shared" si="79"/>
        <v>0</v>
      </c>
      <c r="MQ94" s="3">
        <f t="shared" si="79"/>
        <v>0</v>
      </c>
      <c r="MR94" s="3">
        <f t="shared" si="79"/>
        <v>1.1747430249632893</v>
      </c>
      <c r="MS94" s="3">
        <f t="shared" si="79"/>
        <v>0</v>
      </c>
      <c r="MT94" s="3">
        <f t="shared" si="79"/>
        <v>1.9010043041606886</v>
      </c>
      <c r="MU94" s="3">
        <f t="shared" si="79"/>
        <v>5.2411697683251042</v>
      </c>
      <c r="MV94" s="3">
        <f t="shared" si="79"/>
        <v>1.7699115044247788</v>
      </c>
      <c r="MW94" s="3">
        <f t="shared" si="79"/>
        <v>6.5822002472187888</v>
      </c>
      <c r="MX94" s="3"/>
      <c r="MY94" s="3"/>
    </row>
    <row r="95" spans="1:363" x14ac:dyDescent="0.3">
      <c r="A95" s="3">
        <v>21</v>
      </c>
      <c r="B95" s="3">
        <f t="shared" si="33"/>
        <v>1.1494252873563218</v>
      </c>
      <c r="C95" s="3">
        <f t="shared" si="76"/>
        <v>0</v>
      </c>
      <c r="D95" s="3">
        <f t="shared" si="76"/>
        <v>0.21186440677966101</v>
      </c>
      <c r="E95" s="3">
        <f t="shared" si="76"/>
        <v>7.3394495412844041</v>
      </c>
      <c r="F95" s="3">
        <f t="shared" si="76"/>
        <v>0</v>
      </c>
      <c r="G95" s="3">
        <f t="shared" si="76"/>
        <v>2.1032504780114722</v>
      </c>
      <c r="H95" s="3">
        <f t="shared" si="76"/>
        <v>0</v>
      </c>
      <c r="I95" s="3">
        <f t="shared" si="76"/>
        <v>0</v>
      </c>
      <c r="J95" s="3">
        <f t="shared" si="76"/>
        <v>0</v>
      </c>
      <c r="K95" s="3">
        <f t="shared" si="76"/>
        <v>0</v>
      </c>
      <c r="L95" s="3">
        <f t="shared" si="76"/>
        <v>0</v>
      </c>
      <c r="M95" s="3">
        <f t="shared" si="76"/>
        <v>0</v>
      </c>
      <c r="N95" s="3">
        <f t="shared" si="76"/>
        <v>1.4678899082568808</v>
      </c>
      <c r="O95" s="3">
        <f t="shared" si="76"/>
        <v>1.0373443983402488</v>
      </c>
      <c r="P95" s="3">
        <f t="shared" si="76"/>
        <v>1.6569200779727096</v>
      </c>
      <c r="Q95" s="3">
        <f t="shared" si="76"/>
        <v>0</v>
      </c>
      <c r="R95" s="3">
        <f t="shared" si="76"/>
        <v>0.48355899419729209</v>
      </c>
      <c r="S95" s="3">
        <f t="shared" si="76"/>
        <v>2.8280542986425341</v>
      </c>
      <c r="T95" s="3">
        <f t="shared" si="76"/>
        <v>0</v>
      </c>
      <c r="U95" s="3">
        <f t="shared" si="76"/>
        <v>0</v>
      </c>
      <c r="V95" s="3">
        <f t="shared" si="76"/>
        <v>0</v>
      </c>
      <c r="W95" s="3">
        <f t="shared" si="76"/>
        <v>3.7962962962962963</v>
      </c>
      <c r="X95" s="3">
        <f t="shared" si="76"/>
        <v>0.31007751937984496</v>
      </c>
      <c r="Y95" s="3">
        <f t="shared" si="76"/>
        <v>9.891304347826086</v>
      </c>
      <c r="Z95" s="3">
        <f t="shared" si="76"/>
        <v>0.28490028490028491</v>
      </c>
      <c r="AA95" s="3">
        <f t="shared" si="76"/>
        <v>0.66152149944873206</v>
      </c>
      <c r="AB95" s="3">
        <f t="shared" si="76"/>
        <v>1.6379310344827587</v>
      </c>
      <c r="AC95" s="3">
        <f t="shared" si="76"/>
        <v>0.82582582582582575</v>
      </c>
      <c r="AD95" s="3">
        <f t="shared" si="76"/>
        <v>0.49073064340239914</v>
      </c>
      <c r="AE95" s="3">
        <f t="shared" si="76"/>
        <v>0</v>
      </c>
      <c r="AF95" s="3">
        <f t="shared" si="76"/>
        <v>0.46511627906976744</v>
      </c>
      <c r="AG95" s="3">
        <f t="shared" si="76"/>
        <v>3.9814814814814818</v>
      </c>
      <c r="AH95" s="3">
        <f t="shared" si="76"/>
        <v>1.0382513661202186</v>
      </c>
      <c r="AI95" s="3">
        <f t="shared" si="76"/>
        <v>5.4428044280442807</v>
      </c>
      <c r="AJ95" s="3">
        <f t="shared" si="76"/>
        <v>0.64870259481037917</v>
      </c>
      <c r="AK95" s="3">
        <f t="shared" si="76"/>
        <v>6.9918699186991864</v>
      </c>
      <c r="AL95" s="3">
        <f t="shared" si="76"/>
        <v>0</v>
      </c>
      <c r="AM95" s="3">
        <f t="shared" si="76"/>
        <v>0</v>
      </c>
      <c r="AN95" s="3">
        <f t="shared" si="76"/>
        <v>3.1539888682745829</v>
      </c>
      <c r="AO95" s="3">
        <f t="shared" si="76"/>
        <v>0</v>
      </c>
      <c r="AP95" s="3">
        <f t="shared" si="76"/>
        <v>0.21897810218978103</v>
      </c>
      <c r="AQ95" s="3">
        <f t="shared" si="76"/>
        <v>0</v>
      </c>
      <c r="AR95" s="3">
        <f t="shared" si="76"/>
        <v>0</v>
      </c>
      <c r="AS95" s="3">
        <f t="shared" si="76"/>
        <v>0</v>
      </c>
      <c r="AT95" s="3">
        <f t="shared" si="76"/>
        <v>0</v>
      </c>
      <c r="AU95" s="3">
        <f t="shared" si="76"/>
        <v>0</v>
      </c>
      <c r="AV95" s="3">
        <f t="shared" si="76"/>
        <v>0</v>
      </c>
      <c r="AW95" s="3">
        <f t="shared" si="76"/>
        <v>0</v>
      </c>
      <c r="AX95" s="3">
        <f t="shared" si="76"/>
        <v>0</v>
      </c>
      <c r="AY95" s="3">
        <f t="shared" si="76"/>
        <v>0.96021947873799729</v>
      </c>
      <c r="AZ95" s="3">
        <f t="shared" si="76"/>
        <v>2.6963657678780772</v>
      </c>
      <c r="BA95" s="3">
        <f t="shared" si="76"/>
        <v>0</v>
      </c>
      <c r="BB95" s="3">
        <f t="shared" si="76"/>
        <v>1.9954819277108431</v>
      </c>
      <c r="BC95" s="3">
        <f t="shared" si="76"/>
        <v>2.9465930018416207</v>
      </c>
      <c r="BD95" s="3">
        <f t="shared" si="76"/>
        <v>0</v>
      </c>
      <c r="BE95" s="3">
        <f t="shared" si="76"/>
        <v>0</v>
      </c>
      <c r="BF95" s="3">
        <f t="shared" si="76"/>
        <v>0</v>
      </c>
      <c r="BG95" s="3">
        <f t="shared" si="76"/>
        <v>0</v>
      </c>
      <c r="BH95" s="3">
        <f t="shared" si="76"/>
        <v>3.7051953282319778</v>
      </c>
      <c r="BI95" s="3">
        <f t="shared" si="76"/>
        <v>7.4882327770646127</v>
      </c>
      <c r="BJ95" s="3">
        <f t="shared" si="76"/>
        <v>0.25526483726866628</v>
      </c>
      <c r="BK95" s="3">
        <f t="shared" si="76"/>
        <v>3.9225941422594142</v>
      </c>
      <c r="BL95" s="3">
        <f t="shared" si="76"/>
        <v>0</v>
      </c>
      <c r="BM95" s="3">
        <f t="shared" si="76"/>
        <v>4.454545454545455</v>
      </c>
      <c r="BN95" s="3">
        <f t="shared" si="76"/>
        <v>1.9256132946452125</v>
      </c>
      <c r="BO95" s="3">
        <f t="shared" si="74"/>
        <v>1.5896379158080658</v>
      </c>
      <c r="BP95" s="3">
        <f t="shared" si="74"/>
        <v>1.984126984126984</v>
      </c>
      <c r="BQ95" s="3">
        <f t="shared" si="74"/>
        <v>0</v>
      </c>
      <c r="BR95" s="3">
        <f t="shared" si="74"/>
        <v>2.4509803921568629</v>
      </c>
      <c r="BS95" s="3">
        <f t="shared" si="74"/>
        <v>5.9033280507131538</v>
      </c>
      <c r="BT95" s="3">
        <f t="shared" si="74"/>
        <v>2.6001195457262405</v>
      </c>
      <c r="BU95" s="3">
        <f t="shared" si="74"/>
        <v>6.2825407844498447</v>
      </c>
      <c r="BV95" s="3">
        <f t="shared" si="74"/>
        <v>1.3297872340425532</v>
      </c>
      <c r="BW95" s="3">
        <f t="shared" si="74"/>
        <v>0</v>
      </c>
      <c r="BX95" s="3">
        <f t="shared" si="74"/>
        <v>1.2254901960784315</v>
      </c>
      <c r="BY95" s="3">
        <f t="shared" si="74"/>
        <v>2.358490566037736</v>
      </c>
      <c r="BZ95" s="3">
        <f t="shared" si="74"/>
        <v>0.33613445378151263</v>
      </c>
      <c r="CA95" s="3">
        <f t="shared" si="74"/>
        <v>4.562043795620438</v>
      </c>
      <c r="CB95" s="3">
        <f t="shared" si="74"/>
        <v>0</v>
      </c>
      <c r="CC95" s="3">
        <f t="shared" si="74"/>
        <v>0</v>
      </c>
      <c r="CD95" s="3">
        <f t="shared" si="74"/>
        <v>0</v>
      </c>
      <c r="CE95" s="3">
        <f t="shared" si="74"/>
        <v>0</v>
      </c>
      <c r="CF95" s="3">
        <f t="shared" si="74"/>
        <v>0</v>
      </c>
      <c r="CG95" s="3">
        <f t="shared" si="74"/>
        <v>0</v>
      </c>
      <c r="CH95" s="3">
        <f t="shared" si="74"/>
        <v>0.76804915514592931</v>
      </c>
      <c r="CI95" s="3">
        <f t="shared" si="74"/>
        <v>0</v>
      </c>
      <c r="CJ95" s="3">
        <f t="shared" si="74"/>
        <v>2.4324324324324325</v>
      </c>
      <c r="CK95" s="3">
        <f t="shared" si="74"/>
        <v>3.8502673796791447</v>
      </c>
      <c r="CL95" s="3">
        <f t="shared" si="74"/>
        <v>0</v>
      </c>
      <c r="CM95" s="3">
        <f t="shared" si="74"/>
        <v>0</v>
      </c>
      <c r="CN95" s="3">
        <f t="shared" si="74"/>
        <v>0</v>
      </c>
      <c r="CO95" s="3">
        <f t="shared" si="74"/>
        <v>0</v>
      </c>
      <c r="CP95" s="3">
        <f t="shared" si="74"/>
        <v>9.0334236675700091E-2</v>
      </c>
      <c r="CQ95" s="3">
        <f t="shared" si="74"/>
        <v>0</v>
      </c>
      <c r="CR95" s="3">
        <f t="shared" si="74"/>
        <v>2.5089605734767026</v>
      </c>
      <c r="CS95" s="3">
        <f t="shared" si="74"/>
        <v>7.4487895716945998</v>
      </c>
      <c r="CT95" s="3">
        <f t="shared" si="74"/>
        <v>0</v>
      </c>
      <c r="CU95" s="3">
        <f t="shared" si="74"/>
        <v>0</v>
      </c>
      <c r="CV95" s="3">
        <f t="shared" si="74"/>
        <v>0</v>
      </c>
      <c r="CW95" s="3">
        <f t="shared" si="74"/>
        <v>0</v>
      </c>
      <c r="CX95" s="3">
        <f t="shared" si="74"/>
        <v>0</v>
      </c>
      <c r="CY95" s="3">
        <f t="shared" si="74"/>
        <v>0</v>
      </c>
      <c r="CZ95" s="3">
        <f t="shared" si="74"/>
        <v>0</v>
      </c>
      <c r="DA95" s="3">
        <f t="shared" si="74"/>
        <v>0</v>
      </c>
      <c r="DB95" s="3">
        <f t="shared" si="74"/>
        <v>1.3580246913580247</v>
      </c>
      <c r="DC95" s="3">
        <f t="shared" si="74"/>
        <v>3.0134813639968279</v>
      </c>
      <c r="DD95" s="3">
        <f t="shared" si="74"/>
        <v>0.8045977011494253</v>
      </c>
      <c r="DE95" s="3">
        <f t="shared" si="74"/>
        <v>8.3270249810749437</v>
      </c>
      <c r="DF95" s="3">
        <f t="shared" si="74"/>
        <v>0</v>
      </c>
      <c r="DG95" s="3">
        <f t="shared" si="74"/>
        <v>0.46875</v>
      </c>
      <c r="DH95" s="3">
        <f t="shared" si="74"/>
        <v>0</v>
      </c>
      <c r="DI95" s="3">
        <f t="shared" si="74"/>
        <v>0</v>
      </c>
      <c r="DJ95" s="3">
        <f t="shared" si="74"/>
        <v>0</v>
      </c>
      <c r="DK95" s="3">
        <f t="shared" si="74"/>
        <v>2.9411764705882351</v>
      </c>
      <c r="DL95" s="3">
        <f t="shared" si="74"/>
        <v>0</v>
      </c>
      <c r="DM95" s="3">
        <f t="shared" si="74"/>
        <v>0</v>
      </c>
      <c r="DN95" s="3">
        <f t="shared" si="74"/>
        <v>0</v>
      </c>
      <c r="DO95" s="3">
        <f t="shared" si="74"/>
        <v>0</v>
      </c>
      <c r="DP95" s="3">
        <f t="shared" si="74"/>
        <v>0</v>
      </c>
      <c r="DQ95" s="3">
        <f t="shared" si="74"/>
        <v>0</v>
      </c>
      <c r="DR95" s="3">
        <f t="shared" si="74"/>
        <v>0</v>
      </c>
      <c r="DS95" s="3">
        <f t="shared" si="74"/>
        <v>0</v>
      </c>
      <c r="DT95" s="3">
        <f t="shared" si="74"/>
        <v>1.4966740576496673</v>
      </c>
      <c r="DU95" s="3">
        <f t="shared" si="74"/>
        <v>1.6248153618906942</v>
      </c>
      <c r="DV95" s="3">
        <f t="shared" si="74"/>
        <v>0</v>
      </c>
      <c r="DW95" s="3">
        <f t="shared" si="74"/>
        <v>0</v>
      </c>
      <c r="DX95" s="3">
        <f t="shared" si="74"/>
        <v>0</v>
      </c>
      <c r="DY95" s="3">
        <f t="shared" si="74"/>
        <v>0</v>
      </c>
      <c r="DZ95" s="3">
        <f t="shared" ref="DZ95:GK98" si="80">(DZ32-DZ$11)/DZ$11*100</f>
        <v>8.7757788503729714E-2</v>
      </c>
      <c r="EA95" s="3">
        <f t="shared" si="80"/>
        <v>4.4084821428571432</v>
      </c>
      <c r="EB95" s="3">
        <f t="shared" si="80"/>
        <v>3.2962962962962963</v>
      </c>
      <c r="EC95" s="3">
        <f t="shared" si="80"/>
        <v>6.506849315068493</v>
      </c>
      <c r="ED95" s="3">
        <f t="shared" si="80"/>
        <v>1.9931271477663228</v>
      </c>
      <c r="EE95" s="3">
        <f t="shared" si="80"/>
        <v>0</v>
      </c>
      <c r="EF95" s="3">
        <f t="shared" si="80"/>
        <v>3.0521262002743481</v>
      </c>
      <c r="EG95" s="3">
        <f t="shared" si="80"/>
        <v>1.8833087149187591</v>
      </c>
      <c r="EH95" s="3">
        <f t="shared" si="80"/>
        <v>1.6922263352723426</v>
      </c>
      <c r="EI95" s="3">
        <f t="shared" si="80"/>
        <v>0.29522275899087497</v>
      </c>
      <c r="EJ95" s="3">
        <f t="shared" si="80"/>
        <v>1.0416666666666665</v>
      </c>
      <c r="EK95" s="3">
        <f t="shared" si="80"/>
        <v>3.313049357674104</v>
      </c>
      <c r="EL95" s="3">
        <f t="shared" si="80"/>
        <v>1.4970059880239521</v>
      </c>
      <c r="EM95" s="3">
        <f t="shared" si="80"/>
        <v>8.4682440846824409</v>
      </c>
      <c r="EN95" s="3">
        <f t="shared" si="80"/>
        <v>1.5343915343915344</v>
      </c>
      <c r="EO95" s="3">
        <f t="shared" si="80"/>
        <v>6.7514677103718199</v>
      </c>
      <c r="EP95" s="3">
        <f t="shared" si="80"/>
        <v>2.083333333333333</v>
      </c>
      <c r="EQ95" s="3">
        <f t="shared" si="80"/>
        <v>0</v>
      </c>
      <c r="ER95" s="3">
        <f t="shared" si="80"/>
        <v>1.7391304347826086</v>
      </c>
      <c r="ES95" s="3">
        <f t="shared" si="80"/>
        <v>0</v>
      </c>
      <c r="ET95" s="3">
        <f t="shared" si="80"/>
        <v>1.2658227848101267</v>
      </c>
      <c r="EU95" s="3">
        <f t="shared" si="80"/>
        <v>1.8922852983988356</v>
      </c>
      <c r="EV95" s="3">
        <f t="shared" si="80"/>
        <v>0</v>
      </c>
      <c r="EW95" s="3">
        <f t="shared" si="80"/>
        <v>0</v>
      </c>
      <c r="EX95" s="3">
        <f t="shared" si="80"/>
        <v>0</v>
      </c>
      <c r="EY95" s="3">
        <f t="shared" si="80"/>
        <v>0</v>
      </c>
      <c r="EZ95" s="3">
        <f t="shared" si="80"/>
        <v>0</v>
      </c>
      <c r="FA95" s="3">
        <f t="shared" si="80"/>
        <v>0</v>
      </c>
      <c r="FB95" s="3">
        <f t="shared" si="80"/>
        <v>0</v>
      </c>
      <c r="FC95" s="3">
        <f t="shared" si="80"/>
        <v>3.070175438596491</v>
      </c>
      <c r="FD95" s="3">
        <f t="shared" si="80"/>
        <v>1.984126984126984</v>
      </c>
      <c r="FE95" s="3">
        <f t="shared" si="80"/>
        <v>0</v>
      </c>
      <c r="FF95" s="3">
        <f t="shared" si="80"/>
        <v>1.7241379310344827</v>
      </c>
      <c r="FG95" s="3">
        <f t="shared" si="80"/>
        <v>1.8621973929236499</v>
      </c>
      <c r="FH95" s="3">
        <f t="shared" si="80"/>
        <v>0</v>
      </c>
      <c r="FI95" s="3">
        <f t="shared" si="80"/>
        <v>0</v>
      </c>
      <c r="FJ95" s="3">
        <f t="shared" si="80"/>
        <v>0</v>
      </c>
      <c r="FK95" s="3">
        <f t="shared" si="80"/>
        <v>0</v>
      </c>
      <c r="FL95" s="3">
        <f t="shared" si="80"/>
        <v>1.6666666666666667</v>
      </c>
      <c r="FM95" s="3">
        <f t="shared" si="80"/>
        <v>3.2867707477403454</v>
      </c>
      <c r="FN95" s="3">
        <f t="shared" si="80"/>
        <v>0</v>
      </c>
      <c r="FO95" s="3">
        <f t="shared" si="80"/>
        <v>5.0373134328358207</v>
      </c>
      <c r="FP95" s="3">
        <f t="shared" si="80"/>
        <v>0</v>
      </c>
      <c r="FQ95" s="3">
        <f t="shared" si="80"/>
        <v>1.1346444780635401</v>
      </c>
      <c r="FR95" s="3">
        <f t="shared" si="80"/>
        <v>2.9545454545454546</v>
      </c>
      <c r="FS95" s="3">
        <f t="shared" si="80"/>
        <v>0</v>
      </c>
      <c r="FT95" s="3">
        <f t="shared" si="80"/>
        <v>1.7068273092369479</v>
      </c>
      <c r="FU95" s="3">
        <f t="shared" si="80"/>
        <v>4.6814044213263983</v>
      </c>
      <c r="FV95" s="3">
        <f t="shared" si="80"/>
        <v>1.6030534351145038</v>
      </c>
      <c r="FW95" s="3">
        <f t="shared" si="80"/>
        <v>5.394190871369295</v>
      </c>
      <c r="FX95" s="3">
        <f t="shared" si="80"/>
        <v>1.949685534591195</v>
      </c>
      <c r="FY95" s="3">
        <f t="shared" si="80"/>
        <v>8.3791208791208778</v>
      </c>
      <c r="FZ95" s="3">
        <f t="shared" si="80"/>
        <v>1.6304347826086956</v>
      </c>
      <c r="GA95" s="3">
        <f t="shared" si="80"/>
        <v>0</v>
      </c>
      <c r="GB95" s="3">
        <f t="shared" si="80"/>
        <v>1.9281332164767746</v>
      </c>
      <c r="GC95" s="3">
        <f t="shared" si="80"/>
        <v>4.6318289786223277</v>
      </c>
      <c r="GD95" s="3">
        <f t="shared" si="80"/>
        <v>0</v>
      </c>
      <c r="GE95" s="3">
        <f t="shared" si="80"/>
        <v>0</v>
      </c>
      <c r="GF95" s="3">
        <f t="shared" si="80"/>
        <v>0</v>
      </c>
      <c r="GG95" s="3">
        <f t="shared" si="80"/>
        <v>0</v>
      </c>
      <c r="GH95" s="3">
        <f t="shared" si="80"/>
        <v>0</v>
      </c>
      <c r="GI95" s="3">
        <f t="shared" si="80"/>
        <v>0</v>
      </c>
      <c r="GJ95" s="3">
        <f t="shared" si="80"/>
        <v>0</v>
      </c>
      <c r="GK95" s="3">
        <f t="shared" si="80"/>
        <v>0</v>
      </c>
      <c r="GL95" s="3">
        <f t="shared" si="78"/>
        <v>0.41806020066889632</v>
      </c>
      <c r="GM95" s="3">
        <f t="shared" si="78"/>
        <v>3.5016286644951142</v>
      </c>
      <c r="GN95" s="3">
        <f t="shared" si="78"/>
        <v>1.8563751831949193</v>
      </c>
      <c r="GO95" s="3">
        <f t="shared" si="78"/>
        <v>2.2245214692188311</v>
      </c>
      <c r="GP95" s="3">
        <f t="shared" si="78"/>
        <v>0</v>
      </c>
      <c r="GQ95" s="3">
        <f t="shared" si="78"/>
        <v>0</v>
      </c>
      <c r="GR95" s="3">
        <f t="shared" si="78"/>
        <v>0</v>
      </c>
      <c r="GS95" s="3">
        <f t="shared" si="78"/>
        <v>0</v>
      </c>
      <c r="GT95" s="3">
        <f t="shared" si="78"/>
        <v>1.0738255033557047</v>
      </c>
      <c r="GU95" s="3">
        <f t="shared" si="78"/>
        <v>0</v>
      </c>
      <c r="GV95" s="3">
        <f t="shared" si="78"/>
        <v>6.3543936092955695</v>
      </c>
      <c r="GW95" s="3">
        <f t="shared" si="78"/>
        <v>4.8036951501154741</v>
      </c>
      <c r="GX95" s="3">
        <f t="shared" si="78"/>
        <v>0.11415525114155251</v>
      </c>
      <c r="GY95" s="3">
        <f t="shared" si="78"/>
        <v>0</v>
      </c>
      <c r="GZ95" s="3">
        <f t="shared" si="78"/>
        <v>0</v>
      </c>
      <c r="HA95" s="3">
        <f t="shared" si="78"/>
        <v>1.2649332396345749</v>
      </c>
      <c r="HB95" s="3">
        <f t="shared" si="78"/>
        <v>1.5741270749856897</v>
      </c>
      <c r="HC95" s="3">
        <f t="shared" si="78"/>
        <v>0</v>
      </c>
      <c r="HD95" s="3">
        <f t="shared" si="78"/>
        <v>0.54726368159203986</v>
      </c>
      <c r="HE95" s="3">
        <f t="shared" si="78"/>
        <v>5.6057866184448457</v>
      </c>
      <c r="HF95" s="3">
        <f t="shared" si="78"/>
        <v>1.6160310277957339</v>
      </c>
      <c r="HG95" s="3">
        <f t="shared" si="78"/>
        <v>5.3215077605321506</v>
      </c>
      <c r="HH95" s="3">
        <f t="shared" si="78"/>
        <v>1.1438739196746313</v>
      </c>
      <c r="HI95" s="3">
        <f t="shared" si="78"/>
        <v>5.0733496332518335</v>
      </c>
      <c r="HJ95" s="3">
        <f t="shared" si="78"/>
        <v>1.3953488372093024</v>
      </c>
      <c r="HK95" s="3">
        <f t="shared" si="78"/>
        <v>0.8875739644970414</v>
      </c>
      <c r="HL95" s="3">
        <f t="shared" si="78"/>
        <v>1.7543859649122806</v>
      </c>
      <c r="HM95" s="3">
        <f t="shared" si="78"/>
        <v>0</v>
      </c>
      <c r="HN95" s="3">
        <f t="shared" si="78"/>
        <v>2.2865853658536586</v>
      </c>
      <c r="HO95" s="3">
        <f t="shared" si="78"/>
        <v>0</v>
      </c>
      <c r="HP95" s="3">
        <f t="shared" si="78"/>
        <v>0</v>
      </c>
      <c r="HQ95" s="3">
        <f t="shared" si="78"/>
        <v>0</v>
      </c>
      <c r="HR95" s="3">
        <f t="shared" si="78"/>
        <v>0</v>
      </c>
      <c r="HS95" s="3">
        <f t="shared" si="78"/>
        <v>0</v>
      </c>
      <c r="HT95" s="3">
        <f t="shared" si="78"/>
        <v>0</v>
      </c>
      <c r="HU95" s="3">
        <f t="shared" si="78"/>
        <v>0</v>
      </c>
      <c r="HV95" s="3">
        <f t="shared" si="78"/>
        <v>0</v>
      </c>
      <c r="HW95" s="3">
        <f t="shared" si="78"/>
        <v>2</v>
      </c>
      <c r="HX95" s="3">
        <f t="shared" si="78"/>
        <v>2.147239263803681</v>
      </c>
      <c r="HY95" s="3">
        <f t="shared" si="78"/>
        <v>0</v>
      </c>
      <c r="HZ95" s="3">
        <f t="shared" si="78"/>
        <v>0.43478260869565216</v>
      </c>
      <c r="IA95" s="3">
        <f t="shared" si="78"/>
        <v>0</v>
      </c>
      <c r="IB95" s="3">
        <f t="shared" si="78"/>
        <v>0</v>
      </c>
      <c r="IC95" s="3">
        <f t="shared" si="78"/>
        <v>0</v>
      </c>
      <c r="ID95" s="3">
        <f t="shared" si="78"/>
        <v>0</v>
      </c>
      <c r="IE95" s="3">
        <f t="shared" si="78"/>
        <v>1.3173652694610778</v>
      </c>
      <c r="IF95" s="3">
        <f t="shared" si="78"/>
        <v>2.1260997067448679</v>
      </c>
      <c r="IG95" s="3">
        <f t="shared" si="78"/>
        <v>2.838827838827839</v>
      </c>
      <c r="IH95" s="3">
        <f t="shared" si="78"/>
        <v>0</v>
      </c>
      <c r="II95" s="3">
        <f t="shared" si="78"/>
        <v>3.6257309941520468</v>
      </c>
      <c r="IJ95" s="3">
        <f t="shared" si="78"/>
        <v>0.70810385523210073</v>
      </c>
      <c r="IK95" s="3">
        <f t="shared" si="78"/>
        <v>2.1306818181818179</v>
      </c>
      <c r="IL95" s="3">
        <f t="shared" si="78"/>
        <v>0</v>
      </c>
      <c r="IM95" s="3">
        <f t="shared" si="78"/>
        <v>0</v>
      </c>
      <c r="IN95" s="3">
        <f t="shared" si="78"/>
        <v>0</v>
      </c>
      <c r="IO95" s="3">
        <f t="shared" si="78"/>
        <v>0</v>
      </c>
      <c r="IP95" s="3">
        <f t="shared" si="78"/>
        <v>2.1828908554572273</v>
      </c>
      <c r="IQ95" s="3">
        <f t="shared" si="78"/>
        <v>5.083260297984225</v>
      </c>
      <c r="IR95" s="3">
        <f t="shared" si="78"/>
        <v>0.86805555555555558</v>
      </c>
      <c r="IS95" s="3">
        <f t="shared" si="78"/>
        <v>9.8765432098765427</v>
      </c>
      <c r="IT95" s="3">
        <f t="shared" si="78"/>
        <v>0</v>
      </c>
      <c r="IU95" s="3">
        <f t="shared" si="78"/>
        <v>1.7825311942959003</v>
      </c>
      <c r="IV95" s="3">
        <f t="shared" si="78"/>
        <v>2.6436781609195403</v>
      </c>
      <c r="IW95" s="3">
        <f t="shared" si="78"/>
        <v>0</v>
      </c>
      <c r="IX95" s="3">
        <f t="shared" si="54"/>
        <v>0.23961661341853036</v>
      </c>
      <c r="IY95" s="3">
        <f t="shared" si="54"/>
        <v>0</v>
      </c>
      <c r="IZ95" s="3">
        <f t="shared" si="54"/>
        <v>0</v>
      </c>
      <c r="JA95" s="3">
        <f t="shared" si="51"/>
        <v>0</v>
      </c>
      <c r="JB95" s="3">
        <f t="shared" ref="JB95:LM99" si="81">(JB32-JB$11)/JB$11*100</f>
        <v>0</v>
      </c>
      <c r="JC95" s="3">
        <f t="shared" si="81"/>
        <v>0</v>
      </c>
      <c r="JD95" s="3">
        <f t="shared" si="81"/>
        <v>0</v>
      </c>
      <c r="JE95" s="3">
        <f t="shared" si="81"/>
        <v>0</v>
      </c>
      <c r="JF95" s="3">
        <f t="shared" si="81"/>
        <v>1.0416666666666665</v>
      </c>
      <c r="JG95" s="3">
        <f t="shared" si="81"/>
        <v>0</v>
      </c>
      <c r="JH95" s="3">
        <f t="shared" si="81"/>
        <v>0</v>
      </c>
      <c r="JI95" s="3">
        <f t="shared" si="81"/>
        <v>0</v>
      </c>
      <c r="JJ95" s="3">
        <f t="shared" si="81"/>
        <v>0</v>
      </c>
      <c r="JK95" s="3">
        <f t="shared" si="81"/>
        <v>0.6116207951070336</v>
      </c>
      <c r="JL95" s="3">
        <f t="shared" si="81"/>
        <v>0</v>
      </c>
      <c r="JM95" s="3">
        <f t="shared" si="81"/>
        <v>0</v>
      </c>
      <c r="JN95" s="3">
        <f t="shared" si="81"/>
        <v>0.19872813990461047</v>
      </c>
      <c r="JO95" s="3">
        <f t="shared" si="81"/>
        <v>1.119023397761953</v>
      </c>
      <c r="JP95" s="3">
        <f t="shared" si="81"/>
        <v>4.5746691871455569</v>
      </c>
      <c r="JQ95" s="3">
        <f t="shared" si="81"/>
        <v>10.333489901362142</v>
      </c>
      <c r="JR95" s="3">
        <f t="shared" si="81"/>
        <v>0</v>
      </c>
      <c r="JS95" s="3">
        <f t="shared" si="81"/>
        <v>3.6410923276983094</v>
      </c>
      <c r="JT95" s="3">
        <f t="shared" si="81"/>
        <v>0.47732696897374705</v>
      </c>
      <c r="JU95" s="3">
        <f t="shared" si="81"/>
        <v>0</v>
      </c>
      <c r="JV95" s="3">
        <f t="shared" si="81"/>
        <v>2.3370553103090108</v>
      </c>
      <c r="JW95" s="3">
        <f t="shared" si="81"/>
        <v>0</v>
      </c>
      <c r="JX95" s="3">
        <f t="shared" si="81"/>
        <v>1.0844748858447488</v>
      </c>
      <c r="JY95" s="3">
        <f t="shared" si="81"/>
        <v>3.2873109796186717</v>
      </c>
      <c r="JZ95" s="3">
        <f t="shared" si="81"/>
        <v>1.2024048096192386</v>
      </c>
      <c r="KA95" s="3">
        <f t="shared" si="81"/>
        <v>4.6781437125748502</v>
      </c>
      <c r="KB95" s="3">
        <f t="shared" si="81"/>
        <v>2.5527192008879025</v>
      </c>
      <c r="KC95" s="3">
        <f t="shared" si="81"/>
        <v>6.2864549578742714</v>
      </c>
      <c r="KD95" s="3">
        <f t="shared" si="81"/>
        <v>0</v>
      </c>
      <c r="KE95" s="3">
        <f t="shared" si="81"/>
        <v>5.1428571428571423</v>
      </c>
      <c r="KF95" s="3">
        <f t="shared" si="81"/>
        <v>0</v>
      </c>
      <c r="KG95" s="3">
        <f t="shared" si="81"/>
        <v>5.93607305936073</v>
      </c>
      <c r="KH95" s="3">
        <f t="shared" si="81"/>
        <v>0.14792899408284024</v>
      </c>
      <c r="KI95" s="3">
        <f t="shared" si="81"/>
        <v>2.8523489932885906</v>
      </c>
      <c r="KJ95" s="3">
        <f t="shared" si="81"/>
        <v>0</v>
      </c>
      <c r="KK95" s="3">
        <f t="shared" si="81"/>
        <v>0</v>
      </c>
      <c r="KL95" s="3">
        <f t="shared" si="81"/>
        <v>0</v>
      </c>
      <c r="KM95" s="3">
        <f t="shared" si="81"/>
        <v>0</v>
      </c>
      <c r="KN95" s="3">
        <f t="shared" si="81"/>
        <v>0</v>
      </c>
      <c r="KO95" s="3">
        <f t="shared" si="81"/>
        <v>0</v>
      </c>
      <c r="KP95" s="3">
        <f t="shared" si="81"/>
        <v>0</v>
      </c>
      <c r="KQ95" s="3">
        <f t="shared" si="81"/>
        <v>5.4545454545454541</v>
      </c>
      <c r="KR95" s="3">
        <f t="shared" si="81"/>
        <v>0.25510204081632654</v>
      </c>
      <c r="KS95" s="3">
        <f t="shared" si="81"/>
        <v>1.6797312430011198</v>
      </c>
      <c r="KT95" s="3">
        <f t="shared" si="81"/>
        <v>0</v>
      </c>
      <c r="KU95" s="3">
        <f t="shared" si="81"/>
        <v>0</v>
      </c>
      <c r="KV95" s="3">
        <f t="shared" si="81"/>
        <v>0</v>
      </c>
      <c r="KW95" s="3">
        <f t="shared" si="81"/>
        <v>0</v>
      </c>
      <c r="KX95" s="3">
        <f t="shared" si="81"/>
        <v>0</v>
      </c>
      <c r="KY95" s="3">
        <f t="shared" si="81"/>
        <v>0</v>
      </c>
      <c r="KZ95" s="3">
        <f t="shared" si="81"/>
        <v>2.4175824175824179</v>
      </c>
      <c r="LA95" s="3">
        <f t="shared" si="81"/>
        <v>8.3333333333333321</v>
      </c>
      <c r="LB95" s="3">
        <f t="shared" si="81"/>
        <v>2.4096385542168677</v>
      </c>
      <c r="LC95" s="3">
        <f t="shared" si="81"/>
        <v>0</v>
      </c>
      <c r="LD95" s="3">
        <f t="shared" si="81"/>
        <v>0.26143790849673199</v>
      </c>
      <c r="LE95" s="3">
        <f t="shared" si="81"/>
        <v>0.67283431455004206</v>
      </c>
      <c r="LF95" s="3">
        <f t="shared" si="81"/>
        <v>0</v>
      </c>
      <c r="LG95" s="3">
        <f t="shared" si="81"/>
        <v>0</v>
      </c>
      <c r="LH95" s="3">
        <f t="shared" si="81"/>
        <v>0</v>
      </c>
      <c r="LI95" s="3">
        <f t="shared" si="81"/>
        <v>2.7878787878787876</v>
      </c>
      <c r="LJ95" s="3">
        <f t="shared" si="81"/>
        <v>1.9756838905775076</v>
      </c>
      <c r="LK95" s="3">
        <f t="shared" si="81"/>
        <v>3.306451612903226</v>
      </c>
      <c r="LL95" s="3">
        <f t="shared" si="81"/>
        <v>1.7785427423981641</v>
      </c>
      <c r="LM95" s="3">
        <f t="shared" si="81"/>
        <v>5.6660638939119954</v>
      </c>
      <c r="LN95" s="3">
        <f t="shared" si="72"/>
        <v>0</v>
      </c>
      <c r="LO95" s="3">
        <f t="shared" si="72"/>
        <v>0</v>
      </c>
      <c r="LP95" s="3">
        <f t="shared" ref="LP95:MW95" si="82">(LP32-LP$11)/LP$11*100</f>
        <v>2.9835390946502058</v>
      </c>
      <c r="LQ95" s="3">
        <f t="shared" si="82"/>
        <v>0</v>
      </c>
      <c r="LR95" s="3">
        <f t="shared" si="82"/>
        <v>1.1824324324324325</v>
      </c>
      <c r="LS95" s="3">
        <f t="shared" si="82"/>
        <v>4.5794392523364484</v>
      </c>
      <c r="LT95" s="3">
        <f t="shared" si="82"/>
        <v>0</v>
      </c>
      <c r="LU95" s="3">
        <f t="shared" si="82"/>
        <v>0</v>
      </c>
      <c r="LV95" s="3">
        <f t="shared" si="82"/>
        <v>0</v>
      </c>
      <c r="LW95" s="3">
        <f t="shared" si="82"/>
        <v>0</v>
      </c>
      <c r="LX95" s="3">
        <f t="shared" si="82"/>
        <v>0</v>
      </c>
      <c r="LY95" s="3">
        <f t="shared" si="82"/>
        <v>0</v>
      </c>
      <c r="LZ95" s="3">
        <f t="shared" si="82"/>
        <v>1.6858917480035491</v>
      </c>
      <c r="MA95" s="3">
        <f t="shared" si="82"/>
        <v>0</v>
      </c>
      <c r="MB95" s="3">
        <f t="shared" si="82"/>
        <v>1.9445794846864366</v>
      </c>
      <c r="MC95" s="3">
        <f t="shared" si="82"/>
        <v>0</v>
      </c>
      <c r="MD95" s="3">
        <f t="shared" si="82"/>
        <v>0.7441860465116279</v>
      </c>
      <c r="ME95" s="3">
        <f t="shared" si="82"/>
        <v>0</v>
      </c>
      <c r="MF95" s="3">
        <f t="shared" si="82"/>
        <v>0</v>
      </c>
      <c r="MG95" s="3">
        <f t="shared" si="82"/>
        <v>0</v>
      </c>
      <c r="MH95" s="3">
        <f t="shared" si="82"/>
        <v>1.6666666666666667</v>
      </c>
      <c r="MI95" s="3">
        <f t="shared" si="82"/>
        <v>0</v>
      </c>
      <c r="MJ95" s="3">
        <f t="shared" si="82"/>
        <v>4.5473000406008932</v>
      </c>
      <c r="MK95" s="3">
        <f t="shared" si="82"/>
        <v>3.7979639780736103</v>
      </c>
      <c r="ML95" s="3">
        <f t="shared" si="82"/>
        <v>1.8292682926829267</v>
      </c>
      <c r="MM95" s="3">
        <f t="shared" si="82"/>
        <v>0</v>
      </c>
      <c r="MN95" s="3">
        <f t="shared" si="82"/>
        <v>0.63249001331557919</v>
      </c>
      <c r="MO95" s="3">
        <f t="shared" si="82"/>
        <v>3.5285285285285286</v>
      </c>
      <c r="MP95" s="3">
        <f t="shared" si="82"/>
        <v>0</v>
      </c>
      <c r="MQ95" s="3">
        <f t="shared" si="82"/>
        <v>0</v>
      </c>
      <c r="MR95" s="3">
        <f t="shared" si="82"/>
        <v>1.3215859030837005</v>
      </c>
      <c r="MS95" s="3">
        <f t="shared" si="82"/>
        <v>0</v>
      </c>
      <c r="MT95" s="3">
        <f t="shared" si="82"/>
        <v>2.2955523672883791</v>
      </c>
      <c r="MU95" s="3">
        <f t="shared" si="82"/>
        <v>4.3676414736042535</v>
      </c>
      <c r="MV95" s="3">
        <f t="shared" si="82"/>
        <v>1.7178552837064029</v>
      </c>
      <c r="MW95" s="3">
        <f t="shared" si="82"/>
        <v>6.3658838071693449</v>
      </c>
      <c r="MX95" s="3"/>
      <c r="MY95" s="3"/>
    </row>
    <row r="96" spans="1:363" x14ac:dyDescent="0.3">
      <c r="A96" s="3">
        <v>22</v>
      </c>
      <c r="B96" s="3">
        <f t="shared" si="33"/>
        <v>1.1494252873563218</v>
      </c>
      <c r="C96" s="3">
        <f t="shared" si="76"/>
        <v>0</v>
      </c>
      <c r="D96" s="3">
        <f t="shared" si="76"/>
        <v>0.21186440677966101</v>
      </c>
      <c r="E96" s="3">
        <f t="shared" si="76"/>
        <v>6.4220183486238538</v>
      </c>
      <c r="F96" s="3">
        <f t="shared" si="76"/>
        <v>0</v>
      </c>
      <c r="G96" s="3">
        <f t="shared" si="76"/>
        <v>2.1032504780114722</v>
      </c>
      <c r="H96" s="3">
        <f t="shared" si="76"/>
        <v>0</v>
      </c>
      <c r="I96" s="3">
        <f t="shared" si="76"/>
        <v>0</v>
      </c>
      <c r="J96" s="3">
        <f t="shared" si="76"/>
        <v>0</v>
      </c>
      <c r="K96" s="3">
        <f t="shared" si="76"/>
        <v>0</v>
      </c>
      <c r="L96" s="3">
        <f t="shared" si="76"/>
        <v>0</v>
      </c>
      <c r="M96" s="3">
        <f t="shared" si="76"/>
        <v>0</v>
      </c>
      <c r="N96" s="3">
        <f t="shared" si="76"/>
        <v>1.4678899082568808</v>
      </c>
      <c r="O96" s="3">
        <f t="shared" si="76"/>
        <v>1.0373443983402488</v>
      </c>
      <c r="P96" s="3">
        <f t="shared" si="76"/>
        <v>1.6569200779727096</v>
      </c>
      <c r="Q96" s="3">
        <f t="shared" si="76"/>
        <v>0</v>
      </c>
      <c r="R96" s="3">
        <f t="shared" si="76"/>
        <v>0.48355899419729209</v>
      </c>
      <c r="S96" s="3">
        <f t="shared" si="76"/>
        <v>2.9411764705882351</v>
      </c>
      <c r="T96" s="3">
        <f t="shared" si="76"/>
        <v>0</v>
      </c>
      <c r="U96" s="3">
        <f t="shared" si="76"/>
        <v>0</v>
      </c>
      <c r="V96" s="3">
        <f t="shared" si="76"/>
        <v>0</v>
      </c>
      <c r="W96" s="3">
        <f t="shared" si="76"/>
        <v>2.7777777777777777</v>
      </c>
      <c r="X96" s="3">
        <f t="shared" si="76"/>
        <v>1.0077519379844961</v>
      </c>
      <c r="Y96" s="3">
        <f t="shared" si="76"/>
        <v>9.2391304347826075</v>
      </c>
      <c r="Z96" s="3">
        <f t="shared" si="76"/>
        <v>0.28490028490028491</v>
      </c>
      <c r="AA96" s="3">
        <f t="shared" si="76"/>
        <v>0.66152149944873206</v>
      </c>
      <c r="AB96" s="3">
        <f t="shared" si="76"/>
        <v>1.6379310344827587</v>
      </c>
      <c r="AC96" s="3">
        <f t="shared" si="76"/>
        <v>1.0510510510510511</v>
      </c>
      <c r="AD96" s="3">
        <f t="shared" si="76"/>
        <v>0.54525627044711011</v>
      </c>
      <c r="AE96" s="3">
        <f t="shared" si="76"/>
        <v>0</v>
      </c>
      <c r="AF96" s="3">
        <f t="shared" si="76"/>
        <v>0.46511627906976744</v>
      </c>
      <c r="AG96" s="3">
        <f t="shared" si="76"/>
        <v>3.9814814814814818</v>
      </c>
      <c r="AH96" s="3">
        <f t="shared" si="76"/>
        <v>1.0928961748633881</v>
      </c>
      <c r="AI96" s="3">
        <f t="shared" si="76"/>
        <v>5.6273062730627306</v>
      </c>
      <c r="AJ96" s="3">
        <f t="shared" si="76"/>
        <v>0.64870259481037917</v>
      </c>
      <c r="AK96" s="3">
        <f t="shared" si="76"/>
        <v>6.178861788617886</v>
      </c>
      <c r="AL96" s="3">
        <f t="shared" si="76"/>
        <v>0</v>
      </c>
      <c r="AM96" s="3">
        <f t="shared" si="76"/>
        <v>0</v>
      </c>
      <c r="AN96" s="3">
        <f t="shared" si="76"/>
        <v>2.5974025974025974</v>
      </c>
      <c r="AO96" s="3">
        <f t="shared" si="76"/>
        <v>0</v>
      </c>
      <c r="AP96" s="3">
        <f t="shared" si="76"/>
        <v>0.29197080291970801</v>
      </c>
      <c r="AQ96" s="3">
        <f t="shared" si="76"/>
        <v>0</v>
      </c>
      <c r="AR96" s="3">
        <f t="shared" si="76"/>
        <v>0</v>
      </c>
      <c r="AS96" s="3">
        <f t="shared" si="76"/>
        <v>0</v>
      </c>
      <c r="AT96" s="3">
        <f t="shared" si="76"/>
        <v>0</v>
      </c>
      <c r="AU96" s="3">
        <f t="shared" si="76"/>
        <v>0</v>
      </c>
      <c r="AV96" s="3">
        <f t="shared" si="76"/>
        <v>0</v>
      </c>
      <c r="AW96" s="3">
        <f t="shared" si="76"/>
        <v>0</v>
      </c>
      <c r="AX96" s="3">
        <f t="shared" si="76"/>
        <v>0</v>
      </c>
      <c r="AY96" s="3">
        <f t="shared" si="76"/>
        <v>0.48010973936899864</v>
      </c>
      <c r="AZ96" s="3">
        <f t="shared" si="76"/>
        <v>2.6963657678780772</v>
      </c>
      <c r="BA96" s="3">
        <f t="shared" si="76"/>
        <v>0</v>
      </c>
      <c r="BB96" s="3">
        <f t="shared" si="76"/>
        <v>1.9954819277108431</v>
      </c>
      <c r="BC96" s="3">
        <f t="shared" si="76"/>
        <v>3.0386740331491713</v>
      </c>
      <c r="BD96" s="3">
        <f t="shared" si="76"/>
        <v>0</v>
      </c>
      <c r="BE96" s="3">
        <f t="shared" si="76"/>
        <v>0</v>
      </c>
      <c r="BF96" s="3">
        <f t="shared" si="76"/>
        <v>0</v>
      </c>
      <c r="BG96" s="3">
        <f t="shared" si="76"/>
        <v>4.9067713444553483E-2</v>
      </c>
      <c r="BH96" s="3">
        <f t="shared" si="76"/>
        <v>4.1884816753926701</v>
      </c>
      <c r="BI96" s="3">
        <f t="shared" si="76"/>
        <v>7.1031236628155758</v>
      </c>
      <c r="BJ96" s="3">
        <f t="shared" si="76"/>
        <v>0.44671346522016592</v>
      </c>
      <c r="BK96" s="3">
        <f t="shared" si="76"/>
        <v>4.7071129707112966</v>
      </c>
      <c r="BL96" s="3">
        <f t="shared" si="76"/>
        <v>0</v>
      </c>
      <c r="BM96" s="3">
        <f t="shared" si="76"/>
        <v>3.7727272727272729</v>
      </c>
      <c r="BN96" s="3">
        <f t="shared" ref="BN96:DY99" si="83">(BN33-BN$11)/BN$11*100</f>
        <v>1.8728567660247954</v>
      </c>
      <c r="BO96" s="3">
        <f t="shared" si="83"/>
        <v>1.7957020900794818</v>
      </c>
      <c r="BP96" s="3">
        <f t="shared" si="83"/>
        <v>2.083333333333333</v>
      </c>
      <c r="BQ96" s="3">
        <f t="shared" si="83"/>
        <v>0</v>
      </c>
      <c r="BR96" s="3">
        <f t="shared" si="83"/>
        <v>2.3755656108597285</v>
      </c>
      <c r="BS96" s="3">
        <f t="shared" si="83"/>
        <v>6.7353407290015852</v>
      </c>
      <c r="BT96" s="3">
        <f t="shared" si="83"/>
        <v>2.6897788404064555</v>
      </c>
      <c r="BU96" s="3">
        <f t="shared" si="83"/>
        <v>5.7271780631725093</v>
      </c>
      <c r="BV96" s="3">
        <f t="shared" si="83"/>
        <v>1.3297872340425532</v>
      </c>
      <c r="BW96" s="3">
        <f t="shared" si="83"/>
        <v>0</v>
      </c>
      <c r="BX96" s="3">
        <f t="shared" si="83"/>
        <v>1.2254901960784315</v>
      </c>
      <c r="BY96" s="3">
        <f t="shared" si="83"/>
        <v>2.358490566037736</v>
      </c>
      <c r="BZ96" s="3">
        <f t="shared" si="83"/>
        <v>0.33613445378151263</v>
      </c>
      <c r="CA96" s="3">
        <f t="shared" si="83"/>
        <v>4.562043795620438</v>
      </c>
      <c r="CB96" s="3">
        <f t="shared" si="83"/>
        <v>0</v>
      </c>
      <c r="CC96" s="3">
        <f t="shared" si="83"/>
        <v>0</v>
      </c>
      <c r="CD96" s="3">
        <f t="shared" si="83"/>
        <v>0</v>
      </c>
      <c r="CE96" s="3">
        <f t="shared" si="83"/>
        <v>0</v>
      </c>
      <c r="CF96" s="3">
        <f t="shared" si="83"/>
        <v>0</v>
      </c>
      <c r="CG96" s="3">
        <f t="shared" si="83"/>
        <v>0</v>
      </c>
      <c r="CH96" s="3">
        <f t="shared" si="83"/>
        <v>0.76804915514592931</v>
      </c>
      <c r="CI96" s="3">
        <f t="shared" si="83"/>
        <v>0</v>
      </c>
      <c r="CJ96" s="3">
        <f t="shared" si="83"/>
        <v>2.4324324324324325</v>
      </c>
      <c r="CK96" s="3">
        <f t="shared" si="83"/>
        <v>4.0641711229946527</v>
      </c>
      <c r="CL96" s="3">
        <f t="shared" si="83"/>
        <v>0</v>
      </c>
      <c r="CM96" s="3">
        <f t="shared" si="83"/>
        <v>0</v>
      </c>
      <c r="CN96" s="3">
        <f t="shared" si="83"/>
        <v>0</v>
      </c>
      <c r="CO96" s="3">
        <f t="shared" si="83"/>
        <v>0</v>
      </c>
      <c r="CP96" s="3">
        <f t="shared" si="83"/>
        <v>9.0334236675700091E-2</v>
      </c>
      <c r="CQ96" s="3">
        <f t="shared" si="83"/>
        <v>0</v>
      </c>
      <c r="CR96" s="3">
        <f t="shared" si="83"/>
        <v>2.1505376344086025</v>
      </c>
      <c r="CS96" s="3">
        <f t="shared" si="83"/>
        <v>5.6797020484171323</v>
      </c>
      <c r="CT96" s="3">
        <f t="shared" si="83"/>
        <v>0</v>
      </c>
      <c r="CU96" s="3">
        <f t="shared" si="83"/>
        <v>0</v>
      </c>
      <c r="CV96" s="3">
        <f t="shared" si="83"/>
        <v>0</v>
      </c>
      <c r="CW96" s="3">
        <f t="shared" si="83"/>
        <v>0</v>
      </c>
      <c r="CX96" s="3">
        <f t="shared" si="83"/>
        <v>0</v>
      </c>
      <c r="CY96" s="3">
        <f t="shared" si="83"/>
        <v>0</v>
      </c>
      <c r="CZ96" s="3">
        <f t="shared" si="83"/>
        <v>0</v>
      </c>
      <c r="DA96" s="3">
        <f t="shared" si="83"/>
        <v>0</v>
      </c>
      <c r="DB96" s="3">
        <f t="shared" si="83"/>
        <v>1.1111111111111112</v>
      </c>
      <c r="DC96" s="3">
        <f t="shared" si="83"/>
        <v>5.8683584456780329</v>
      </c>
      <c r="DD96" s="3">
        <f t="shared" si="83"/>
        <v>0.8045977011494253</v>
      </c>
      <c r="DE96" s="3">
        <f t="shared" si="83"/>
        <v>7.7214231642694937</v>
      </c>
      <c r="DF96" s="3">
        <f t="shared" si="83"/>
        <v>0</v>
      </c>
      <c r="DG96" s="3">
        <f t="shared" si="83"/>
        <v>0.46875</v>
      </c>
      <c r="DH96" s="3">
        <f t="shared" si="83"/>
        <v>0</v>
      </c>
      <c r="DI96" s="3">
        <f t="shared" si="83"/>
        <v>1.2879484820607177</v>
      </c>
      <c r="DJ96" s="3">
        <f t="shared" si="83"/>
        <v>0</v>
      </c>
      <c r="DK96" s="3">
        <f t="shared" si="83"/>
        <v>2.6232114467408585</v>
      </c>
      <c r="DL96" s="3">
        <f t="shared" si="83"/>
        <v>0</v>
      </c>
      <c r="DM96" s="3">
        <f t="shared" si="83"/>
        <v>0</v>
      </c>
      <c r="DN96" s="3">
        <f t="shared" si="83"/>
        <v>0</v>
      </c>
      <c r="DO96" s="3">
        <f t="shared" si="83"/>
        <v>0</v>
      </c>
      <c r="DP96" s="3">
        <f t="shared" si="83"/>
        <v>0</v>
      </c>
      <c r="DQ96" s="3">
        <f t="shared" si="83"/>
        <v>0</v>
      </c>
      <c r="DR96" s="3">
        <f t="shared" si="83"/>
        <v>0</v>
      </c>
      <c r="DS96" s="3">
        <f t="shared" si="83"/>
        <v>0</v>
      </c>
      <c r="DT96" s="3">
        <f t="shared" si="83"/>
        <v>1.4412416851441241</v>
      </c>
      <c r="DU96" s="3">
        <f t="shared" si="83"/>
        <v>1.674052191038897</v>
      </c>
      <c r="DV96" s="3">
        <f t="shared" si="83"/>
        <v>0</v>
      </c>
      <c r="DW96" s="3">
        <f t="shared" si="83"/>
        <v>0</v>
      </c>
      <c r="DX96" s="3">
        <f t="shared" si="83"/>
        <v>0</v>
      </c>
      <c r="DY96" s="3">
        <f t="shared" si="83"/>
        <v>0</v>
      </c>
      <c r="DZ96" s="3">
        <f t="shared" si="80"/>
        <v>4.3878894251864857E-2</v>
      </c>
      <c r="EA96" s="3">
        <f t="shared" si="80"/>
        <v>2.6227678571428572</v>
      </c>
      <c r="EB96" s="3">
        <f t="shared" si="80"/>
        <v>3.2222222222222223</v>
      </c>
      <c r="EC96" s="3">
        <f t="shared" si="80"/>
        <v>4.7517123287671232</v>
      </c>
      <c r="ED96" s="3">
        <f t="shared" si="80"/>
        <v>2.0618556701030926</v>
      </c>
      <c r="EE96" s="3">
        <f t="shared" si="80"/>
        <v>0</v>
      </c>
      <c r="EF96" s="3">
        <f t="shared" si="80"/>
        <v>2.880658436213992</v>
      </c>
      <c r="EG96" s="3">
        <f t="shared" si="80"/>
        <v>2.1418020679468244</v>
      </c>
      <c r="EH96" s="3">
        <f t="shared" si="80"/>
        <v>1.639344262295082</v>
      </c>
      <c r="EI96" s="3">
        <f t="shared" si="80"/>
        <v>0.26838432635534087</v>
      </c>
      <c r="EJ96" s="3">
        <f t="shared" si="80"/>
        <v>1.2228260869565217</v>
      </c>
      <c r="EK96" s="3">
        <f t="shared" si="80"/>
        <v>3.583502366463827</v>
      </c>
      <c r="EL96" s="3">
        <f t="shared" si="80"/>
        <v>1.6167664670658684</v>
      </c>
      <c r="EM96" s="3">
        <f t="shared" si="80"/>
        <v>7.8040680780406806</v>
      </c>
      <c r="EN96" s="3">
        <f t="shared" si="80"/>
        <v>1.4550264550264549</v>
      </c>
      <c r="EO96" s="3">
        <f t="shared" si="80"/>
        <v>6.6210045662100452</v>
      </c>
      <c r="EP96" s="3">
        <f t="shared" si="80"/>
        <v>2.083333333333333</v>
      </c>
      <c r="EQ96" s="3">
        <f t="shared" si="80"/>
        <v>0</v>
      </c>
      <c r="ER96" s="3">
        <f t="shared" si="80"/>
        <v>1.7391304347826086</v>
      </c>
      <c r="ES96" s="3">
        <f t="shared" si="80"/>
        <v>0</v>
      </c>
      <c r="ET96" s="3">
        <f t="shared" si="80"/>
        <v>1.2658227848101267</v>
      </c>
      <c r="EU96" s="3">
        <f t="shared" si="80"/>
        <v>1.8922852983988356</v>
      </c>
      <c r="EV96" s="3">
        <f t="shared" si="80"/>
        <v>0</v>
      </c>
      <c r="EW96" s="3">
        <f t="shared" si="80"/>
        <v>0</v>
      </c>
      <c r="EX96" s="3">
        <f t="shared" si="80"/>
        <v>0</v>
      </c>
      <c r="EY96" s="3">
        <f t="shared" si="80"/>
        <v>0</v>
      </c>
      <c r="EZ96" s="3">
        <f t="shared" si="80"/>
        <v>0</v>
      </c>
      <c r="FA96" s="3">
        <f t="shared" si="80"/>
        <v>0</v>
      </c>
      <c r="FB96" s="3">
        <f t="shared" si="80"/>
        <v>0</v>
      </c>
      <c r="FC96" s="3">
        <f t="shared" si="80"/>
        <v>3.070175438596491</v>
      </c>
      <c r="FD96" s="3">
        <f t="shared" si="80"/>
        <v>2.2486772486772484</v>
      </c>
      <c r="FE96" s="3">
        <f t="shared" si="80"/>
        <v>0</v>
      </c>
      <c r="FF96" s="3">
        <f t="shared" si="80"/>
        <v>1.7241379310344827</v>
      </c>
      <c r="FG96" s="3">
        <f t="shared" si="80"/>
        <v>2.4208566108007448</v>
      </c>
      <c r="FH96" s="3">
        <f t="shared" si="80"/>
        <v>0</v>
      </c>
      <c r="FI96" s="3">
        <f t="shared" si="80"/>
        <v>0</v>
      </c>
      <c r="FJ96" s="3">
        <f t="shared" si="80"/>
        <v>0</v>
      </c>
      <c r="FK96" s="3">
        <f t="shared" si="80"/>
        <v>0</v>
      </c>
      <c r="FL96" s="3">
        <f t="shared" si="80"/>
        <v>1.7500000000000002</v>
      </c>
      <c r="FM96" s="3">
        <f t="shared" si="80"/>
        <v>3.0402629416598193</v>
      </c>
      <c r="FN96" s="3">
        <f t="shared" si="80"/>
        <v>0</v>
      </c>
      <c r="FO96" s="3">
        <f t="shared" si="80"/>
        <v>5.0373134328358207</v>
      </c>
      <c r="FP96" s="3">
        <f t="shared" si="80"/>
        <v>0</v>
      </c>
      <c r="FQ96" s="3">
        <f t="shared" si="80"/>
        <v>0.75642965204236012</v>
      </c>
      <c r="FR96" s="3">
        <f t="shared" si="80"/>
        <v>3.0113636363636362</v>
      </c>
      <c r="FS96" s="3">
        <f t="shared" si="80"/>
        <v>0</v>
      </c>
      <c r="FT96" s="3">
        <f t="shared" si="80"/>
        <v>1.6064257028112447</v>
      </c>
      <c r="FU96" s="3">
        <f t="shared" si="80"/>
        <v>4.6814044213263983</v>
      </c>
      <c r="FV96" s="3">
        <f t="shared" si="80"/>
        <v>1.8320610687022902</v>
      </c>
      <c r="FW96" s="3">
        <f t="shared" si="80"/>
        <v>5.5601659751037342</v>
      </c>
      <c r="FX96" s="3">
        <f t="shared" si="80"/>
        <v>1.7610062893081762</v>
      </c>
      <c r="FY96" s="3">
        <f t="shared" si="80"/>
        <v>7.6236263736263741</v>
      </c>
      <c r="FZ96" s="3">
        <f t="shared" si="80"/>
        <v>1.6304347826086956</v>
      </c>
      <c r="GA96" s="3">
        <f t="shared" si="80"/>
        <v>0</v>
      </c>
      <c r="GB96" s="3">
        <f t="shared" si="80"/>
        <v>1.9281332164767746</v>
      </c>
      <c r="GC96" s="3">
        <f t="shared" si="80"/>
        <v>4.156769596199525</v>
      </c>
      <c r="GD96" s="3">
        <f t="shared" si="80"/>
        <v>0</v>
      </c>
      <c r="GE96" s="3">
        <f t="shared" si="80"/>
        <v>0</v>
      </c>
      <c r="GF96" s="3">
        <f t="shared" si="80"/>
        <v>0</v>
      </c>
      <c r="GG96" s="3">
        <f t="shared" si="80"/>
        <v>0</v>
      </c>
      <c r="GH96" s="3">
        <f t="shared" si="80"/>
        <v>0</v>
      </c>
      <c r="GI96" s="3">
        <f t="shared" si="80"/>
        <v>0</v>
      </c>
      <c r="GJ96" s="3">
        <f t="shared" si="80"/>
        <v>0</v>
      </c>
      <c r="GK96" s="3">
        <f t="shared" si="80"/>
        <v>0</v>
      </c>
      <c r="GL96" s="3">
        <f t="shared" si="78"/>
        <v>0.33444816053511706</v>
      </c>
      <c r="GM96" s="3">
        <f t="shared" si="78"/>
        <v>3.3387622149837135</v>
      </c>
      <c r="GN96" s="3">
        <f t="shared" si="78"/>
        <v>2.5403028822667317</v>
      </c>
      <c r="GO96" s="3">
        <f t="shared" si="78"/>
        <v>2.3279875840662183</v>
      </c>
      <c r="GP96" s="3">
        <f t="shared" si="78"/>
        <v>0</v>
      </c>
      <c r="GQ96" s="3">
        <f t="shared" si="78"/>
        <v>0</v>
      </c>
      <c r="GR96" s="3">
        <f t="shared" si="78"/>
        <v>0</v>
      </c>
      <c r="GS96" s="3">
        <f t="shared" si="78"/>
        <v>0</v>
      </c>
      <c r="GT96" s="3">
        <f t="shared" si="78"/>
        <v>0.89485458612975388</v>
      </c>
      <c r="GU96" s="3">
        <f t="shared" si="78"/>
        <v>0</v>
      </c>
      <c r="GV96" s="3">
        <f t="shared" si="78"/>
        <v>5.7371096586782864</v>
      </c>
      <c r="GW96" s="3">
        <f t="shared" si="78"/>
        <v>5.6812933025404151</v>
      </c>
      <c r="GX96" s="3">
        <f t="shared" si="78"/>
        <v>0.17123287671232876</v>
      </c>
      <c r="GY96" s="3">
        <f t="shared" si="78"/>
        <v>0</v>
      </c>
      <c r="GZ96" s="3">
        <f t="shared" si="78"/>
        <v>0</v>
      </c>
      <c r="HA96" s="3">
        <f t="shared" si="78"/>
        <v>1.5108924806746311</v>
      </c>
      <c r="HB96" s="3">
        <f t="shared" si="78"/>
        <v>1.6313680595306239</v>
      </c>
      <c r="HC96" s="3">
        <f t="shared" si="78"/>
        <v>0</v>
      </c>
      <c r="HD96" s="3">
        <f t="shared" si="78"/>
        <v>0.6467661691542288</v>
      </c>
      <c r="HE96" s="3">
        <f t="shared" si="78"/>
        <v>5.6660638939119954</v>
      </c>
      <c r="HF96" s="3">
        <f t="shared" si="78"/>
        <v>1.809954751131222</v>
      </c>
      <c r="HG96" s="3">
        <f t="shared" si="78"/>
        <v>4.5084996304508493</v>
      </c>
      <c r="HH96" s="3">
        <f t="shared" si="78"/>
        <v>1.2455516014234875</v>
      </c>
      <c r="HI96" s="3">
        <f t="shared" si="78"/>
        <v>4.1870415647921755</v>
      </c>
      <c r="HJ96" s="3">
        <f t="shared" si="78"/>
        <v>1.3953488372093024</v>
      </c>
      <c r="HK96" s="3">
        <f t="shared" si="78"/>
        <v>0.8875739644970414</v>
      </c>
      <c r="HL96" s="3">
        <f t="shared" si="78"/>
        <v>1.7543859649122806</v>
      </c>
      <c r="HM96" s="3">
        <f t="shared" si="78"/>
        <v>0</v>
      </c>
      <c r="HN96" s="3">
        <f t="shared" si="78"/>
        <v>2.2865853658536586</v>
      </c>
      <c r="HO96" s="3">
        <f t="shared" si="78"/>
        <v>0</v>
      </c>
      <c r="HP96" s="3">
        <f t="shared" si="78"/>
        <v>0</v>
      </c>
      <c r="HQ96" s="3">
        <f t="shared" si="78"/>
        <v>0</v>
      </c>
      <c r="HR96" s="3">
        <f t="shared" si="78"/>
        <v>0</v>
      </c>
      <c r="HS96" s="3">
        <f t="shared" si="78"/>
        <v>0</v>
      </c>
      <c r="HT96" s="3">
        <f t="shared" si="78"/>
        <v>0</v>
      </c>
      <c r="HU96" s="3">
        <f t="shared" si="78"/>
        <v>0</v>
      </c>
      <c r="HV96" s="3">
        <f t="shared" si="78"/>
        <v>0</v>
      </c>
      <c r="HW96" s="3">
        <f t="shared" si="78"/>
        <v>2</v>
      </c>
      <c r="HX96" s="3">
        <f t="shared" si="78"/>
        <v>2.147239263803681</v>
      </c>
      <c r="HY96" s="3">
        <f t="shared" si="78"/>
        <v>0</v>
      </c>
      <c r="HZ96" s="3">
        <f t="shared" si="78"/>
        <v>0.28985507246376813</v>
      </c>
      <c r="IA96" s="3">
        <f t="shared" si="78"/>
        <v>0</v>
      </c>
      <c r="IB96" s="3">
        <f t="shared" si="78"/>
        <v>0</v>
      </c>
      <c r="IC96" s="3">
        <f t="shared" si="78"/>
        <v>0</v>
      </c>
      <c r="ID96" s="3">
        <f t="shared" si="78"/>
        <v>0</v>
      </c>
      <c r="IE96" s="3">
        <f t="shared" si="78"/>
        <v>1.3173652694610778</v>
      </c>
      <c r="IF96" s="3">
        <f t="shared" si="78"/>
        <v>1.8328445747800588</v>
      </c>
      <c r="IG96" s="3">
        <f t="shared" si="78"/>
        <v>3.5714285714285712</v>
      </c>
      <c r="IH96" s="3">
        <f t="shared" si="78"/>
        <v>0</v>
      </c>
      <c r="II96" s="3">
        <f t="shared" si="78"/>
        <v>3.8596491228070176</v>
      </c>
      <c r="IJ96" s="3">
        <f t="shared" si="78"/>
        <v>0.70810385523210073</v>
      </c>
      <c r="IK96" s="3">
        <f t="shared" si="78"/>
        <v>1.9176136363636365</v>
      </c>
      <c r="IL96" s="3">
        <f t="shared" si="78"/>
        <v>0</v>
      </c>
      <c r="IM96" s="3">
        <f t="shared" si="78"/>
        <v>0</v>
      </c>
      <c r="IN96" s="3">
        <f t="shared" si="78"/>
        <v>0</v>
      </c>
      <c r="IO96" s="3">
        <f t="shared" si="78"/>
        <v>0</v>
      </c>
      <c r="IP96" s="3">
        <f t="shared" si="78"/>
        <v>2.1238938053097343</v>
      </c>
      <c r="IQ96" s="3">
        <f t="shared" si="78"/>
        <v>7.8001752848378612</v>
      </c>
      <c r="IR96" s="3">
        <f t="shared" si="78"/>
        <v>0.81018518518518512</v>
      </c>
      <c r="IS96" s="3">
        <f t="shared" si="78"/>
        <v>9.8765432098765427</v>
      </c>
      <c r="IT96" s="3">
        <f t="shared" si="78"/>
        <v>0</v>
      </c>
      <c r="IU96" s="3">
        <f t="shared" si="78"/>
        <v>1.7825311942959003</v>
      </c>
      <c r="IV96" s="3">
        <f t="shared" si="78"/>
        <v>2.8735632183908044</v>
      </c>
      <c r="IW96" s="3">
        <f t="shared" si="78"/>
        <v>0</v>
      </c>
      <c r="IX96" s="3">
        <f t="shared" si="54"/>
        <v>0.23961661341853036</v>
      </c>
      <c r="IY96" s="3">
        <f t="shared" si="54"/>
        <v>0</v>
      </c>
      <c r="IZ96" s="3">
        <f t="shared" si="54"/>
        <v>0</v>
      </c>
      <c r="JA96" s="3">
        <f t="shared" si="51"/>
        <v>0</v>
      </c>
      <c r="JB96" s="3">
        <f t="shared" si="81"/>
        <v>0</v>
      </c>
      <c r="JC96" s="3">
        <f t="shared" si="81"/>
        <v>0</v>
      </c>
      <c r="JD96" s="3">
        <f t="shared" si="81"/>
        <v>0</v>
      </c>
      <c r="JE96" s="3">
        <f t="shared" si="81"/>
        <v>0</v>
      </c>
      <c r="JF96" s="3">
        <f t="shared" si="81"/>
        <v>1.0416666666666665</v>
      </c>
      <c r="JG96" s="3">
        <f t="shared" si="81"/>
        <v>0</v>
      </c>
      <c r="JH96" s="3">
        <f t="shared" si="81"/>
        <v>0</v>
      </c>
      <c r="JI96" s="3">
        <f t="shared" si="81"/>
        <v>0</v>
      </c>
      <c r="JJ96" s="3">
        <f t="shared" si="81"/>
        <v>0</v>
      </c>
      <c r="JK96" s="3">
        <f t="shared" si="81"/>
        <v>0.96111839231105278</v>
      </c>
      <c r="JL96" s="3">
        <f t="shared" si="81"/>
        <v>0</v>
      </c>
      <c r="JM96" s="3">
        <f t="shared" si="81"/>
        <v>0</v>
      </c>
      <c r="JN96" s="3">
        <f t="shared" si="81"/>
        <v>3.9745627980922099E-2</v>
      </c>
      <c r="JO96" s="3">
        <f t="shared" si="81"/>
        <v>0.91556459816887081</v>
      </c>
      <c r="JP96" s="3">
        <f t="shared" si="81"/>
        <v>4.688090737240076</v>
      </c>
      <c r="JQ96" s="3">
        <f t="shared" si="81"/>
        <v>10.380460310004697</v>
      </c>
      <c r="JR96" s="3">
        <f t="shared" si="81"/>
        <v>0</v>
      </c>
      <c r="JS96" s="3">
        <f t="shared" si="81"/>
        <v>3.5110533159947983</v>
      </c>
      <c r="JT96" s="3">
        <f t="shared" si="81"/>
        <v>0.68189566996249573</v>
      </c>
      <c r="JU96" s="3">
        <f t="shared" si="81"/>
        <v>0</v>
      </c>
      <c r="JV96" s="3">
        <f t="shared" si="81"/>
        <v>2.1552843417294207</v>
      </c>
      <c r="JW96" s="3">
        <f t="shared" si="81"/>
        <v>0</v>
      </c>
      <c r="JX96" s="3">
        <f t="shared" si="81"/>
        <v>0.97031963470319627</v>
      </c>
      <c r="JY96" s="3">
        <f t="shared" si="81"/>
        <v>2.4983563445101908</v>
      </c>
      <c r="JZ96" s="3">
        <f t="shared" si="81"/>
        <v>1.5364061456245823</v>
      </c>
      <c r="KA96" s="3">
        <f t="shared" si="81"/>
        <v>4.4161676646706587</v>
      </c>
      <c r="KB96" s="3">
        <f t="shared" si="81"/>
        <v>2.746947835738069</v>
      </c>
      <c r="KC96" s="3">
        <f t="shared" si="81"/>
        <v>6.6104990278677906</v>
      </c>
      <c r="KD96" s="3">
        <f t="shared" si="81"/>
        <v>0</v>
      </c>
      <c r="KE96" s="3">
        <f t="shared" si="81"/>
        <v>5.1428571428571423</v>
      </c>
      <c r="KF96" s="3">
        <f t="shared" si="81"/>
        <v>0</v>
      </c>
      <c r="KG96" s="3">
        <f t="shared" si="81"/>
        <v>4.5662100456620998</v>
      </c>
      <c r="KH96" s="3">
        <f t="shared" si="81"/>
        <v>0</v>
      </c>
      <c r="KI96" s="3">
        <f t="shared" si="81"/>
        <v>4.3624161073825505</v>
      </c>
      <c r="KJ96" s="3">
        <f t="shared" si="81"/>
        <v>0</v>
      </c>
      <c r="KK96" s="3">
        <f t="shared" si="81"/>
        <v>0</v>
      </c>
      <c r="KL96" s="3">
        <f t="shared" si="81"/>
        <v>0</v>
      </c>
      <c r="KM96" s="3">
        <f t="shared" si="81"/>
        <v>0</v>
      </c>
      <c r="KN96" s="3">
        <f t="shared" si="81"/>
        <v>0</v>
      </c>
      <c r="KO96" s="3">
        <f t="shared" si="81"/>
        <v>0</v>
      </c>
      <c r="KP96" s="3">
        <f t="shared" si="81"/>
        <v>0</v>
      </c>
      <c r="KQ96" s="3">
        <f t="shared" si="81"/>
        <v>5.4545454545454541</v>
      </c>
      <c r="KR96" s="3">
        <f t="shared" si="81"/>
        <v>0.25510204081632654</v>
      </c>
      <c r="KS96" s="3">
        <f t="shared" si="81"/>
        <v>1.6797312430011198</v>
      </c>
      <c r="KT96" s="3">
        <f t="shared" si="81"/>
        <v>0</v>
      </c>
      <c r="KU96" s="3">
        <f t="shared" si="81"/>
        <v>0</v>
      </c>
      <c r="KV96" s="3">
        <f t="shared" si="81"/>
        <v>0</v>
      </c>
      <c r="KW96" s="3">
        <f t="shared" si="81"/>
        <v>0</v>
      </c>
      <c r="KX96" s="3">
        <f t="shared" si="81"/>
        <v>0</v>
      </c>
      <c r="KY96" s="3">
        <f t="shared" si="81"/>
        <v>0</v>
      </c>
      <c r="KZ96" s="3">
        <f t="shared" si="81"/>
        <v>2.271062271062271</v>
      </c>
      <c r="LA96" s="3">
        <f t="shared" si="81"/>
        <v>7.2649572649572658</v>
      </c>
      <c r="LB96" s="3">
        <f t="shared" si="81"/>
        <v>2.4096385542168677</v>
      </c>
      <c r="LC96" s="3">
        <f t="shared" si="81"/>
        <v>0</v>
      </c>
      <c r="LD96" s="3">
        <f t="shared" si="81"/>
        <v>0.32679738562091504</v>
      </c>
      <c r="LE96" s="3">
        <f t="shared" si="81"/>
        <v>0.7569386038687973</v>
      </c>
      <c r="LF96" s="3">
        <f t="shared" si="81"/>
        <v>0</v>
      </c>
      <c r="LG96" s="3">
        <f t="shared" si="81"/>
        <v>0</v>
      </c>
      <c r="LH96" s="3">
        <f t="shared" si="81"/>
        <v>0</v>
      </c>
      <c r="LI96" s="3">
        <f t="shared" si="81"/>
        <v>2.7878787878787876</v>
      </c>
      <c r="LJ96" s="3">
        <f t="shared" si="81"/>
        <v>2.0516717325227964</v>
      </c>
      <c r="LK96" s="3">
        <f t="shared" si="81"/>
        <v>3.6290322580645165</v>
      </c>
      <c r="LL96" s="3">
        <f t="shared" si="81"/>
        <v>1.8932874354561102</v>
      </c>
      <c r="LM96" s="3">
        <f t="shared" si="81"/>
        <v>5.9071729957805905</v>
      </c>
      <c r="LN96" s="3">
        <f t="shared" si="72"/>
        <v>0</v>
      </c>
      <c r="LO96" s="3">
        <f t="shared" si="72"/>
        <v>0</v>
      </c>
      <c r="LP96" s="3">
        <f t="shared" ref="LP96:MW96" si="84">(LP33-LP$11)/LP$11*100</f>
        <v>2.7777777777777777</v>
      </c>
      <c r="LQ96" s="3">
        <f t="shared" si="84"/>
        <v>0</v>
      </c>
      <c r="LR96" s="3">
        <f t="shared" si="84"/>
        <v>1.1824324324324325</v>
      </c>
      <c r="LS96" s="3">
        <f t="shared" si="84"/>
        <v>4.2056074766355138</v>
      </c>
      <c r="LT96" s="3">
        <f t="shared" si="84"/>
        <v>0</v>
      </c>
      <c r="LU96" s="3">
        <f t="shared" si="84"/>
        <v>0</v>
      </c>
      <c r="LV96" s="3">
        <f t="shared" si="84"/>
        <v>0</v>
      </c>
      <c r="LW96" s="3">
        <f t="shared" si="84"/>
        <v>0</v>
      </c>
      <c r="LX96" s="3">
        <f t="shared" si="84"/>
        <v>0</v>
      </c>
      <c r="LY96" s="3">
        <f t="shared" si="84"/>
        <v>0</v>
      </c>
      <c r="LZ96" s="3">
        <f t="shared" si="84"/>
        <v>1.6858917480035491</v>
      </c>
      <c r="MA96" s="3">
        <f t="shared" si="84"/>
        <v>0</v>
      </c>
      <c r="MB96" s="3">
        <f t="shared" si="84"/>
        <v>1.9445794846864366</v>
      </c>
      <c r="MC96" s="3">
        <f t="shared" si="84"/>
        <v>0</v>
      </c>
      <c r="MD96" s="3">
        <f t="shared" si="84"/>
        <v>0.88372093023255816</v>
      </c>
      <c r="ME96" s="3">
        <f t="shared" si="84"/>
        <v>0</v>
      </c>
      <c r="MF96" s="3">
        <f t="shared" si="84"/>
        <v>0</v>
      </c>
      <c r="MG96" s="3">
        <f t="shared" si="84"/>
        <v>0</v>
      </c>
      <c r="MH96" s="3">
        <f t="shared" si="84"/>
        <v>1.7543859649122806</v>
      </c>
      <c r="MI96" s="3">
        <f t="shared" si="84"/>
        <v>0</v>
      </c>
      <c r="MJ96" s="3">
        <f t="shared" si="84"/>
        <v>4.3036946812829875</v>
      </c>
      <c r="MK96" s="3">
        <f t="shared" si="84"/>
        <v>3.6805011746280343</v>
      </c>
      <c r="ML96" s="3">
        <f t="shared" si="84"/>
        <v>1.662971175166297</v>
      </c>
      <c r="MM96" s="3">
        <f t="shared" si="84"/>
        <v>0</v>
      </c>
      <c r="MN96" s="3">
        <f t="shared" si="84"/>
        <v>0.69906790945406128</v>
      </c>
      <c r="MO96" s="3">
        <f t="shared" si="84"/>
        <v>3.303303303303303</v>
      </c>
      <c r="MP96" s="3">
        <f t="shared" si="84"/>
        <v>0</v>
      </c>
      <c r="MQ96" s="3">
        <f t="shared" si="84"/>
        <v>0</v>
      </c>
      <c r="MR96" s="3">
        <f t="shared" si="84"/>
        <v>1.3215859030837005</v>
      </c>
      <c r="MS96" s="3">
        <f t="shared" si="84"/>
        <v>0</v>
      </c>
      <c r="MT96" s="3">
        <f t="shared" si="84"/>
        <v>2.2596843615494979</v>
      </c>
      <c r="MU96" s="3">
        <f t="shared" si="84"/>
        <v>4.1017850360805168</v>
      </c>
      <c r="MV96" s="3">
        <f t="shared" si="84"/>
        <v>1.9521082769390943</v>
      </c>
      <c r="MW96" s="3">
        <f t="shared" si="84"/>
        <v>5.8405438813349813</v>
      </c>
      <c r="MX96" s="3"/>
      <c r="MY96" s="3"/>
    </row>
    <row r="97" spans="1:363" x14ac:dyDescent="0.3">
      <c r="A97" s="3">
        <v>23</v>
      </c>
      <c r="B97" s="3">
        <f t="shared" si="33"/>
        <v>1.1494252873563218</v>
      </c>
      <c r="C97" s="3">
        <f t="shared" ref="C97:BN100" si="85">(C34-C$11)/C$11*100</f>
        <v>0</v>
      </c>
      <c r="D97" s="3">
        <f t="shared" si="85"/>
        <v>0.21186440677966101</v>
      </c>
      <c r="E97" s="3">
        <f t="shared" si="85"/>
        <v>7.3394495412844041</v>
      </c>
      <c r="F97" s="3">
        <f t="shared" si="85"/>
        <v>0</v>
      </c>
      <c r="G97" s="3">
        <f t="shared" si="85"/>
        <v>2.1032504780114722</v>
      </c>
      <c r="H97" s="3">
        <f t="shared" si="85"/>
        <v>0</v>
      </c>
      <c r="I97" s="3">
        <f t="shared" si="85"/>
        <v>0</v>
      </c>
      <c r="J97" s="3">
        <f t="shared" si="85"/>
        <v>0</v>
      </c>
      <c r="K97" s="3">
        <f t="shared" si="85"/>
        <v>0</v>
      </c>
      <c r="L97" s="3">
        <f t="shared" si="85"/>
        <v>0</v>
      </c>
      <c r="M97" s="3">
        <f t="shared" si="85"/>
        <v>0</v>
      </c>
      <c r="N97" s="3">
        <f t="shared" si="85"/>
        <v>1.4678899082568808</v>
      </c>
      <c r="O97" s="3">
        <f t="shared" si="85"/>
        <v>1.0373443983402488</v>
      </c>
      <c r="P97" s="3">
        <f t="shared" si="85"/>
        <v>1.4619883040935671</v>
      </c>
      <c r="Q97" s="3">
        <f t="shared" si="85"/>
        <v>0</v>
      </c>
      <c r="R97" s="3">
        <f t="shared" si="85"/>
        <v>0.38684719535783368</v>
      </c>
      <c r="S97" s="3">
        <f t="shared" si="85"/>
        <v>2.0361990950226243</v>
      </c>
      <c r="T97" s="3">
        <f t="shared" si="85"/>
        <v>0</v>
      </c>
      <c r="U97" s="3">
        <f t="shared" si="85"/>
        <v>0</v>
      </c>
      <c r="V97" s="3">
        <f t="shared" si="85"/>
        <v>0</v>
      </c>
      <c r="W97" s="3">
        <f t="shared" si="85"/>
        <v>3.7962962962962963</v>
      </c>
      <c r="X97" s="3">
        <f t="shared" si="85"/>
        <v>0.69767441860465118</v>
      </c>
      <c r="Y97" s="3">
        <f t="shared" si="85"/>
        <v>8.2608695652173907</v>
      </c>
      <c r="Z97" s="3">
        <f t="shared" si="85"/>
        <v>0.28490028490028491</v>
      </c>
      <c r="AA97" s="3">
        <f t="shared" si="85"/>
        <v>0.66152149944873206</v>
      </c>
      <c r="AB97" s="3">
        <f t="shared" si="85"/>
        <v>1.7241379310344827</v>
      </c>
      <c r="AC97" s="3">
        <f t="shared" si="85"/>
        <v>1.2012012012012012</v>
      </c>
      <c r="AD97" s="3">
        <f t="shared" si="85"/>
        <v>0.32715376226826609</v>
      </c>
      <c r="AE97" s="3">
        <f t="shared" si="85"/>
        <v>0</v>
      </c>
      <c r="AF97" s="3">
        <f t="shared" si="85"/>
        <v>0.46511627906976744</v>
      </c>
      <c r="AG97" s="3">
        <f t="shared" si="85"/>
        <v>3.9814814814814818</v>
      </c>
      <c r="AH97" s="3">
        <f t="shared" si="85"/>
        <v>1.0382513661202186</v>
      </c>
      <c r="AI97" s="3">
        <f t="shared" si="85"/>
        <v>3.6900369003690034</v>
      </c>
      <c r="AJ97" s="3">
        <f t="shared" si="85"/>
        <v>0.64870259481037917</v>
      </c>
      <c r="AK97" s="3">
        <f t="shared" si="85"/>
        <v>7.1544715447154479</v>
      </c>
      <c r="AL97" s="3">
        <f t="shared" si="85"/>
        <v>0</v>
      </c>
      <c r="AM97" s="3">
        <f t="shared" si="85"/>
        <v>0</v>
      </c>
      <c r="AN97" s="3">
        <f t="shared" si="85"/>
        <v>3.1539888682745829</v>
      </c>
      <c r="AO97" s="3">
        <f t="shared" si="85"/>
        <v>0</v>
      </c>
      <c r="AP97" s="3">
        <f t="shared" si="85"/>
        <v>0.36496350364963503</v>
      </c>
      <c r="AQ97" s="3">
        <f t="shared" si="85"/>
        <v>0</v>
      </c>
      <c r="AR97" s="3">
        <f t="shared" si="85"/>
        <v>0</v>
      </c>
      <c r="AS97" s="3">
        <f t="shared" si="85"/>
        <v>0</v>
      </c>
      <c r="AT97" s="3">
        <f t="shared" si="85"/>
        <v>0</v>
      </c>
      <c r="AU97" s="3">
        <f t="shared" si="85"/>
        <v>0</v>
      </c>
      <c r="AV97" s="3">
        <f t="shared" si="85"/>
        <v>0</v>
      </c>
      <c r="AW97" s="3">
        <f t="shared" si="85"/>
        <v>0</v>
      </c>
      <c r="AX97" s="3">
        <f t="shared" si="85"/>
        <v>0</v>
      </c>
      <c r="AY97" s="3">
        <f t="shared" si="85"/>
        <v>0.82304526748971196</v>
      </c>
      <c r="AZ97" s="3">
        <f t="shared" si="85"/>
        <v>2.6377491207502932</v>
      </c>
      <c r="BA97" s="3">
        <f t="shared" si="85"/>
        <v>0</v>
      </c>
      <c r="BB97" s="3">
        <f t="shared" si="85"/>
        <v>1.8448795180722892</v>
      </c>
      <c r="BC97" s="3">
        <f t="shared" si="85"/>
        <v>3.2688766114180479</v>
      </c>
      <c r="BD97" s="3">
        <f t="shared" si="85"/>
        <v>0</v>
      </c>
      <c r="BE97" s="3">
        <f t="shared" si="85"/>
        <v>0</v>
      </c>
      <c r="BF97" s="3">
        <f t="shared" si="85"/>
        <v>0</v>
      </c>
      <c r="BG97" s="3">
        <f t="shared" si="85"/>
        <v>0</v>
      </c>
      <c r="BH97" s="3">
        <f t="shared" si="85"/>
        <v>4.2287555376560615</v>
      </c>
      <c r="BI97" s="3">
        <f t="shared" si="85"/>
        <v>6.8035943517329915</v>
      </c>
      <c r="BJ97" s="3">
        <f t="shared" si="85"/>
        <v>0.31908104658583281</v>
      </c>
      <c r="BK97" s="3">
        <f t="shared" si="85"/>
        <v>4.3933054393305433</v>
      </c>
      <c r="BL97" s="3">
        <f t="shared" si="85"/>
        <v>0</v>
      </c>
      <c r="BM97" s="3">
        <f t="shared" si="85"/>
        <v>4.1363636363636367</v>
      </c>
      <c r="BN97" s="3">
        <f t="shared" si="85"/>
        <v>1.7409654444737535</v>
      </c>
      <c r="BO97" s="3">
        <f t="shared" si="83"/>
        <v>1.619075654989697</v>
      </c>
      <c r="BP97" s="3">
        <f t="shared" si="83"/>
        <v>1.9345238095238095</v>
      </c>
      <c r="BQ97" s="3">
        <f t="shared" si="83"/>
        <v>0</v>
      </c>
      <c r="BR97" s="3">
        <f t="shared" si="83"/>
        <v>2.5263951734539969</v>
      </c>
      <c r="BS97" s="3">
        <f t="shared" si="83"/>
        <v>5.824088748019018</v>
      </c>
      <c r="BT97" s="3">
        <f t="shared" si="83"/>
        <v>2.6897788404064555</v>
      </c>
      <c r="BU97" s="3">
        <f t="shared" si="83"/>
        <v>5.3800763623741759</v>
      </c>
      <c r="BV97" s="3">
        <f t="shared" si="83"/>
        <v>1.3297872340425532</v>
      </c>
      <c r="BW97" s="3">
        <f t="shared" si="83"/>
        <v>0</v>
      </c>
      <c r="BX97" s="3">
        <f t="shared" si="83"/>
        <v>1.2254901960784315</v>
      </c>
      <c r="BY97" s="3">
        <f t="shared" si="83"/>
        <v>2.358490566037736</v>
      </c>
      <c r="BZ97" s="3">
        <f t="shared" si="83"/>
        <v>0.16806722689075632</v>
      </c>
      <c r="CA97" s="3">
        <f t="shared" si="83"/>
        <v>4.562043795620438</v>
      </c>
      <c r="CB97" s="3">
        <f t="shared" si="83"/>
        <v>0</v>
      </c>
      <c r="CC97" s="3">
        <f t="shared" si="83"/>
        <v>0</v>
      </c>
      <c r="CD97" s="3">
        <f t="shared" si="83"/>
        <v>0</v>
      </c>
      <c r="CE97" s="3">
        <f t="shared" si="83"/>
        <v>0</v>
      </c>
      <c r="CF97" s="3">
        <f t="shared" si="83"/>
        <v>0</v>
      </c>
      <c r="CG97" s="3">
        <f t="shared" si="83"/>
        <v>0</v>
      </c>
      <c r="CH97" s="3">
        <f t="shared" si="83"/>
        <v>0.76804915514592931</v>
      </c>
      <c r="CI97" s="3">
        <f t="shared" si="83"/>
        <v>0</v>
      </c>
      <c r="CJ97" s="3">
        <f t="shared" si="83"/>
        <v>2.4324324324324325</v>
      </c>
      <c r="CK97" s="3">
        <f t="shared" si="83"/>
        <v>4.9197860962566846</v>
      </c>
      <c r="CL97" s="3">
        <f t="shared" si="83"/>
        <v>0</v>
      </c>
      <c r="CM97" s="3">
        <f t="shared" si="83"/>
        <v>0</v>
      </c>
      <c r="CN97" s="3">
        <f t="shared" si="83"/>
        <v>0</v>
      </c>
      <c r="CO97" s="3">
        <f t="shared" si="83"/>
        <v>0</v>
      </c>
      <c r="CP97" s="3">
        <f t="shared" si="83"/>
        <v>0.27100271002710025</v>
      </c>
      <c r="CQ97" s="3">
        <f t="shared" si="83"/>
        <v>0</v>
      </c>
      <c r="CR97" s="3">
        <f t="shared" si="83"/>
        <v>2.3655913978494625</v>
      </c>
      <c r="CS97" s="3">
        <f t="shared" si="83"/>
        <v>5.7728119180633151</v>
      </c>
      <c r="CT97" s="3">
        <f t="shared" si="83"/>
        <v>0</v>
      </c>
      <c r="CU97" s="3">
        <f t="shared" si="83"/>
        <v>0</v>
      </c>
      <c r="CV97" s="3">
        <f t="shared" si="83"/>
        <v>0</v>
      </c>
      <c r="CW97" s="3">
        <f t="shared" si="83"/>
        <v>0</v>
      </c>
      <c r="CX97" s="3">
        <f t="shared" si="83"/>
        <v>0</v>
      </c>
      <c r="CY97" s="3">
        <f t="shared" si="83"/>
        <v>0</v>
      </c>
      <c r="CZ97" s="3">
        <f t="shared" si="83"/>
        <v>0</v>
      </c>
      <c r="DA97" s="3">
        <f t="shared" si="83"/>
        <v>0</v>
      </c>
      <c r="DB97" s="3">
        <f t="shared" si="83"/>
        <v>1.1111111111111112</v>
      </c>
      <c r="DC97" s="3">
        <f t="shared" si="83"/>
        <v>4.9960348929421095</v>
      </c>
      <c r="DD97" s="3">
        <f t="shared" si="83"/>
        <v>0.63218390804597702</v>
      </c>
      <c r="DE97" s="3">
        <f t="shared" si="83"/>
        <v>7.948523845571537</v>
      </c>
      <c r="DF97" s="3">
        <f t="shared" si="83"/>
        <v>0</v>
      </c>
      <c r="DG97" s="3">
        <f t="shared" si="83"/>
        <v>0.9375</v>
      </c>
      <c r="DH97" s="3">
        <f t="shared" si="83"/>
        <v>0</v>
      </c>
      <c r="DI97" s="3">
        <f t="shared" si="83"/>
        <v>0.27598896044158233</v>
      </c>
      <c r="DJ97" s="3">
        <f t="shared" si="83"/>
        <v>0</v>
      </c>
      <c r="DK97" s="3">
        <f t="shared" si="83"/>
        <v>2.066772655007949</v>
      </c>
      <c r="DL97" s="3">
        <f t="shared" si="83"/>
        <v>0</v>
      </c>
      <c r="DM97" s="3">
        <f t="shared" si="83"/>
        <v>0</v>
      </c>
      <c r="DN97" s="3">
        <f t="shared" si="83"/>
        <v>0</v>
      </c>
      <c r="DO97" s="3">
        <f t="shared" si="83"/>
        <v>0</v>
      </c>
      <c r="DP97" s="3">
        <f t="shared" si="83"/>
        <v>0</v>
      </c>
      <c r="DQ97" s="3">
        <f t="shared" si="83"/>
        <v>0</v>
      </c>
      <c r="DR97" s="3">
        <f t="shared" si="83"/>
        <v>0</v>
      </c>
      <c r="DS97" s="3">
        <f t="shared" si="83"/>
        <v>0</v>
      </c>
      <c r="DT97" s="3">
        <f t="shared" si="83"/>
        <v>1.6075388026607538</v>
      </c>
      <c r="DU97" s="3">
        <f t="shared" si="83"/>
        <v>2.0187099950763168</v>
      </c>
      <c r="DV97" s="3">
        <f t="shared" si="83"/>
        <v>0</v>
      </c>
      <c r="DW97" s="3">
        <f t="shared" si="83"/>
        <v>0</v>
      </c>
      <c r="DX97" s="3">
        <f t="shared" si="83"/>
        <v>0</v>
      </c>
      <c r="DY97" s="3">
        <f t="shared" si="83"/>
        <v>0</v>
      </c>
      <c r="DZ97" s="3">
        <f t="shared" si="80"/>
        <v>0.21939447125932429</v>
      </c>
      <c r="EA97" s="3">
        <f t="shared" si="80"/>
        <v>2.4553571428571428</v>
      </c>
      <c r="EB97" s="3">
        <f t="shared" si="80"/>
        <v>2.8518518518518521</v>
      </c>
      <c r="EC97" s="3">
        <f t="shared" si="80"/>
        <v>6.2928082191780828</v>
      </c>
      <c r="ED97" s="3">
        <f t="shared" si="80"/>
        <v>2.1993127147766325</v>
      </c>
      <c r="EE97" s="3">
        <f t="shared" si="80"/>
        <v>0</v>
      </c>
      <c r="EF97" s="3">
        <f t="shared" si="80"/>
        <v>2.2976680384087791</v>
      </c>
      <c r="EG97" s="3">
        <f t="shared" si="80"/>
        <v>1.4401772525849335</v>
      </c>
      <c r="EH97" s="3">
        <f t="shared" si="80"/>
        <v>1.639344262295082</v>
      </c>
      <c r="EI97" s="3">
        <f t="shared" si="80"/>
        <v>0.61728395061728392</v>
      </c>
      <c r="EJ97" s="3">
        <f t="shared" si="80"/>
        <v>0.81521739130434778</v>
      </c>
      <c r="EK97" s="3">
        <f t="shared" si="80"/>
        <v>4.1244083840432726</v>
      </c>
      <c r="EL97" s="3">
        <f t="shared" si="80"/>
        <v>1.437125748502994</v>
      </c>
      <c r="EM97" s="3">
        <f t="shared" si="80"/>
        <v>8.0531340805313398</v>
      </c>
      <c r="EN97" s="3">
        <f t="shared" si="80"/>
        <v>1.4021164021164021</v>
      </c>
      <c r="EO97" s="3">
        <f t="shared" si="80"/>
        <v>6.5883887801696019</v>
      </c>
      <c r="EP97" s="3">
        <f t="shared" si="80"/>
        <v>2.083333333333333</v>
      </c>
      <c r="EQ97" s="3">
        <f t="shared" si="80"/>
        <v>0</v>
      </c>
      <c r="ER97" s="3">
        <f t="shared" si="80"/>
        <v>1.7391304347826086</v>
      </c>
      <c r="ES97" s="3">
        <f t="shared" si="80"/>
        <v>0</v>
      </c>
      <c r="ET97" s="3">
        <f t="shared" si="80"/>
        <v>1.2658227848101267</v>
      </c>
      <c r="EU97" s="3">
        <f t="shared" si="80"/>
        <v>1.0189228529839884</v>
      </c>
      <c r="EV97" s="3">
        <f t="shared" si="80"/>
        <v>0</v>
      </c>
      <c r="EW97" s="3">
        <f t="shared" si="80"/>
        <v>0</v>
      </c>
      <c r="EX97" s="3">
        <f t="shared" si="80"/>
        <v>0</v>
      </c>
      <c r="EY97" s="3">
        <f t="shared" si="80"/>
        <v>0</v>
      </c>
      <c r="EZ97" s="3">
        <f t="shared" si="80"/>
        <v>0</v>
      </c>
      <c r="FA97" s="3">
        <f t="shared" si="80"/>
        <v>0</v>
      </c>
      <c r="FB97" s="3">
        <f t="shared" si="80"/>
        <v>0</v>
      </c>
      <c r="FC97" s="3">
        <f t="shared" si="80"/>
        <v>3.070175438596491</v>
      </c>
      <c r="FD97" s="3">
        <f t="shared" si="80"/>
        <v>1.984126984126984</v>
      </c>
      <c r="FE97" s="3">
        <f t="shared" si="80"/>
        <v>0</v>
      </c>
      <c r="FF97" s="3">
        <f t="shared" si="80"/>
        <v>1.7241379310344827</v>
      </c>
      <c r="FG97" s="3">
        <f t="shared" si="80"/>
        <v>2.2346368715083798</v>
      </c>
      <c r="FH97" s="3">
        <f t="shared" si="80"/>
        <v>0</v>
      </c>
      <c r="FI97" s="3">
        <f t="shared" si="80"/>
        <v>0</v>
      </c>
      <c r="FJ97" s="3">
        <f t="shared" si="80"/>
        <v>0</v>
      </c>
      <c r="FK97" s="3">
        <f t="shared" si="80"/>
        <v>0</v>
      </c>
      <c r="FL97" s="3">
        <f t="shared" si="80"/>
        <v>2</v>
      </c>
      <c r="FM97" s="3">
        <f t="shared" si="80"/>
        <v>2.8759244042728018</v>
      </c>
      <c r="FN97" s="3">
        <f t="shared" si="80"/>
        <v>0</v>
      </c>
      <c r="FO97" s="3">
        <f t="shared" si="80"/>
        <v>5.0373134328358207</v>
      </c>
      <c r="FP97" s="3">
        <f t="shared" si="80"/>
        <v>0</v>
      </c>
      <c r="FQ97" s="3">
        <f t="shared" si="80"/>
        <v>0.75642965204236012</v>
      </c>
      <c r="FR97" s="3">
        <f t="shared" si="80"/>
        <v>2.8977272727272725</v>
      </c>
      <c r="FS97" s="3">
        <f t="shared" si="80"/>
        <v>0</v>
      </c>
      <c r="FT97" s="3">
        <f t="shared" si="80"/>
        <v>1.7068273092369479</v>
      </c>
      <c r="FU97" s="3">
        <f t="shared" si="80"/>
        <v>4.6814044213263983</v>
      </c>
      <c r="FV97" s="3">
        <f t="shared" si="80"/>
        <v>1.2213740458015268</v>
      </c>
      <c r="FW97" s="3">
        <f t="shared" si="80"/>
        <v>5.4771784232365146</v>
      </c>
      <c r="FX97" s="3">
        <f t="shared" si="80"/>
        <v>1.8867924528301887</v>
      </c>
      <c r="FY97" s="3">
        <f t="shared" si="80"/>
        <v>8.6538461538461533</v>
      </c>
      <c r="FZ97" s="3">
        <f t="shared" si="80"/>
        <v>1.6304347826086956</v>
      </c>
      <c r="GA97" s="3">
        <f t="shared" si="80"/>
        <v>0</v>
      </c>
      <c r="GB97" s="3">
        <f t="shared" si="80"/>
        <v>1.9281332164767746</v>
      </c>
      <c r="GC97" s="3">
        <f t="shared" si="80"/>
        <v>4.0380047505938244</v>
      </c>
      <c r="GD97" s="3">
        <f t="shared" si="80"/>
        <v>0</v>
      </c>
      <c r="GE97" s="3">
        <f t="shared" si="80"/>
        <v>0</v>
      </c>
      <c r="GF97" s="3">
        <f t="shared" si="80"/>
        <v>0</v>
      </c>
      <c r="GG97" s="3">
        <f t="shared" si="80"/>
        <v>0</v>
      </c>
      <c r="GH97" s="3">
        <f t="shared" si="80"/>
        <v>0</v>
      </c>
      <c r="GI97" s="3">
        <f t="shared" si="80"/>
        <v>0</v>
      </c>
      <c r="GJ97" s="3">
        <f t="shared" si="80"/>
        <v>0</v>
      </c>
      <c r="GK97" s="3">
        <f t="shared" si="80"/>
        <v>0</v>
      </c>
      <c r="GL97" s="3">
        <f t="shared" si="78"/>
        <v>0.41806020066889632</v>
      </c>
      <c r="GM97" s="3">
        <f t="shared" si="78"/>
        <v>3.1758957654723128</v>
      </c>
      <c r="GN97" s="3">
        <f t="shared" si="78"/>
        <v>2.1983390327308254</v>
      </c>
      <c r="GO97" s="3">
        <f t="shared" si="78"/>
        <v>2.1210553543714434</v>
      </c>
      <c r="GP97" s="3">
        <f t="shared" si="78"/>
        <v>0</v>
      </c>
      <c r="GQ97" s="3">
        <f t="shared" si="78"/>
        <v>0</v>
      </c>
      <c r="GR97" s="3">
        <f t="shared" si="78"/>
        <v>0</v>
      </c>
      <c r="GS97" s="3">
        <f t="shared" si="78"/>
        <v>0</v>
      </c>
      <c r="GT97" s="3">
        <f t="shared" si="78"/>
        <v>0.53691275167785235</v>
      </c>
      <c r="GU97" s="3">
        <f t="shared" si="78"/>
        <v>0</v>
      </c>
      <c r="GV97" s="3">
        <f t="shared" si="78"/>
        <v>6.3543936092955695</v>
      </c>
      <c r="GW97" s="3">
        <f t="shared" si="78"/>
        <v>5.9122401847575059</v>
      </c>
      <c r="GX97" s="3">
        <f t="shared" si="78"/>
        <v>0</v>
      </c>
      <c r="GY97" s="3">
        <f t="shared" si="78"/>
        <v>0</v>
      </c>
      <c r="GZ97" s="3">
        <f t="shared" si="78"/>
        <v>0</v>
      </c>
      <c r="HA97" s="3">
        <f t="shared" si="78"/>
        <v>1.651440618411806</v>
      </c>
      <c r="HB97" s="3">
        <f t="shared" si="78"/>
        <v>1.4310246136233544</v>
      </c>
      <c r="HC97" s="3">
        <f t="shared" si="78"/>
        <v>0</v>
      </c>
      <c r="HD97" s="3">
        <f t="shared" si="78"/>
        <v>0.49751243781094528</v>
      </c>
      <c r="HE97" s="3">
        <f t="shared" si="78"/>
        <v>4.9427365883062082</v>
      </c>
      <c r="HF97" s="3">
        <f t="shared" si="78"/>
        <v>1.680672268907563</v>
      </c>
      <c r="HG97" s="3">
        <f t="shared" si="78"/>
        <v>5.6910569105691051</v>
      </c>
      <c r="HH97" s="3">
        <f t="shared" si="78"/>
        <v>1.2963904422979156</v>
      </c>
      <c r="HI97" s="3">
        <f t="shared" si="78"/>
        <v>4.6760391198044013</v>
      </c>
      <c r="HJ97" s="3">
        <f t="shared" si="78"/>
        <v>1.3953488372093024</v>
      </c>
      <c r="HK97" s="3">
        <f t="shared" si="78"/>
        <v>0.8875739644970414</v>
      </c>
      <c r="HL97" s="3">
        <f t="shared" si="78"/>
        <v>1.7543859649122806</v>
      </c>
      <c r="HM97" s="3">
        <f t="shared" si="78"/>
        <v>1.1049723756906076</v>
      </c>
      <c r="HN97" s="3">
        <f t="shared" si="78"/>
        <v>2.2865853658536586</v>
      </c>
      <c r="HO97" s="3">
        <f t="shared" si="78"/>
        <v>0</v>
      </c>
      <c r="HP97" s="3">
        <f t="shared" si="78"/>
        <v>0</v>
      </c>
      <c r="HQ97" s="3">
        <f t="shared" si="78"/>
        <v>0</v>
      </c>
      <c r="HR97" s="3">
        <f t="shared" si="78"/>
        <v>0</v>
      </c>
      <c r="HS97" s="3">
        <f t="shared" si="78"/>
        <v>0</v>
      </c>
      <c r="HT97" s="3">
        <f t="shared" si="78"/>
        <v>0</v>
      </c>
      <c r="HU97" s="3">
        <f t="shared" si="78"/>
        <v>0</v>
      </c>
      <c r="HV97" s="3">
        <f t="shared" si="78"/>
        <v>0</v>
      </c>
      <c r="HW97" s="3">
        <f t="shared" si="78"/>
        <v>2</v>
      </c>
      <c r="HX97" s="3">
        <f t="shared" si="78"/>
        <v>2.147239263803681</v>
      </c>
      <c r="HY97" s="3">
        <f t="shared" si="78"/>
        <v>0</v>
      </c>
      <c r="HZ97" s="3">
        <f t="shared" si="78"/>
        <v>0.28985507246376813</v>
      </c>
      <c r="IA97" s="3">
        <f t="shared" si="78"/>
        <v>0</v>
      </c>
      <c r="IB97" s="3">
        <f t="shared" si="78"/>
        <v>0</v>
      </c>
      <c r="IC97" s="3">
        <f t="shared" si="78"/>
        <v>0</v>
      </c>
      <c r="ID97" s="3">
        <f t="shared" si="78"/>
        <v>0</v>
      </c>
      <c r="IE97" s="3">
        <f t="shared" si="78"/>
        <v>1.6766467065868262</v>
      </c>
      <c r="IF97" s="3">
        <f t="shared" si="78"/>
        <v>1.8328445747800588</v>
      </c>
      <c r="IG97" s="3">
        <f t="shared" si="78"/>
        <v>4.2124542124542126</v>
      </c>
      <c r="IH97" s="3">
        <f t="shared" si="78"/>
        <v>0</v>
      </c>
      <c r="II97" s="3">
        <f t="shared" si="78"/>
        <v>3.6257309941520468</v>
      </c>
      <c r="IJ97" s="3">
        <f t="shared" si="78"/>
        <v>0.3147128245476003</v>
      </c>
      <c r="IK97" s="3">
        <f t="shared" si="78"/>
        <v>2.5568181818181821</v>
      </c>
      <c r="IL97" s="3">
        <f t="shared" si="78"/>
        <v>0</v>
      </c>
      <c r="IM97" s="3">
        <f t="shared" si="78"/>
        <v>0</v>
      </c>
      <c r="IN97" s="3">
        <f t="shared" si="78"/>
        <v>0</v>
      </c>
      <c r="IO97" s="3">
        <f t="shared" si="78"/>
        <v>0</v>
      </c>
      <c r="IP97" s="3">
        <f t="shared" si="78"/>
        <v>2.2418879056047198</v>
      </c>
      <c r="IQ97" s="3">
        <f t="shared" si="78"/>
        <v>7.449605609114812</v>
      </c>
      <c r="IR97" s="3">
        <f t="shared" si="78"/>
        <v>0.92592592592592582</v>
      </c>
      <c r="IS97" s="3">
        <f t="shared" si="78"/>
        <v>9.6816114359974002</v>
      </c>
      <c r="IT97" s="3">
        <f t="shared" si="78"/>
        <v>0</v>
      </c>
      <c r="IU97" s="3">
        <f t="shared" si="78"/>
        <v>1.7825311942959003</v>
      </c>
      <c r="IV97" s="3">
        <f t="shared" si="78"/>
        <v>2.6436781609195403</v>
      </c>
      <c r="IW97" s="3">
        <f t="shared" ref="IW97:LH100" si="86">(IW34-IW$11)/IW$11*100</f>
        <v>0</v>
      </c>
      <c r="IX97" s="3">
        <f t="shared" si="86"/>
        <v>0.47923322683706071</v>
      </c>
      <c r="IY97" s="3">
        <f t="shared" si="86"/>
        <v>0</v>
      </c>
      <c r="IZ97" s="3">
        <f t="shared" si="86"/>
        <v>0</v>
      </c>
      <c r="JA97" s="3">
        <f t="shared" si="86"/>
        <v>0</v>
      </c>
      <c r="JB97" s="3">
        <f t="shared" si="86"/>
        <v>0</v>
      </c>
      <c r="JC97" s="3">
        <f t="shared" si="86"/>
        <v>0</v>
      </c>
      <c r="JD97" s="3">
        <f t="shared" si="86"/>
        <v>4.9529470034670627E-2</v>
      </c>
      <c r="JE97" s="3">
        <f t="shared" si="86"/>
        <v>0</v>
      </c>
      <c r="JF97" s="3">
        <f t="shared" si="86"/>
        <v>1.2152777777777779</v>
      </c>
      <c r="JG97" s="3">
        <f t="shared" si="86"/>
        <v>0</v>
      </c>
      <c r="JH97" s="3">
        <f t="shared" si="86"/>
        <v>0</v>
      </c>
      <c r="JI97" s="3">
        <f t="shared" si="86"/>
        <v>0</v>
      </c>
      <c r="JJ97" s="3">
        <f t="shared" si="86"/>
        <v>0</v>
      </c>
      <c r="JK97" s="3">
        <f t="shared" si="86"/>
        <v>0.78636959370904314</v>
      </c>
      <c r="JL97" s="3">
        <f t="shared" si="86"/>
        <v>0</v>
      </c>
      <c r="JM97" s="3">
        <f t="shared" si="86"/>
        <v>0</v>
      </c>
      <c r="JN97" s="3">
        <f t="shared" si="86"/>
        <v>0.1589825119236884</v>
      </c>
      <c r="JO97" s="3">
        <f t="shared" si="86"/>
        <v>1.5259409969481181</v>
      </c>
      <c r="JP97" s="3">
        <f t="shared" si="86"/>
        <v>4.8015122873345941</v>
      </c>
      <c r="JQ97" s="3">
        <f t="shared" si="86"/>
        <v>9.8637858149365911</v>
      </c>
      <c r="JR97" s="3">
        <f t="shared" si="86"/>
        <v>0</v>
      </c>
      <c r="JS97" s="3">
        <f t="shared" si="86"/>
        <v>4.031209362808843</v>
      </c>
      <c r="JT97" s="3">
        <f t="shared" si="86"/>
        <v>0.61370610296624617</v>
      </c>
      <c r="JU97" s="3">
        <f t="shared" si="86"/>
        <v>0</v>
      </c>
      <c r="JV97" s="3">
        <f t="shared" si="86"/>
        <v>2.2851207478576994</v>
      </c>
      <c r="JW97" s="3">
        <f t="shared" si="86"/>
        <v>0</v>
      </c>
      <c r="JX97" s="3">
        <f t="shared" si="86"/>
        <v>0.97031963470319627</v>
      </c>
      <c r="JY97" s="3">
        <f t="shared" si="86"/>
        <v>1.7094017094017095</v>
      </c>
      <c r="JZ97" s="3">
        <f t="shared" si="86"/>
        <v>1.5698062792251171</v>
      </c>
      <c r="KA97" s="3">
        <f t="shared" si="86"/>
        <v>4.3038922155688626</v>
      </c>
      <c r="KB97" s="3">
        <f t="shared" si="86"/>
        <v>2.746947835738069</v>
      </c>
      <c r="KC97" s="3">
        <f t="shared" si="86"/>
        <v>6.8049254698639015</v>
      </c>
      <c r="KD97" s="3">
        <f t="shared" si="86"/>
        <v>0</v>
      </c>
      <c r="KE97" s="3">
        <f t="shared" si="86"/>
        <v>5.1428571428571423</v>
      </c>
      <c r="KF97" s="3">
        <f t="shared" si="86"/>
        <v>0</v>
      </c>
      <c r="KG97" s="3">
        <f t="shared" si="86"/>
        <v>3.1963470319634704</v>
      </c>
      <c r="KH97" s="3">
        <f t="shared" si="86"/>
        <v>0</v>
      </c>
      <c r="KI97" s="3">
        <f t="shared" si="86"/>
        <v>5.201342281879195</v>
      </c>
      <c r="KJ97" s="3">
        <f t="shared" si="86"/>
        <v>0</v>
      </c>
      <c r="KK97" s="3">
        <f t="shared" si="86"/>
        <v>0</v>
      </c>
      <c r="KL97" s="3">
        <f t="shared" si="86"/>
        <v>0</v>
      </c>
      <c r="KM97" s="3">
        <f t="shared" si="86"/>
        <v>0</v>
      </c>
      <c r="KN97" s="3">
        <f t="shared" si="86"/>
        <v>0</v>
      </c>
      <c r="KO97" s="3">
        <f t="shared" si="86"/>
        <v>0</v>
      </c>
      <c r="KP97" s="3">
        <f t="shared" si="86"/>
        <v>0</v>
      </c>
      <c r="KQ97" s="3">
        <f t="shared" si="86"/>
        <v>5.4545454545454541</v>
      </c>
      <c r="KR97" s="3">
        <f t="shared" si="86"/>
        <v>0.25510204081632654</v>
      </c>
      <c r="KS97" s="3">
        <f t="shared" si="86"/>
        <v>1.6797312430011198</v>
      </c>
      <c r="KT97" s="3">
        <f t="shared" si="86"/>
        <v>0</v>
      </c>
      <c r="KU97" s="3">
        <f t="shared" si="86"/>
        <v>0</v>
      </c>
      <c r="KV97" s="3">
        <f t="shared" si="86"/>
        <v>0</v>
      </c>
      <c r="KW97" s="3">
        <f t="shared" si="86"/>
        <v>0</v>
      </c>
      <c r="KX97" s="3">
        <f t="shared" si="86"/>
        <v>0</v>
      </c>
      <c r="KY97" s="3">
        <f t="shared" si="86"/>
        <v>0</v>
      </c>
      <c r="KZ97" s="3">
        <f t="shared" si="86"/>
        <v>2.3443223443223444</v>
      </c>
      <c r="LA97" s="3">
        <f t="shared" si="86"/>
        <v>8.0128205128205128</v>
      </c>
      <c r="LB97" s="3">
        <f t="shared" si="86"/>
        <v>2.4096385542168677</v>
      </c>
      <c r="LC97" s="3">
        <f t="shared" si="86"/>
        <v>0</v>
      </c>
      <c r="LD97" s="3">
        <f t="shared" si="86"/>
        <v>0.32679738562091504</v>
      </c>
      <c r="LE97" s="3">
        <f t="shared" si="86"/>
        <v>1.0933557611438183</v>
      </c>
      <c r="LF97" s="3">
        <f t="shared" si="86"/>
        <v>0</v>
      </c>
      <c r="LG97" s="3">
        <f t="shared" si="86"/>
        <v>0</v>
      </c>
      <c r="LH97" s="3">
        <f t="shared" si="86"/>
        <v>0</v>
      </c>
      <c r="LI97" s="3">
        <f t="shared" si="81"/>
        <v>2.7878787878787876</v>
      </c>
      <c r="LJ97" s="3">
        <f t="shared" si="81"/>
        <v>1.8996960486322187</v>
      </c>
      <c r="LK97" s="3">
        <f t="shared" si="81"/>
        <v>3.306451612903226</v>
      </c>
      <c r="LL97" s="3">
        <f t="shared" si="81"/>
        <v>1.835915088927137</v>
      </c>
      <c r="LM97" s="3">
        <f t="shared" si="81"/>
        <v>5.9674502712477393</v>
      </c>
      <c r="LN97" s="3">
        <f t="shared" si="72"/>
        <v>0</v>
      </c>
      <c r="LO97" s="3">
        <f t="shared" si="72"/>
        <v>0</v>
      </c>
      <c r="LP97" s="3">
        <f t="shared" ref="LP97:MW97" si="87">(LP34-LP$11)/LP$11*100</f>
        <v>3.189300411522634</v>
      </c>
      <c r="LQ97" s="3">
        <f t="shared" si="87"/>
        <v>0.20470829068577279</v>
      </c>
      <c r="LR97" s="3">
        <f t="shared" si="87"/>
        <v>1.3513513513513513</v>
      </c>
      <c r="LS97" s="3">
        <f t="shared" si="87"/>
        <v>4.5794392523364484</v>
      </c>
      <c r="LT97" s="3">
        <f t="shared" si="87"/>
        <v>0</v>
      </c>
      <c r="LU97" s="3">
        <f t="shared" si="87"/>
        <v>0</v>
      </c>
      <c r="LV97" s="3">
        <f t="shared" si="87"/>
        <v>0</v>
      </c>
      <c r="LW97" s="3">
        <f t="shared" si="87"/>
        <v>0</v>
      </c>
      <c r="LX97" s="3">
        <f t="shared" si="87"/>
        <v>0</v>
      </c>
      <c r="LY97" s="3">
        <f t="shared" si="87"/>
        <v>0</v>
      </c>
      <c r="LZ97" s="3">
        <f t="shared" si="87"/>
        <v>1.7746228926353149</v>
      </c>
      <c r="MA97" s="3">
        <f t="shared" si="87"/>
        <v>0</v>
      </c>
      <c r="MB97" s="3">
        <f t="shared" si="87"/>
        <v>2.1390374331550799</v>
      </c>
      <c r="MC97" s="3">
        <f t="shared" si="87"/>
        <v>0</v>
      </c>
      <c r="MD97" s="3">
        <f t="shared" si="87"/>
        <v>0.7441860465116279</v>
      </c>
      <c r="ME97" s="3">
        <f t="shared" si="87"/>
        <v>0</v>
      </c>
      <c r="MF97" s="3">
        <f t="shared" si="87"/>
        <v>0</v>
      </c>
      <c r="MG97" s="3">
        <f t="shared" si="87"/>
        <v>0</v>
      </c>
      <c r="MH97" s="3">
        <f t="shared" si="87"/>
        <v>1.6666666666666667</v>
      </c>
      <c r="MI97" s="3">
        <f t="shared" si="87"/>
        <v>0</v>
      </c>
      <c r="MJ97" s="3">
        <f t="shared" si="87"/>
        <v>5.0345107592367029</v>
      </c>
      <c r="MK97" s="3">
        <f t="shared" si="87"/>
        <v>2.7407987470634301</v>
      </c>
      <c r="ML97" s="3">
        <f t="shared" si="87"/>
        <v>1.7738359201773837</v>
      </c>
      <c r="MM97" s="3">
        <f t="shared" si="87"/>
        <v>0</v>
      </c>
      <c r="MN97" s="3">
        <f t="shared" si="87"/>
        <v>0.63249001331557919</v>
      </c>
      <c r="MO97" s="3">
        <f t="shared" si="87"/>
        <v>3.1531531531531529</v>
      </c>
      <c r="MP97" s="3">
        <f t="shared" si="87"/>
        <v>0</v>
      </c>
      <c r="MQ97" s="3">
        <f t="shared" si="87"/>
        <v>0</v>
      </c>
      <c r="MR97" s="3">
        <f t="shared" si="87"/>
        <v>1.1747430249632893</v>
      </c>
      <c r="MS97" s="3">
        <f t="shared" si="87"/>
        <v>0</v>
      </c>
      <c r="MT97" s="3">
        <f t="shared" si="87"/>
        <v>2.080344332855093</v>
      </c>
      <c r="MU97" s="3">
        <f t="shared" si="87"/>
        <v>4.7094568932776308</v>
      </c>
      <c r="MV97" s="3">
        <f t="shared" si="87"/>
        <v>1.9521082769390943</v>
      </c>
      <c r="MW97" s="3">
        <f t="shared" si="87"/>
        <v>6.6440049443757729</v>
      </c>
      <c r="MX97" s="3"/>
      <c r="MY97" s="3"/>
    </row>
    <row r="98" spans="1:363" x14ac:dyDescent="0.3">
      <c r="A98" s="3">
        <v>24</v>
      </c>
      <c r="B98" s="3">
        <f t="shared" si="33"/>
        <v>1.1494252873563218</v>
      </c>
      <c r="C98" s="3">
        <f t="shared" si="85"/>
        <v>0</v>
      </c>
      <c r="D98" s="3">
        <f t="shared" si="85"/>
        <v>0.21186440677966101</v>
      </c>
      <c r="E98" s="3">
        <f t="shared" si="85"/>
        <v>7.7981651376146797</v>
      </c>
      <c r="F98" s="3">
        <f t="shared" si="85"/>
        <v>0</v>
      </c>
      <c r="G98" s="3">
        <f t="shared" si="85"/>
        <v>2.1032504780114722</v>
      </c>
      <c r="H98" s="3">
        <f t="shared" si="85"/>
        <v>0</v>
      </c>
      <c r="I98" s="3">
        <f t="shared" si="85"/>
        <v>0</v>
      </c>
      <c r="J98" s="3">
        <f t="shared" si="85"/>
        <v>0</v>
      </c>
      <c r="K98" s="3">
        <f t="shared" si="85"/>
        <v>0</v>
      </c>
      <c r="L98" s="3">
        <f t="shared" si="85"/>
        <v>0</v>
      </c>
      <c r="M98" s="3">
        <f t="shared" si="85"/>
        <v>0</v>
      </c>
      <c r="N98" s="3">
        <f t="shared" si="85"/>
        <v>1.4678899082568808</v>
      </c>
      <c r="O98" s="3">
        <f t="shared" si="85"/>
        <v>1.0373443983402488</v>
      </c>
      <c r="P98" s="3">
        <f t="shared" si="85"/>
        <v>1.6569200779727096</v>
      </c>
      <c r="Q98" s="3">
        <f t="shared" si="85"/>
        <v>0</v>
      </c>
      <c r="R98" s="3">
        <f t="shared" si="85"/>
        <v>0.48355899419729209</v>
      </c>
      <c r="S98" s="3">
        <f t="shared" si="85"/>
        <v>1.4705882352941175</v>
      </c>
      <c r="T98" s="3">
        <f t="shared" si="85"/>
        <v>0</v>
      </c>
      <c r="U98" s="3">
        <f t="shared" si="85"/>
        <v>0</v>
      </c>
      <c r="V98" s="3">
        <f t="shared" si="85"/>
        <v>0</v>
      </c>
      <c r="W98" s="3">
        <f t="shared" si="85"/>
        <v>3.7962962962962963</v>
      </c>
      <c r="X98" s="3">
        <f t="shared" si="85"/>
        <v>0.31007751937984496</v>
      </c>
      <c r="Y98" s="3">
        <f t="shared" si="85"/>
        <v>9.5652173913043477</v>
      </c>
      <c r="Z98" s="3">
        <f t="shared" si="85"/>
        <v>0.28490028490028491</v>
      </c>
      <c r="AA98" s="3">
        <f t="shared" si="85"/>
        <v>0.66152149944873206</v>
      </c>
      <c r="AB98" s="3">
        <f t="shared" si="85"/>
        <v>1.7241379310344827</v>
      </c>
      <c r="AC98" s="3">
        <f t="shared" si="85"/>
        <v>0.37537537537537535</v>
      </c>
      <c r="AD98" s="3">
        <f t="shared" si="85"/>
        <v>0.70883315158124316</v>
      </c>
      <c r="AE98" s="3">
        <f t="shared" si="85"/>
        <v>0</v>
      </c>
      <c r="AF98" s="3">
        <f t="shared" si="85"/>
        <v>0.46511627906976744</v>
      </c>
      <c r="AG98" s="3">
        <f t="shared" si="85"/>
        <v>3.9814814814814818</v>
      </c>
      <c r="AH98" s="3">
        <f t="shared" si="85"/>
        <v>1.0928961748633881</v>
      </c>
      <c r="AI98" s="3">
        <f t="shared" si="85"/>
        <v>4.0590405904059041</v>
      </c>
      <c r="AJ98" s="3">
        <f t="shared" si="85"/>
        <v>0.54890219560878251</v>
      </c>
      <c r="AK98" s="3">
        <f t="shared" si="85"/>
        <v>6.666666666666667</v>
      </c>
      <c r="AL98" s="3">
        <f t="shared" si="85"/>
        <v>0</v>
      </c>
      <c r="AM98" s="3">
        <f t="shared" si="85"/>
        <v>0</v>
      </c>
      <c r="AN98" s="3">
        <f t="shared" si="85"/>
        <v>2.9684601113172544</v>
      </c>
      <c r="AO98" s="3">
        <f t="shared" si="85"/>
        <v>0</v>
      </c>
      <c r="AP98" s="3">
        <f t="shared" si="85"/>
        <v>0.29197080291970801</v>
      </c>
      <c r="AQ98" s="3">
        <f t="shared" si="85"/>
        <v>0</v>
      </c>
      <c r="AR98" s="3">
        <f t="shared" si="85"/>
        <v>0</v>
      </c>
      <c r="AS98" s="3">
        <f t="shared" si="85"/>
        <v>0</v>
      </c>
      <c r="AT98" s="3">
        <f t="shared" si="85"/>
        <v>0</v>
      </c>
      <c r="AU98" s="3">
        <f t="shared" si="85"/>
        <v>0</v>
      </c>
      <c r="AV98" s="3">
        <f t="shared" si="85"/>
        <v>0</v>
      </c>
      <c r="AW98" s="3">
        <f t="shared" si="85"/>
        <v>0</v>
      </c>
      <c r="AX98" s="3">
        <f t="shared" si="85"/>
        <v>0</v>
      </c>
      <c r="AY98" s="3">
        <f t="shared" si="85"/>
        <v>1.1659807956104253</v>
      </c>
      <c r="AZ98" s="3">
        <f t="shared" si="85"/>
        <v>2.5791324736225087</v>
      </c>
      <c r="BA98" s="3">
        <f t="shared" si="85"/>
        <v>0</v>
      </c>
      <c r="BB98" s="3">
        <f t="shared" si="85"/>
        <v>1.8825301204819278</v>
      </c>
      <c r="BC98" s="3">
        <f t="shared" si="85"/>
        <v>2.5782688766114181</v>
      </c>
      <c r="BD98" s="3">
        <f t="shared" si="85"/>
        <v>0</v>
      </c>
      <c r="BE98" s="3">
        <f t="shared" si="85"/>
        <v>0</v>
      </c>
      <c r="BF98" s="3">
        <f t="shared" si="85"/>
        <v>0</v>
      </c>
      <c r="BG98" s="3">
        <f t="shared" si="85"/>
        <v>0</v>
      </c>
      <c r="BH98" s="3">
        <f t="shared" si="85"/>
        <v>4.3093032621828433</v>
      </c>
      <c r="BI98" s="3">
        <f t="shared" si="85"/>
        <v>7.616602481814291</v>
      </c>
      <c r="BJ98" s="3">
        <f t="shared" si="85"/>
        <v>0.38289725590299939</v>
      </c>
      <c r="BK98" s="3">
        <f t="shared" si="85"/>
        <v>3.8179916317991633</v>
      </c>
      <c r="BL98" s="3">
        <f t="shared" si="85"/>
        <v>0</v>
      </c>
      <c r="BM98" s="3">
        <f t="shared" si="85"/>
        <v>4.045454545454545</v>
      </c>
      <c r="BN98" s="3">
        <f t="shared" si="85"/>
        <v>1.9256132946452125</v>
      </c>
      <c r="BO98" s="3">
        <f t="shared" si="83"/>
        <v>1.8545775684427435</v>
      </c>
      <c r="BP98" s="3">
        <f t="shared" si="83"/>
        <v>2.0337301587301586</v>
      </c>
      <c r="BQ98" s="3">
        <f t="shared" si="83"/>
        <v>0</v>
      </c>
      <c r="BR98" s="3">
        <f t="shared" si="83"/>
        <v>2.3755656108597285</v>
      </c>
      <c r="BS98" s="3">
        <f t="shared" si="83"/>
        <v>5.3486529318541995</v>
      </c>
      <c r="BT98" s="3">
        <f t="shared" si="83"/>
        <v>2.7495517035265991</v>
      </c>
      <c r="BU98" s="3">
        <f t="shared" si="83"/>
        <v>6.3866712946893447</v>
      </c>
      <c r="BV98" s="3">
        <f t="shared" si="83"/>
        <v>1.3297872340425532</v>
      </c>
      <c r="BW98" s="3">
        <f t="shared" si="83"/>
        <v>0</v>
      </c>
      <c r="BX98" s="3">
        <f t="shared" si="83"/>
        <v>1.2254901960784315</v>
      </c>
      <c r="BY98" s="3">
        <f t="shared" si="83"/>
        <v>2.358490566037736</v>
      </c>
      <c r="BZ98" s="3">
        <f t="shared" si="83"/>
        <v>0.16806722689075632</v>
      </c>
      <c r="CA98" s="3">
        <f t="shared" si="83"/>
        <v>4.562043795620438</v>
      </c>
      <c r="CB98" s="3">
        <f t="shared" si="83"/>
        <v>0</v>
      </c>
      <c r="CC98" s="3">
        <f t="shared" si="83"/>
        <v>0</v>
      </c>
      <c r="CD98" s="3">
        <f t="shared" si="83"/>
        <v>0</v>
      </c>
      <c r="CE98" s="3">
        <f t="shared" si="83"/>
        <v>0</v>
      </c>
      <c r="CF98" s="3">
        <f t="shared" si="83"/>
        <v>0</v>
      </c>
      <c r="CG98" s="3">
        <f t="shared" si="83"/>
        <v>0</v>
      </c>
      <c r="CH98" s="3">
        <f t="shared" si="83"/>
        <v>0.76804915514592931</v>
      </c>
      <c r="CI98" s="3">
        <f t="shared" si="83"/>
        <v>0</v>
      </c>
      <c r="CJ98" s="3">
        <f t="shared" si="83"/>
        <v>2.4324324324324325</v>
      </c>
      <c r="CK98" s="3">
        <f t="shared" si="83"/>
        <v>3.8502673796791447</v>
      </c>
      <c r="CL98" s="3">
        <f t="shared" si="83"/>
        <v>0</v>
      </c>
      <c r="CM98" s="3">
        <f t="shared" si="83"/>
        <v>0</v>
      </c>
      <c r="CN98" s="3">
        <f t="shared" si="83"/>
        <v>0</v>
      </c>
      <c r="CO98" s="3">
        <f t="shared" si="83"/>
        <v>0</v>
      </c>
      <c r="CP98" s="3">
        <f t="shared" si="83"/>
        <v>9.0334236675700091E-2</v>
      </c>
      <c r="CQ98" s="3">
        <f t="shared" si="83"/>
        <v>0</v>
      </c>
      <c r="CR98" s="3">
        <f t="shared" si="83"/>
        <v>2.2939068100358422</v>
      </c>
      <c r="CS98" s="3">
        <f t="shared" si="83"/>
        <v>5.4003724394785841</v>
      </c>
      <c r="CT98" s="3">
        <f t="shared" si="83"/>
        <v>0</v>
      </c>
      <c r="CU98" s="3">
        <f t="shared" si="83"/>
        <v>0</v>
      </c>
      <c r="CV98" s="3">
        <f t="shared" si="83"/>
        <v>0</v>
      </c>
      <c r="CW98" s="3">
        <f t="shared" si="83"/>
        <v>0</v>
      </c>
      <c r="CX98" s="3">
        <f t="shared" si="83"/>
        <v>0</v>
      </c>
      <c r="CY98" s="3">
        <f t="shared" si="83"/>
        <v>0</v>
      </c>
      <c r="CZ98" s="3">
        <f t="shared" si="83"/>
        <v>0</v>
      </c>
      <c r="DA98" s="3">
        <f t="shared" si="83"/>
        <v>0</v>
      </c>
      <c r="DB98" s="3">
        <f t="shared" si="83"/>
        <v>1.3580246913580247</v>
      </c>
      <c r="DC98" s="3">
        <f t="shared" si="83"/>
        <v>4.7581284694686756</v>
      </c>
      <c r="DD98" s="3">
        <f t="shared" si="83"/>
        <v>0.8045977011494253</v>
      </c>
      <c r="DE98" s="3">
        <f t="shared" si="83"/>
        <v>8.2513247539742629</v>
      </c>
      <c r="DF98" s="3">
        <f t="shared" si="83"/>
        <v>0</v>
      </c>
      <c r="DG98" s="3">
        <f t="shared" si="83"/>
        <v>0.46875</v>
      </c>
      <c r="DH98" s="3">
        <f t="shared" si="83"/>
        <v>0</v>
      </c>
      <c r="DI98" s="3">
        <f t="shared" si="83"/>
        <v>0.55197792088316466</v>
      </c>
      <c r="DJ98" s="3">
        <f t="shared" si="83"/>
        <v>0</v>
      </c>
      <c r="DK98" s="3">
        <f t="shared" si="83"/>
        <v>1.192368839427663</v>
      </c>
      <c r="DL98" s="3">
        <f t="shared" si="83"/>
        <v>0</v>
      </c>
      <c r="DM98" s="3">
        <f t="shared" si="83"/>
        <v>0</v>
      </c>
      <c r="DN98" s="3">
        <f t="shared" si="83"/>
        <v>0</v>
      </c>
      <c r="DO98" s="3">
        <f t="shared" si="83"/>
        <v>0</v>
      </c>
      <c r="DP98" s="3">
        <f t="shared" si="83"/>
        <v>0</v>
      </c>
      <c r="DQ98" s="3">
        <f t="shared" si="83"/>
        <v>0</v>
      </c>
      <c r="DR98" s="3">
        <f t="shared" si="83"/>
        <v>0</v>
      </c>
      <c r="DS98" s="3">
        <f t="shared" si="83"/>
        <v>0</v>
      </c>
      <c r="DT98" s="3">
        <f t="shared" si="83"/>
        <v>1.4966740576496673</v>
      </c>
      <c r="DU98" s="3">
        <f t="shared" si="83"/>
        <v>1.5755785327424916</v>
      </c>
      <c r="DV98" s="3">
        <f t="shared" si="83"/>
        <v>0</v>
      </c>
      <c r="DW98" s="3">
        <f t="shared" si="83"/>
        <v>0</v>
      </c>
      <c r="DX98" s="3">
        <f t="shared" si="83"/>
        <v>0</v>
      </c>
      <c r="DY98" s="3">
        <f t="shared" si="83"/>
        <v>0</v>
      </c>
      <c r="DZ98" s="3">
        <f t="shared" si="80"/>
        <v>0</v>
      </c>
      <c r="EA98" s="3">
        <f t="shared" si="80"/>
        <v>3.0691964285714284</v>
      </c>
      <c r="EB98" s="3">
        <f t="shared" si="80"/>
        <v>2.5185185185185186</v>
      </c>
      <c r="EC98" s="3">
        <f t="shared" si="80"/>
        <v>5.0513698630136989</v>
      </c>
      <c r="ED98" s="3">
        <f t="shared" si="80"/>
        <v>2.0618556701030926</v>
      </c>
      <c r="EE98" s="3">
        <f t="shared" si="80"/>
        <v>0</v>
      </c>
      <c r="EF98" s="3">
        <f t="shared" si="80"/>
        <v>3.0521262002743481</v>
      </c>
      <c r="EG98" s="3">
        <f t="shared" si="80"/>
        <v>1.5509601181683901</v>
      </c>
      <c r="EH98" s="3">
        <f t="shared" si="80"/>
        <v>1.9037546271813854</v>
      </c>
      <c r="EI98" s="3">
        <f t="shared" si="80"/>
        <v>0.61728395061728392</v>
      </c>
      <c r="EJ98" s="3">
        <f t="shared" si="80"/>
        <v>0.90579710144927539</v>
      </c>
      <c r="EK98" s="3">
        <f t="shared" si="80"/>
        <v>3.9891818796484109</v>
      </c>
      <c r="EL98" s="3">
        <f t="shared" si="80"/>
        <v>1.6467065868263475</v>
      </c>
      <c r="EM98" s="3">
        <f t="shared" si="80"/>
        <v>8.9248650892486516</v>
      </c>
      <c r="EN98" s="3">
        <f t="shared" si="80"/>
        <v>1.7989417989417988</v>
      </c>
      <c r="EO98" s="3">
        <f t="shared" si="80"/>
        <v>6.6862361382909326</v>
      </c>
      <c r="EP98" s="3">
        <f t="shared" si="80"/>
        <v>2.083333333333333</v>
      </c>
      <c r="EQ98" s="3">
        <f t="shared" si="80"/>
        <v>0</v>
      </c>
      <c r="ER98" s="3">
        <f t="shared" si="80"/>
        <v>1.7391304347826086</v>
      </c>
      <c r="ES98" s="3">
        <f t="shared" si="80"/>
        <v>0</v>
      </c>
      <c r="ET98" s="3">
        <f t="shared" si="80"/>
        <v>1.2658227848101267</v>
      </c>
      <c r="EU98" s="3">
        <f t="shared" si="80"/>
        <v>1.0189228529839884</v>
      </c>
      <c r="EV98" s="3">
        <f t="shared" si="80"/>
        <v>0</v>
      </c>
      <c r="EW98" s="3">
        <f t="shared" si="80"/>
        <v>0</v>
      </c>
      <c r="EX98" s="3">
        <f t="shared" si="80"/>
        <v>0</v>
      </c>
      <c r="EY98" s="3">
        <f t="shared" si="80"/>
        <v>0</v>
      </c>
      <c r="EZ98" s="3">
        <f t="shared" si="80"/>
        <v>0</v>
      </c>
      <c r="FA98" s="3">
        <f t="shared" si="80"/>
        <v>0</v>
      </c>
      <c r="FB98" s="3">
        <f t="shared" si="80"/>
        <v>0</v>
      </c>
      <c r="FC98" s="3">
        <f t="shared" si="80"/>
        <v>3.070175438596491</v>
      </c>
      <c r="FD98" s="3">
        <f t="shared" si="80"/>
        <v>2.1164021164021163</v>
      </c>
      <c r="FE98" s="3">
        <f t="shared" si="80"/>
        <v>0</v>
      </c>
      <c r="FF98" s="3">
        <f t="shared" si="80"/>
        <v>1.7241379310344827</v>
      </c>
      <c r="FG98" s="3">
        <f t="shared" si="80"/>
        <v>2.4208566108007448</v>
      </c>
      <c r="FH98" s="3">
        <f t="shared" si="80"/>
        <v>0</v>
      </c>
      <c r="FI98" s="3">
        <f t="shared" si="80"/>
        <v>0</v>
      </c>
      <c r="FJ98" s="3">
        <f t="shared" si="80"/>
        <v>0</v>
      </c>
      <c r="FK98" s="3">
        <f t="shared" si="80"/>
        <v>0</v>
      </c>
      <c r="FL98" s="3">
        <f t="shared" si="80"/>
        <v>1.6666666666666667</v>
      </c>
      <c r="FM98" s="3">
        <f t="shared" si="80"/>
        <v>2.38290879211175</v>
      </c>
      <c r="FN98" s="3">
        <f t="shared" si="80"/>
        <v>0</v>
      </c>
      <c r="FO98" s="3">
        <f t="shared" si="80"/>
        <v>5.0373134328358207</v>
      </c>
      <c r="FP98" s="3">
        <f t="shared" si="80"/>
        <v>0</v>
      </c>
      <c r="FQ98" s="3">
        <f t="shared" si="80"/>
        <v>0.45385779122541603</v>
      </c>
      <c r="FR98" s="3">
        <f t="shared" si="80"/>
        <v>3.0113636363636362</v>
      </c>
      <c r="FS98" s="3">
        <f t="shared" si="80"/>
        <v>0</v>
      </c>
      <c r="FT98" s="3">
        <f t="shared" si="80"/>
        <v>1.7068273092369479</v>
      </c>
      <c r="FU98" s="3">
        <f t="shared" si="80"/>
        <v>4.6814044213263983</v>
      </c>
      <c r="FV98" s="3">
        <f t="shared" si="80"/>
        <v>1.6793893129770994</v>
      </c>
      <c r="FW98" s="3">
        <f t="shared" si="80"/>
        <v>5.2282157676348548</v>
      </c>
      <c r="FX98" s="3">
        <f t="shared" si="80"/>
        <v>1.6981132075471699</v>
      </c>
      <c r="FY98" s="3">
        <f t="shared" si="80"/>
        <v>8.791208791208792</v>
      </c>
      <c r="FZ98" s="3">
        <f t="shared" si="80"/>
        <v>1.6304347826086956</v>
      </c>
      <c r="GA98" s="3">
        <f t="shared" si="80"/>
        <v>0</v>
      </c>
      <c r="GB98" s="3">
        <f t="shared" si="80"/>
        <v>2.1034180543382996</v>
      </c>
      <c r="GC98" s="3">
        <f t="shared" si="80"/>
        <v>3.9192399049881232</v>
      </c>
      <c r="GD98" s="3">
        <f t="shared" si="80"/>
        <v>0</v>
      </c>
      <c r="GE98" s="3">
        <f t="shared" si="80"/>
        <v>0</v>
      </c>
      <c r="GF98" s="3">
        <f t="shared" si="80"/>
        <v>0</v>
      </c>
      <c r="GG98" s="3">
        <f t="shared" si="80"/>
        <v>0</v>
      </c>
      <c r="GH98" s="3">
        <f t="shared" si="80"/>
        <v>0</v>
      </c>
      <c r="GI98" s="3">
        <f t="shared" si="80"/>
        <v>0</v>
      </c>
      <c r="GJ98" s="3">
        <f t="shared" si="80"/>
        <v>0</v>
      </c>
      <c r="GK98" s="3">
        <f t="shared" ref="GK98:IV101" si="88">(GK35-GK$11)/GK$11*100</f>
        <v>0</v>
      </c>
      <c r="GL98" s="3">
        <f t="shared" si="88"/>
        <v>0.33444816053511706</v>
      </c>
      <c r="GM98" s="3">
        <f t="shared" si="88"/>
        <v>3.5830618892508146</v>
      </c>
      <c r="GN98" s="3">
        <f t="shared" si="88"/>
        <v>2.3937469467513433</v>
      </c>
      <c r="GO98" s="3">
        <f t="shared" si="88"/>
        <v>1.7071908949818935</v>
      </c>
      <c r="GP98" s="3">
        <f t="shared" si="88"/>
        <v>0</v>
      </c>
      <c r="GQ98" s="3">
        <f t="shared" si="88"/>
        <v>0</v>
      </c>
      <c r="GR98" s="3">
        <f t="shared" si="88"/>
        <v>0</v>
      </c>
      <c r="GS98" s="3">
        <f t="shared" si="88"/>
        <v>0</v>
      </c>
      <c r="GT98" s="3">
        <f t="shared" si="88"/>
        <v>1.1185682326621924</v>
      </c>
      <c r="GU98" s="3">
        <f t="shared" si="88"/>
        <v>0</v>
      </c>
      <c r="GV98" s="3">
        <f t="shared" si="88"/>
        <v>5.4466230936819171</v>
      </c>
      <c r="GW98" s="3">
        <f t="shared" si="88"/>
        <v>5.4041570438799074</v>
      </c>
      <c r="GX98" s="3">
        <f t="shared" si="88"/>
        <v>0.17123287671232876</v>
      </c>
      <c r="GY98" s="3">
        <f t="shared" si="88"/>
        <v>0</v>
      </c>
      <c r="GZ98" s="3">
        <f t="shared" si="88"/>
        <v>0</v>
      </c>
      <c r="HA98" s="3">
        <f t="shared" si="88"/>
        <v>1.7217146872803937</v>
      </c>
      <c r="HB98" s="3">
        <f t="shared" si="88"/>
        <v>1.1734401831711505</v>
      </c>
      <c r="HC98" s="3">
        <f t="shared" si="88"/>
        <v>0</v>
      </c>
      <c r="HD98" s="3">
        <f t="shared" si="88"/>
        <v>0.74626865671641784</v>
      </c>
      <c r="HE98" s="3">
        <f t="shared" si="88"/>
        <v>5.5455093429776978</v>
      </c>
      <c r="HF98" s="3">
        <f t="shared" si="88"/>
        <v>1.5513897866839044</v>
      </c>
      <c r="HG98" s="3">
        <f t="shared" si="88"/>
        <v>6.6149297856614924</v>
      </c>
      <c r="HH98" s="3">
        <f t="shared" si="88"/>
        <v>1.0676156583629894</v>
      </c>
      <c r="HI98" s="3">
        <f t="shared" si="88"/>
        <v>4.4621026894865521</v>
      </c>
      <c r="HJ98" s="3">
        <f t="shared" si="88"/>
        <v>1.3953488372093024</v>
      </c>
      <c r="HK98" s="3">
        <f t="shared" si="88"/>
        <v>0.8875739644970414</v>
      </c>
      <c r="HL98" s="3">
        <f t="shared" si="88"/>
        <v>1.7543859649122806</v>
      </c>
      <c r="HM98" s="3">
        <f t="shared" si="88"/>
        <v>1.1049723756906076</v>
      </c>
      <c r="HN98" s="3">
        <f t="shared" si="88"/>
        <v>2.2865853658536586</v>
      </c>
      <c r="HO98" s="3">
        <f t="shared" si="88"/>
        <v>0</v>
      </c>
      <c r="HP98" s="3">
        <f t="shared" si="88"/>
        <v>0</v>
      </c>
      <c r="HQ98" s="3">
        <f t="shared" si="88"/>
        <v>0</v>
      </c>
      <c r="HR98" s="3">
        <f t="shared" si="88"/>
        <v>0</v>
      </c>
      <c r="HS98" s="3">
        <f t="shared" si="88"/>
        <v>0</v>
      </c>
      <c r="HT98" s="3">
        <f t="shared" si="88"/>
        <v>0</v>
      </c>
      <c r="HU98" s="3">
        <f t="shared" si="88"/>
        <v>0</v>
      </c>
      <c r="HV98" s="3">
        <f t="shared" si="88"/>
        <v>0</v>
      </c>
      <c r="HW98" s="3">
        <f t="shared" si="88"/>
        <v>2</v>
      </c>
      <c r="HX98" s="3">
        <f t="shared" si="88"/>
        <v>2.147239263803681</v>
      </c>
      <c r="HY98" s="3">
        <f t="shared" si="88"/>
        <v>0</v>
      </c>
      <c r="HZ98" s="3">
        <f t="shared" si="88"/>
        <v>0.43478260869565216</v>
      </c>
      <c r="IA98" s="3">
        <f t="shared" si="88"/>
        <v>0</v>
      </c>
      <c r="IB98" s="3">
        <f t="shared" si="88"/>
        <v>0</v>
      </c>
      <c r="IC98" s="3">
        <f t="shared" si="88"/>
        <v>0</v>
      </c>
      <c r="ID98" s="3">
        <f t="shared" si="88"/>
        <v>0</v>
      </c>
      <c r="IE98" s="3">
        <f t="shared" si="88"/>
        <v>0.71856287425149701</v>
      </c>
      <c r="IF98" s="3">
        <f t="shared" si="88"/>
        <v>1.9794721407624634</v>
      </c>
      <c r="IG98" s="3">
        <f t="shared" si="88"/>
        <v>2.4725274725274726</v>
      </c>
      <c r="IH98" s="3">
        <f t="shared" si="88"/>
        <v>0</v>
      </c>
      <c r="II98" s="3">
        <f t="shared" si="88"/>
        <v>3.6257309941520468</v>
      </c>
      <c r="IJ98" s="3">
        <f t="shared" si="88"/>
        <v>0.6294256490952006</v>
      </c>
      <c r="IK98" s="3">
        <f t="shared" si="88"/>
        <v>2.5568181818181821</v>
      </c>
      <c r="IL98" s="3">
        <f t="shared" si="88"/>
        <v>0</v>
      </c>
      <c r="IM98" s="3">
        <f t="shared" si="88"/>
        <v>0</v>
      </c>
      <c r="IN98" s="3">
        <f t="shared" si="88"/>
        <v>0</v>
      </c>
      <c r="IO98" s="3">
        <f t="shared" si="88"/>
        <v>0</v>
      </c>
      <c r="IP98" s="3">
        <f t="shared" si="88"/>
        <v>2.1828908554572273</v>
      </c>
      <c r="IQ98" s="3">
        <f t="shared" si="88"/>
        <v>7.449605609114812</v>
      </c>
      <c r="IR98" s="3">
        <f t="shared" si="88"/>
        <v>0.92592592592592582</v>
      </c>
      <c r="IS98" s="3">
        <f t="shared" si="88"/>
        <v>8.4470435347628321</v>
      </c>
      <c r="IT98" s="3">
        <f t="shared" si="88"/>
        <v>0</v>
      </c>
      <c r="IU98" s="3">
        <f t="shared" si="88"/>
        <v>1.7825311942959003</v>
      </c>
      <c r="IV98" s="3">
        <f t="shared" si="88"/>
        <v>2.6436781609195403</v>
      </c>
      <c r="IW98" s="3">
        <f t="shared" si="86"/>
        <v>0</v>
      </c>
      <c r="IX98" s="3">
        <f t="shared" si="86"/>
        <v>0.15974440894568689</v>
      </c>
      <c r="IY98" s="3">
        <f t="shared" si="86"/>
        <v>0</v>
      </c>
      <c r="IZ98" s="3">
        <f t="shared" si="86"/>
        <v>0</v>
      </c>
      <c r="JA98" s="3">
        <f t="shared" si="86"/>
        <v>0</v>
      </c>
      <c r="JB98" s="3">
        <f t="shared" si="86"/>
        <v>0</v>
      </c>
      <c r="JC98" s="3">
        <f t="shared" si="86"/>
        <v>0</v>
      </c>
      <c r="JD98" s="3">
        <f t="shared" si="86"/>
        <v>4.9529470034670627E-2</v>
      </c>
      <c r="JE98" s="3">
        <f t="shared" si="86"/>
        <v>0</v>
      </c>
      <c r="JF98" s="3">
        <f t="shared" si="86"/>
        <v>1.0416666666666665</v>
      </c>
      <c r="JG98" s="3">
        <f t="shared" si="86"/>
        <v>0</v>
      </c>
      <c r="JH98" s="3">
        <f t="shared" si="86"/>
        <v>0</v>
      </c>
      <c r="JI98" s="3">
        <f t="shared" si="86"/>
        <v>0</v>
      </c>
      <c r="JJ98" s="3">
        <f t="shared" si="86"/>
        <v>0</v>
      </c>
      <c r="JK98" s="3">
        <f t="shared" si="86"/>
        <v>0.87374399301004801</v>
      </c>
      <c r="JL98" s="3">
        <f t="shared" si="86"/>
        <v>0</v>
      </c>
      <c r="JM98" s="3">
        <f t="shared" si="86"/>
        <v>0</v>
      </c>
      <c r="JN98" s="3">
        <f t="shared" si="86"/>
        <v>0</v>
      </c>
      <c r="JO98" s="3">
        <f t="shared" si="86"/>
        <v>1.9328585961342828</v>
      </c>
      <c r="JP98" s="3">
        <f t="shared" si="86"/>
        <v>4.5746691871455569</v>
      </c>
      <c r="JQ98" s="3">
        <f t="shared" si="86"/>
        <v>10.333489901362142</v>
      </c>
      <c r="JR98" s="3">
        <f t="shared" si="86"/>
        <v>0</v>
      </c>
      <c r="JS98" s="3">
        <f t="shared" si="86"/>
        <v>3.836150845253576</v>
      </c>
      <c r="JT98" s="3">
        <f t="shared" si="86"/>
        <v>0.54551653596999661</v>
      </c>
      <c r="JU98" s="3">
        <f t="shared" si="86"/>
        <v>0</v>
      </c>
      <c r="JV98" s="3">
        <f t="shared" si="86"/>
        <v>1.9735133731498311</v>
      </c>
      <c r="JW98" s="3">
        <f t="shared" si="86"/>
        <v>0</v>
      </c>
      <c r="JX98" s="3">
        <f t="shared" si="86"/>
        <v>0.91324200913242004</v>
      </c>
      <c r="JY98" s="3">
        <f t="shared" si="86"/>
        <v>2.5641025641025639</v>
      </c>
      <c r="JZ98" s="3">
        <f t="shared" si="86"/>
        <v>1.6032064128256511</v>
      </c>
      <c r="KA98" s="3">
        <f t="shared" si="86"/>
        <v>3.967065868263473</v>
      </c>
      <c r="KB98" s="3">
        <f t="shared" si="86"/>
        <v>2.8301886792452833</v>
      </c>
      <c r="KC98" s="3">
        <f t="shared" si="86"/>
        <v>6.1892417368762151</v>
      </c>
      <c r="KD98" s="3">
        <f t="shared" si="86"/>
        <v>0</v>
      </c>
      <c r="KE98" s="3">
        <f t="shared" si="86"/>
        <v>5.1428571428571423</v>
      </c>
      <c r="KF98" s="3">
        <f t="shared" si="86"/>
        <v>0</v>
      </c>
      <c r="KG98" s="3">
        <f t="shared" si="86"/>
        <v>4.10958904109589</v>
      </c>
      <c r="KH98" s="3">
        <f t="shared" si="86"/>
        <v>0</v>
      </c>
      <c r="KI98" s="3">
        <f t="shared" si="86"/>
        <v>4.1946308724832218</v>
      </c>
      <c r="KJ98" s="3">
        <f t="shared" si="86"/>
        <v>0</v>
      </c>
      <c r="KK98" s="3">
        <f t="shared" si="86"/>
        <v>0</v>
      </c>
      <c r="KL98" s="3">
        <f t="shared" si="86"/>
        <v>0</v>
      </c>
      <c r="KM98" s="3">
        <f t="shared" si="86"/>
        <v>0</v>
      </c>
      <c r="KN98" s="3">
        <f t="shared" si="86"/>
        <v>0</v>
      </c>
      <c r="KO98" s="3">
        <f t="shared" si="86"/>
        <v>0</v>
      </c>
      <c r="KP98" s="3">
        <f t="shared" si="86"/>
        <v>0</v>
      </c>
      <c r="KQ98" s="3">
        <f t="shared" si="86"/>
        <v>5.4545454545454541</v>
      </c>
      <c r="KR98" s="3">
        <f t="shared" si="86"/>
        <v>0.25510204081632654</v>
      </c>
      <c r="KS98" s="3">
        <f t="shared" si="86"/>
        <v>1.6797312430011198</v>
      </c>
      <c r="KT98" s="3">
        <f t="shared" si="86"/>
        <v>0</v>
      </c>
      <c r="KU98" s="3">
        <f t="shared" si="86"/>
        <v>0</v>
      </c>
      <c r="KV98" s="3">
        <f t="shared" si="86"/>
        <v>0</v>
      </c>
      <c r="KW98" s="3">
        <f t="shared" si="86"/>
        <v>0</v>
      </c>
      <c r="KX98" s="3">
        <f t="shared" si="86"/>
        <v>0</v>
      </c>
      <c r="KY98" s="3">
        <f t="shared" si="86"/>
        <v>0</v>
      </c>
      <c r="KZ98" s="3">
        <f t="shared" si="86"/>
        <v>2.271062271062271</v>
      </c>
      <c r="LA98" s="3">
        <f t="shared" si="86"/>
        <v>6.9444444444444446</v>
      </c>
      <c r="LB98" s="3">
        <f t="shared" si="86"/>
        <v>2.4096385542168677</v>
      </c>
      <c r="LC98" s="3">
        <f t="shared" si="86"/>
        <v>0</v>
      </c>
      <c r="LD98" s="3">
        <f t="shared" si="86"/>
        <v>0.52287581699346397</v>
      </c>
      <c r="LE98" s="3">
        <f t="shared" si="86"/>
        <v>0.58873002523128681</v>
      </c>
      <c r="LF98" s="3">
        <f t="shared" si="86"/>
        <v>0</v>
      </c>
      <c r="LG98" s="3">
        <f t="shared" si="86"/>
        <v>0</v>
      </c>
      <c r="LH98" s="3">
        <f t="shared" si="86"/>
        <v>0</v>
      </c>
      <c r="LI98" s="3">
        <f t="shared" si="81"/>
        <v>2.7878787878787876</v>
      </c>
      <c r="LJ98" s="3">
        <f t="shared" si="81"/>
        <v>1.8237082066869299</v>
      </c>
      <c r="LK98" s="3">
        <f t="shared" si="81"/>
        <v>3.306451612903226</v>
      </c>
      <c r="LL98" s="3">
        <f t="shared" si="81"/>
        <v>1.7785427423981641</v>
      </c>
      <c r="LM98" s="3">
        <f t="shared" si="81"/>
        <v>6.5099457504520801</v>
      </c>
      <c r="LN98" s="3">
        <f t="shared" si="72"/>
        <v>0</v>
      </c>
      <c r="LO98" s="3">
        <f t="shared" si="72"/>
        <v>0</v>
      </c>
      <c r="LP98" s="3">
        <f t="shared" ref="LP98:MW98" si="89">(LP35-LP$11)/LP$11*100</f>
        <v>2.57201646090535</v>
      </c>
      <c r="LQ98" s="3">
        <f t="shared" si="89"/>
        <v>0</v>
      </c>
      <c r="LR98" s="3">
        <f t="shared" si="89"/>
        <v>1.2668918918918919</v>
      </c>
      <c r="LS98" s="3">
        <f t="shared" si="89"/>
        <v>3.6448598130841123</v>
      </c>
      <c r="LT98" s="3">
        <f t="shared" si="89"/>
        <v>0</v>
      </c>
      <c r="LU98" s="3">
        <f t="shared" si="89"/>
        <v>0</v>
      </c>
      <c r="LV98" s="3">
        <f t="shared" si="89"/>
        <v>0</v>
      </c>
      <c r="LW98" s="3">
        <f t="shared" si="89"/>
        <v>0</v>
      </c>
      <c r="LX98" s="3">
        <f t="shared" si="89"/>
        <v>0</v>
      </c>
      <c r="LY98" s="3">
        <f t="shared" si="89"/>
        <v>0</v>
      </c>
      <c r="LZ98" s="3">
        <f t="shared" si="89"/>
        <v>1.7746228926353149</v>
      </c>
      <c r="MA98" s="3">
        <f t="shared" si="89"/>
        <v>0</v>
      </c>
      <c r="MB98" s="3">
        <f t="shared" si="89"/>
        <v>2.1876519202722413</v>
      </c>
      <c r="MC98" s="3">
        <f t="shared" si="89"/>
        <v>0</v>
      </c>
      <c r="MD98" s="3">
        <f t="shared" si="89"/>
        <v>1.0697674418604652</v>
      </c>
      <c r="ME98" s="3">
        <f t="shared" si="89"/>
        <v>0</v>
      </c>
      <c r="MF98" s="3">
        <f t="shared" si="89"/>
        <v>0</v>
      </c>
      <c r="MG98" s="3">
        <f t="shared" si="89"/>
        <v>0</v>
      </c>
      <c r="MH98" s="3">
        <f t="shared" si="89"/>
        <v>1.7982456140350878</v>
      </c>
      <c r="MI98" s="3">
        <f t="shared" si="89"/>
        <v>0</v>
      </c>
      <c r="MJ98" s="3">
        <f t="shared" si="89"/>
        <v>5.6029232643118148</v>
      </c>
      <c r="MK98" s="3">
        <f t="shared" si="89"/>
        <v>3.6021926389976504</v>
      </c>
      <c r="ML98" s="3">
        <f t="shared" si="89"/>
        <v>1.3858093126385811</v>
      </c>
      <c r="MM98" s="3">
        <f t="shared" si="89"/>
        <v>0</v>
      </c>
      <c r="MN98" s="3">
        <f t="shared" si="89"/>
        <v>0.66577896138482018</v>
      </c>
      <c r="MO98" s="3">
        <f t="shared" si="89"/>
        <v>3.6786786786786783</v>
      </c>
      <c r="MP98" s="3">
        <f t="shared" si="89"/>
        <v>0</v>
      </c>
      <c r="MQ98" s="3">
        <f t="shared" si="89"/>
        <v>0</v>
      </c>
      <c r="MR98" s="3">
        <f t="shared" si="89"/>
        <v>1.1747430249632893</v>
      </c>
      <c r="MS98" s="3">
        <f t="shared" si="89"/>
        <v>0</v>
      </c>
      <c r="MT98" s="3">
        <f t="shared" si="89"/>
        <v>1.9727403156384504</v>
      </c>
      <c r="MU98" s="3">
        <f t="shared" si="89"/>
        <v>5.2411697683251042</v>
      </c>
      <c r="MV98" s="3">
        <f t="shared" si="89"/>
        <v>1.7699115044247788</v>
      </c>
      <c r="MW98" s="3">
        <f t="shared" si="89"/>
        <v>6.3349814585908533</v>
      </c>
      <c r="MX98" s="3"/>
      <c r="MY98" s="3"/>
    </row>
    <row r="99" spans="1:363" x14ac:dyDescent="0.3">
      <c r="A99" s="3">
        <v>25</v>
      </c>
      <c r="B99" s="3">
        <f t="shared" si="33"/>
        <v>1.1494252873563218</v>
      </c>
      <c r="C99" s="3">
        <f t="shared" si="85"/>
        <v>0</v>
      </c>
      <c r="D99" s="3">
        <f t="shared" si="85"/>
        <v>0.21186440677966101</v>
      </c>
      <c r="E99" s="3">
        <f t="shared" si="85"/>
        <v>6.4220183486238538</v>
      </c>
      <c r="F99" s="3">
        <f t="shared" si="85"/>
        <v>0</v>
      </c>
      <c r="G99" s="3">
        <f t="shared" si="85"/>
        <v>2.1032504780114722</v>
      </c>
      <c r="H99" s="3">
        <f t="shared" si="85"/>
        <v>0</v>
      </c>
      <c r="I99" s="3">
        <f t="shared" si="85"/>
        <v>0</v>
      </c>
      <c r="J99" s="3">
        <f t="shared" si="85"/>
        <v>0</v>
      </c>
      <c r="K99" s="3">
        <f t="shared" si="85"/>
        <v>0</v>
      </c>
      <c r="L99" s="3">
        <f t="shared" si="85"/>
        <v>0</v>
      </c>
      <c r="M99" s="3">
        <f t="shared" si="85"/>
        <v>0</v>
      </c>
      <c r="N99" s="3">
        <f t="shared" si="85"/>
        <v>1.4678899082568808</v>
      </c>
      <c r="O99" s="3">
        <f t="shared" si="85"/>
        <v>1.0373443983402488</v>
      </c>
      <c r="P99" s="3">
        <f t="shared" si="85"/>
        <v>1.5594541910331383</v>
      </c>
      <c r="Q99" s="3">
        <f t="shared" si="85"/>
        <v>0</v>
      </c>
      <c r="R99" s="3">
        <f t="shared" si="85"/>
        <v>0.58027079303675055</v>
      </c>
      <c r="S99" s="3">
        <f t="shared" si="85"/>
        <v>2.0361990950226243</v>
      </c>
      <c r="T99" s="3">
        <f t="shared" si="85"/>
        <v>0</v>
      </c>
      <c r="U99" s="3">
        <f t="shared" si="85"/>
        <v>0</v>
      </c>
      <c r="V99" s="3">
        <f t="shared" si="85"/>
        <v>0</v>
      </c>
      <c r="W99" s="3">
        <f t="shared" si="85"/>
        <v>3.7962962962962963</v>
      </c>
      <c r="X99" s="3">
        <f t="shared" si="85"/>
        <v>0.69767441860465118</v>
      </c>
      <c r="Y99" s="3">
        <f t="shared" si="85"/>
        <v>9.4565217391304337</v>
      </c>
      <c r="Z99" s="3">
        <f t="shared" si="85"/>
        <v>0.47483380816714149</v>
      </c>
      <c r="AA99" s="3">
        <f t="shared" si="85"/>
        <v>0.66152149944873206</v>
      </c>
      <c r="AB99" s="3">
        <f t="shared" si="85"/>
        <v>1.7241379310344827</v>
      </c>
      <c r="AC99" s="3">
        <f t="shared" si="85"/>
        <v>1.2012012012012012</v>
      </c>
      <c r="AD99" s="3">
        <f t="shared" si="85"/>
        <v>0.49073064340239914</v>
      </c>
      <c r="AE99" s="3">
        <f t="shared" si="85"/>
        <v>0</v>
      </c>
      <c r="AF99" s="3">
        <f t="shared" si="85"/>
        <v>0.46511627906976744</v>
      </c>
      <c r="AG99" s="3">
        <f t="shared" si="85"/>
        <v>3.9814814814814818</v>
      </c>
      <c r="AH99" s="3">
        <f t="shared" si="85"/>
        <v>1.1475409836065573</v>
      </c>
      <c r="AI99" s="3">
        <f t="shared" si="85"/>
        <v>4.0590405904059041</v>
      </c>
      <c r="AJ99" s="3">
        <f t="shared" si="85"/>
        <v>0.64870259481037917</v>
      </c>
      <c r="AK99" s="3">
        <f t="shared" si="85"/>
        <v>7.1544715447154479</v>
      </c>
      <c r="AL99" s="3">
        <f t="shared" si="85"/>
        <v>0</v>
      </c>
      <c r="AM99" s="3">
        <f t="shared" si="85"/>
        <v>0</v>
      </c>
      <c r="AN99" s="3">
        <f t="shared" si="85"/>
        <v>2.8756957328385901</v>
      </c>
      <c r="AO99" s="3">
        <f t="shared" si="85"/>
        <v>0</v>
      </c>
      <c r="AP99" s="3">
        <f t="shared" si="85"/>
        <v>0.36496350364963503</v>
      </c>
      <c r="AQ99" s="3">
        <f t="shared" si="85"/>
        <v>0</v>
      </c>
      <c r="AR99" s="3">
        <f t="shared" si="85"/>
        <v>0</v>
      </c>
      <c r="AS99" s="3">
        <f t="shared" si="85"/>
        <v>0</v>
      </c>
      <c r="AT99" s="3">
        <f t="shared" si="85"/>
        <v>0</v>
      </c>
      <c r="AU99" s="3">
        <f t="shared" si="85"/>
        <v>0</v>
      </c>
      <c r="AV99" s="3">
        <f t="shared" si="85"/>
        <v>0</v>
      </c>
      <c r="AW99" s="3">
        <f t="shared" si="85"/>
        <v>0</v>
      </c>
      <c r="AX99" s="3">
        <f t="shared" si="85"/>
        <v>0</v>
      </c>
      <c r="AY99" s="3">
        <f t="shared" si="85"/>
        <v>1.440329218106996</v>
      </c>
      <c r="AZ99" s="3">
        <f t="shared" si="85"/>
        <v>2.5791324736225087</v>
      </c>
      <c r="BA99" s="3">
        <f t="shared" si="85"/>
        <v>0</v>
      </c>
      <c r="BB99" s="3">
        <f t="shared" si="85"/>
        <v>1.9954819277108431</v>
      </c>
      <c r="BC99" s="3">
        <f t="shared" si="85"/>
        <v>2.992633517495396</v>
      </c>
      <c r="BD99" s="3">
        <f t="shared" si="85"/>
        <v>0</v>
      </c>
      <c r="BE99" s="3">
        <f t="shared" si="85"/>
        <v>0</v>
      </c>
      <c r="BF99" s="3">
        <f t="shared" si="85"/>
        <v>0</v>
      </c>
      <c r="BG99" s="3">
        <f t="shared" si="85"/>
        <v>0</v>
      </c>
      <c r="BH99" s="3">
        <f t="shared" si="85"/>
        <v>3.5440998791784133</v>
      </c>
      <c r="BI99" s="3">
        <f t="shared" si="85"/>
        <v>8.1728712023962338</v>
      </c>
      <c r="BJ99" s="3">
        <f t="shared" si="85"/>
        <v>0.38289725590299939</v>
      </c>
      <c r="BK99" s="3">
        <f t="shared" si="85"/>
        <v>3.5564853556485359</v>
      </c>
      <c r="BL99" s="3">
        <f t="shared" si="85"/>
        <v>0</v>
      </c>
      <c r="BM99" s="3">
        <f t="shared" si="85"/>
        <v>3.9090909090909092</v>
      </c>
      <c r="BN99" s="3">
        <f t="shared" si="85"/>
        <v>1.9519915589554206</v>
      </c>
      <c r="BO99" s="3">
        <f t="shared" si="83"/>
        <v>1.2363850456284957</v>
      </c>
      <c r="BP99" s="3">
        <f t="shared" si="83"/>
        <v>2.0337301587301586</v>
      </c>
      <c r="BQ99" s="3">
        <f t="shared" si="83"/>
        <v>0</v>
      </c>
      <c r="BR99" s="3">
        <f t="shared" si="83"/>
        <v>2.2624434389140271</v>
      </c>
      <c r="BS99" s="3">
        <f t="shared" si="83"/>
        <v>5.3090332805071316</v>
      </c>
      <c r="BT99" s="3">
        <f t="shared" si="83"/>
        <v>2.480573819485953</v>
      </c>
      <c r="BU99" s="3">
        <f t="shared" si="83"/>
        <v>6.4213814647691771</v>
      </c>
      <c r="BV99" s="3">
        <f t="shared" si="83"/>
        <v>1.3297872340425532</v>
      </c>
      <c r="BW99" s="3">
        <f t="shared" si="83"/>
        <v>0</v>
      </c>
      <c r="BX99" s="3">
        <f t="shared" si="83"/>
        <v>1.2254901960784315</v>
      </c>
      <c r="BY99" s="3">
        <f t="shared" si="83"/>
        <v>2.358490566037736</v>
      </c>
      <c r="BZ99" s="3">
        <f t="shared" si="83"/>
        <v>0</v>
      </c>
      <c r="CA99" s="3">
        <f t="shared" si="83"/>
        <v>4.562043795620438</v>
      </c>
      <c r="CB99" s="3">
        <f t="shared" si="83"/>
        <v>0</v>
      </c>
      <c r="CC99" s="3">
        <f t="shared" si="83"/>
        <v>0</v>
      </c>
      <c r="CD99" s="3">
        <f t="shared" si="83"/>
        <v>0</v>
      </c>
      <c r="CE99" s="3">
        <f t="shared" si="83"/>
        <v>0</v>
      </c>
      <c r="CF99" s="3">
        <f t="shared" si="83"/>
        <v>0</v>
      </c>
      <c r="CG99" s="3">
        <f t="shared" si="83"/>
        <v>0</v>
      </c>
      <c r="CH99" s="3">
        <f t="shared" si="83"/>
        <v>0.76804915514592931</v>
      </c>
      <c r="CI99" s="3">
        <f t="shared" si="83"/>
        <v>0</v>
      </c>
      <c r="CJ99" s="3">
        <f t="shared" si="83"/>
        <v>2.4324324324324325</v>
      </c>
      <c r="CK99" s="3">
        <f t="shared" si="83"/>
        <v>3.8502673796791447</v>
      </c>
      <c r="CL99" s="3">
        <f t="shared" si="83"/>
        <v>0</v>
      </c>
      <c r="CM99" s="3">
        <f t="shared" si="83"/>
        <v>0</v>
      </c>
      <c r="CN99" s="3">
        <f t="shared" si="83"/>
        <v>0</v>
      </c>
      <c r="CO99" s="3">
        <f t="shared" si="83"/>
        <v>0</v>
      </c>
      <c r="CP99" s="3">
        <f t="shared" si="83"/>
        <v>9.0334236675700091E-2</v>
      </c>
      <c r="CQ99" s="3">
        <f t="shared" si="83"/>
        <v>0</v>
      </c>
      <c r="CR99" s="3">
        <f t="shared" si="83"/>
        <v>2.1505376344086025</v>
      </c>
      <c r="CS99" s="3">
        <f t="shared" si="83"/>
        <v>5.7728119180633151</v>
      </c>
      <c r="CT99" s="3">
        <f t="shared" si="83"/>
        <v>0</v>
      </c>
      <c r="CU99" s="3">
        <f t="shared" si="83"/>
        <v>0</v>
      </c>
      <c r="CV99" s="3">
        <f t="shared" si="83"/>
        <v>0</v>
      </c>
      <c r="CW99" s="3">
        <f t="shared" si="83"/>
        <v>0</v>
      </c>
      <c r="CX99" s="3">
        <f t="shared" si="83"/>
        <v>0</v>
      </c>
      <c r="CY99" s="3">
        <f t="shared" si="83"/>
        <v>0</v>
      </c>
      <c r="CZ99" s="3">
        <f t="shared" si="83"/>
        <v>0</v>
      </c>
      <c r="DA99" s="3">
        <f t="shared" si="83"/>
        <v>0</v>
      </c>
      <c r="DB99" s="3">
        <f t="shared" si="83"/>
        <v>1.4197530864197532</v>
      </c>
      <c r="DC99" s="3">
        <f t="shared" si="83"/>
        <v>5.3132434575733543</v>
      </c>
      <c r="DD99" s="3">
        <f t="shared" si="83"/>
        <v>0.8045977011494253</v>
      </c>
      <c r="DE99" s="3">
        <f t="shared" si="83"/>
        <v>6.9644208932626794</v>
      </c>
      <c r="DF99" s="3">
        <f t="shared" si="83"/>
        <v>0</v>
      </c>
      <c r="DG99" s="3">
        <f t="shared" si="83"/>
        <v>0.78125</v>
      </c>
      <c r="DH99" s="3">
        <f t="shared" si="83"/>
        <v>0</v>
      </c>
      <c r="DI99" s="3">
        <f t="shared" si="83"/>
        <v>0</v>
      </c>
      <c r="DJ99" s="3">
        <f t="shared" si="83"/>
        <v>0</v>
      </c>
      <c r="DK99" s="3">
        <f t="shared" si="83"/>
        <v>2.3052464228934819</v>
      </c>
      <c r="DL99" s="3">
        <f t="shared" si="83"/>
        <v>0</v>
      </c>
      <c r="DM99" s="3">
        <f t="shared" si="83"/>
        <v>0</v>
      </c>
      <c r="DN99" s="3">
        <f t="shared" si="83"/>
        <v>0</v>
      </c>
      <c r="DO99" s="3">
        <f t="shared" si="83"/>
        <v>0</v>
      </c>
      <c r="DP99" s="3">
        <f t="shared" si="83"/>
        <v>0</v>
      </c>
      <c r="DQ99" s="3">
        <f t="shared" si="83"/>
        <v>0</v>
      </c>
      <c r="DR99" s="3">
        <f t="shared" si="83"/>
        <v>0</v>
      </c>
      <c r="DS99" s="3">
        <f t="shared" si="83"/>
        <v>0</v>
      </c>
      <c r="DT99" s="3">
        <f t="shared" si="83"/>
        <v>1.4412416851441241</v>
      </c>
      <c r="DU99" s="3">
        <f t="shared" si="83"/>
        <v>1.9694731659281144</v>
      </c>
      <c r="DV99" s="3">
        <f t="shared" si="83"/>
        <v>0</v>
      </c>
      <c r="DW99" s="3">
        <f t="shared" si="83"/>
        <v>0</v>
      </c>
      <c r="DX99" s="3">
        <f t="shared" si="83"/>
        <v>0</v>
      </c>
      <c r="DY99" s="3">
        <f t="shared" si="83"/>
        <v>0</v>
      </c>
      <c r="DZ99" s="3">
        <f t="shared" ref="DZ99:GK102" si="90">(DZ36-DZ$11)/DZ$11*100</f>
        <v>0.30715225976305399</v>
      </c>
      <c r="EA99" s="3">
        <f t="shared" si="90"/>
        <v>3.3482142857142856</v>
      </c>
      <c r="EB99" s="3">
        <f t="shared" si="90"/>
        <v>3.3703703703703702</v>
      </c>
      <c r="EC99" s="3">
        <f t="shared" si="90"/>
        <v>5.4366438356164384</v>
      </c>
      <c r="ED99" s="3">
        <f t="shared" si="90"/>
        <v>2.1305841924398625</v>
      </c>
      <c r="EE99" s="3">
        <f t="shared" si="90"/>
        <v>0</v>
      </c>
      <c r="EF99" s="3">
        <f t="shared" si="90"/>
        <v>2.7777777777777777</v>
      </c>
      <c r="EG99" s="3">
        <f t="shared" si="90"/>
        <v>2.1048744460856721</v>
      </c>
      <c r="EH99" s="3">
        <f t="shared" si="90"/>
        <v>1.8508725542041249</v>
      </c>
      <c r="EI99" s="3">
        <f t="shared" si="90"/>
        <v>0.64412238325281801</v>
      </c>
      <c r="EJ99" s="3">
        <f t="shared" si="90"/>
        <v>0.86050724637681164</v>
      </c>
      <c r="EK99" s="3">
        <f t="shared" si="90"/>
        <v>4.800540906017579</v>
      </c>
      <c r="EL99" s="3">
        <f t="shared" si="90"/>
        <v>1.4670658682634732</v>
      </c>
      <c r="EM99" s="3">
        <f t="shared" si="90"/>
        <v>8.0531340805313398</v>
      </c>
      <c r="EN99" s="3">
        <f t="shared" si="90"/>
        <v>1.6666666666666667</v>
      </c>
      <c r="EO99" s="3">
        <f t="shared" si="90"/>
        <v>7.1102413568166991</v>
      </c>
      <c r="EP99" s="3">
        <f t="shared" si="90"/>
        <v>2.083333333333333</v>
      </c>
      <c r="EQ99" s="3">
        <f t="shared" si="90"/>
        <v>0</v>
      </c>
      <c r="ER99" s="3">
        <f t="shared" si="90"/>
        <v>1.7391304347826086</v>
      </c>
      <c r="ES99" s="3">
        <f t="shared" si="90"/>
        <v>0</v>
      </c>
      <c r="ET99" s="3">
        <f t="shared" si="90"/>
        <v>1.2658227848101267</v>
      </c>
      <c r="EU99" s="3">
        <f t="shared" si="90"/>
        <v>1.0189228529839884</v>
      </c>
      <c r="EV99" s="3">
        <f t="shared" si="90"/>
        <v>0</v>
      </c>
      <c r="EW99" s="3">
        <f t="shared" si="90"/>
        <v>0</v>
      </c>
      <c r="EX99" s="3">
        <f t="shared" si="90"/>
        <v>0</v>
      </c>
      <c r="EY99" s="3">
        <f t="shared" si="90"/>
        <v>0</v>
      </c>
      <c r="EZ99" s="3">
        <f t="shared" si="90"/>
        <v>0</v>
      </c>
      <c r="FA99" s="3">
        <f t="shared" si="90"/>
        <v>0</v>
      </c>
      <c r="FB99" s="3">
        <f t="shared" si="90"/>
        <v>0</v>
      </c>
      <c r="FC99" s="3">
        <f t="shared" si="90"/>
        <v>3.070175438596491</v>
      </c>
      <c r="FD99" s="3">
        <f t="shared" si="90"/>
        <v>1.984126984126984</v>
      </c>
      <c r="FE99" s="3">
        <f t="shared" si="90"/>
        <v>0</v>
      </c>
      <c r="FF99" s="3">
        <f t="shared" si="90"/>
        <v>1.6379310344827587</v>
      </c>
      <c r="FG99" s="3">
        <f t="shared" si="90"/>
        <v>2.2346368715083798</v>
      </c>
      <c r="FH99" s="3">
        <f t="shared" si="90"/>
        <v>0</v>
      </c>
      <c r="FI99" s="3">
        <f t="shared" si="90"/>
        <v>0</v>
      </c>
      <c r="FJ99" s="3">
        <f t="shared" si="90"/>
        <v>0</v>
      </c>
      <c r="FK99" s="3">
        <f t="shared" si="90"/>
        <v>0</v>
      </c>
      <c r="FL99" s="3">
        <f t="shared" si="90"/>
        <v>1.7500000000000002</v>
      </c>
      <c r="FM99" s="3">
        <f t="shared" si="90"/>
        <v>2.8759244042728018</v>
      </c>
      <c r="FN99" s="3">
        <f t="shared" si="90"/>
        <v>0</v>
      </c>
      <c r="FO99" s="3">
        <f t="shared" si="90"/>
        <v>5.0373134328358207</v>
      </c>
      <c r="FP99" s="3">
        <f t="shared" si="90"/>
        <v>0</v>
      </c>
      <c r="FQ99" s="3">
        <f t="shared" si="90"/>
        <v>1.059001512859304</v>
      </c>
      <c r="FR99" s="3">
        <f t="shared" si="90"/>
        <v>2.8977272727272725</v>
      </c>
      <c r="FS99" s="3">
        <f t="shared" si="90"/>
        <v>0</v>
      </c>
      <c r="FT99" s="3">
        <f t="shared" si="90"/>
        <v>1.7068273092369479</v>
      </c>
      <c r="FU99" s="3">
        <f t="shared" si="90"/>
        <v>4.6814044213263983</v>
      </c>
      <c r="FV99" s="3">
        <f t="shared" si="90"/>
        <v>1.4503816793893129</v>
      </c>
      <c r="FW99" s="3">
        <f t="shared" si="90"/>
        <v>5.2282157676348548</v>
      </c>
      <c r="FX99" s="3">
        <f t="shared" si="90"/>
        <v>1.949685534591195</v>
      </c>
      <c r="FY99" s="3">
        <f t="shared" si="90"/>
        <v>7.8983516483516478</v>
      </c>
      <c r="FZ99" s="3">
        <f t="shared" si="90"/>
        <v>1.6304347826086956</v>
      </c>
      <c r="GA99" s="3">
        <f t="shared" si="90"/>
        <v>0</v>
      </c>
      <c r="GB99" s="3">
        <f t="shared" si="90"/>
        <v>2.1034180543382996</v>
      </c>
      <c r="GC99" s="3">
        <f t="shared" si="90"/>
        <v>3.800475059382423</v>
      </c>
      <c r="GD99" s="3">
        <f t="shared" si="90"/>
        <v>0</v>
      </c>
      <c r="GE99" s="3">
        <f t="shared" si="90"/>
        <v>0</v>
      </c>
      <c r="GF99" s="3">
        <f t="shared" si="90"/>
        <v>0</v>
      </c>
      <c r="GG99" s="3">
        <f t="shared" si="90"/>
        <v>0</v>
      </c>
      <c r="GH99" s="3">
        <f t="shared" si="90"/>
        <v>0</v>
      </c>
      <c r="GI99" s="3">
        <f t="shared" si="90"/>
        <v>0</v>
      </c>
      <c r="GJ99" s="3">
        <f t="shared" si="90"/>
        <v>0</v>
      </c>
      <c r="GK99" s="3">
        <f t="shared" si="90"/>
        <v>0</v>
      </c>
      <c r="GL99" s="3">
        <f t="shared" si="88"/>
        <v>0.50167224080267558</v>
      </c>
      <c r="GM99" s="3">
        <f t="shared" si="88"/>
        <v>3.1758957654723128</v>
      </c>
      <c r="GN99" s="3">
        <f t="shared" si="88"/>
        <v>2.2960429897410846</v>
      </c>
      <c r="GO99" s="3">
        <f t="shared" si="88"/>
        <v>2.0693222969477496</v>
      </c>
      <c r="GP99" s="3">
        <f t="shared" si="88"/>
        <v>0</v>
      </c>
      <c r="GQ99" s="3">
        <f t="shared" si="88"/>
        <v>0</v>
      </c>
      <c r="GR99" s="3">
        <f t="shared" si="88"/>
        <v>0</v>
      </c>
      <c r="GS99" s="3">
        <f t="shared" si="88"/>
        <v>0</v>
      </c>
      <c r="GT99" s="3">
        <f t="shared" si="88"/>
        <v>1.4317673378076063</v>
      </c>
      <c r="GU99" s="3">
        <f t="shared" si="88"/>
        <v>0</v>
      </c>
      <c r="GV99" s="3">
        <f t="shared" si="88"/>
        <v>4.6840958605664484</v>
      </c>
      <c r="GW99" s="3">
        <f t="shared" si="88"/>
        <v>5.7274826789838338</v>
      </c>
      <c r="GX99" s="3">
        <f t="shared" si="88"/>
        <v>0.28538812785388123</v>
      </c>
      <c r="GY99" s="3">
        <f t="shared" si="88"/>
        <v>0</v>
      </c>
      <c r="GZ99" s="3">
        <f t="shared" si="88"/>
        <v>0</v>
      </c>
      <c r="HA99" s="3">
        <f t="shared" si="88"/>
        <v>1.2649332396345749</v>
      </c>
      <c r="HB99" s="3">
        <f t="shared" si="88"/>
        <v>1.4310246136233544</v>
      </c>
      <c r="HC99" s="3">
        <f t="shared" si="88"/>
        <v>0</v>
      </c>
      <c r="HD99" s="3">
        <f t="shared" si="88"/>
        <v>0.59701492537313439</v>
      </c>
      <c r="HE99" s="3">
        <f t="shared" si="88"/>
        <v>5.8468957203134417</v>
      </c>
      <c r="HF99" s="3">
        <f t="shared" si="88"/>
        <v>1.8745959922430511</v>
      </c>
      <c r="HG99" s="3">
        <f t="shared" si="88"/>
        <v>5.5432372505543244</v>
      </c>
      <c r="HH99" s="3">
        <f t="shared" si="88"/>
        <v>1.3472292831723438</v>
      </c>
      <c r="HI99" s="3">
        <f t="shared" si="88"/>
        <v>5.1650366748166263</v>
      </c>
      <c r="HJ99" s="3">
        <f t="shared" si="88"/>
        <v>1.3953488372093024</v>
      </c>
      <c r="HK99" s="3">
        <f t="shared" si="88"/>
        <v>0.8875739644970414</v>
      </c>
      <c r="HL99" s="3">
        <f t="shared" si="88"/>
        <v>1.7543859649122806</v>
      </c>
      <c r="HM99" s="3">
        <f t="shared" si="88"/>
        <v>0.92081031307550654</v>
      </c>
      <c r="HN99" s="3">
        <f t="shared" si="88"/>
        <v>2.2865853658536586</v>
      </c>
      <c r="HO99" s="3">
        <f t="shared" si="88"/>
        <v>0</v>
      </c>
      <c r="HP99" s="3">
        <f t="shared" si="88"/>
        <v>0</v>
      </c>
      <c r="HQ99" s="3">
        <f t="shared" si="88"/>
        <v>0</v>
      </c>
      <c r="HR99" s="3">
        <f t="shared" si="88"/>
        <v>0</v>
      </c>
      <c r="HS99" s="3">
        <f t="shared" si="88"/>
        <v>0</v>
      </c>
      <c r="HT99" s="3">
        <f t="shared" si="88"/>
        <v>0</v>
      </c>
      <c r="HU99" s="3">
        <f t="shared" si="88"/>
        <v>0</v>
      </c>
      <c r="HV99" s="3">
        <f t="shared" si="88"/>
        <v>0</v>
      </c>
      <c r="HW99" s="3">
        <f t="shared" si="88"/>
        <v>2</v>
      </c>
      <c r="HX99" s="3">
        <f t="shared" si="88"/>
        <v>2.147239263803681</v>
      </c>
      <c r="HY99" s="3">
        <f t="shared" si="88"/>
        <v>0</v>
      </c>
      <c r="HZ99" s="3">
        <f t="shared" si="88"/>
        <v>0.43478260869565216</v>
      </c>
      <c r="IA99" s="3">
        <f t="shared" si="88"/>
        <v>0</v>
      </c>
      <c r="IB99" s="3">
        <f t="shared" si="88"/>
        <v>0</v>
      </c>
      <c r="IC99" s="3">
        <f t="shared" si="88"/>
        <v>0</v>
      </c>
      <c r="ID99" s="3">
        <f t="shared" si="88"/>
        <v>0</v>
      </c>
      <c r="IE99" s="3">
        <f t="shared" si="88"/>
        <v>0.71856287425149701</v>
      </c>
      <c r="IF99" s="3">
        <f t="shared" si="88"/>
        <v>2.1994134897360706</v>
      </c>
      <c r="IG99" s="3">
        <f t="shared" si="88"/>
        <v>1.73992673992674</v>
      </c>
      <c r="IH99" s="3">
        <f t="shared" si="88"/>
        <v>0</v>
      </c>
      <c r="II99" s="3">
        <f t="shared" si="88"/>
        <v>3.6257309941520468</v>
      </c>
      <c r="IJ99" s="3">
        <f t="shared" si="88"/>
        <v>0.6294256490952006</v>
      </c>
      <c r="IK99" s="3">
        <f t="shared" si="88"/>
        <v>2.7698863636363638</v>
      </c>
      <c r="IL99" s="3">
        <f t="shared" si="88"/>
        <v>0</v>
      </c>
      <c r="IM99" s="3">
        <f t="shared" si="88"/>
        <v>0</v>
      </c>
      <c r="IN99" s="3">
        <f t="shared" si="88"/>
        <v>0</v>
      </c>
      <c r="IO99" s="3">
        <f t="shared" si="88"/>
        <v>0</v>
      </c>
      <c r="IP99" s="3">
        <f t="shared" si="88"/>
        <v>1.887905604719764</v>
      </c>
      <c r="IQ99" s="3">
        <f t="shared" si="88"/>
        <v>5.6091148115687997</v>
      </c>
      <c r="IR99" s="3">
        <f t="shared" si="88"/>
        <v>1.0416666666666665</v>
      </c>
      <c r="IS99" s="3">
        <f t="shared" si="88"/>
        <v>9.7465886939571149</v>
      </c>
      <c r="IT99" s="3">
        <f t="shared" si="88"/>
        <v>0</v>
      </c>
      <c r="IU99" s="3">
        <f t="shared" si="88"/>
        <v>1.7825311942959003</v>
      </c>
      <c r="IV99" s="3">
        <f t="shared" si="88"/>
        <v>2.6436781609195403</v>
      </c>
      <c r="IW99" s="3">
        <f t="shared" si="86"/>
        <v>0</v>
      </c>
      <c r="IX99" s="3">
        <f t="shared" si="86"/>
        <v>0.47923322683706071</v>
      </c>
      <c r="IY99" s="3">
        <f t="shared" si="86"/>
        <v>0</v>
      </c>
      <c r="IZ99" s="3">
        <f t="shared" si="86"/>
        <v>0</v>
      </c>
      <c r="JA99" s="3">
        <f t="shared" si="86"/>
        <v>0</v>
      </c>
      <c r="JB99" s="3">
        <f t="shared" si="86"/>
        <v>0</v>
      </c>
      <c r="JC99" s="3">
        <f t="shared" si="86"/>
        <v>0</v>
      </c>
      <c r="JD99" s="3">
        <f t="shared" si="86"/>
        <v>4.9529470034670627E-2</v>
      </c>
      <c r="JE99" s="3">
        <f t="shared" si="86"/>
        <v>0</v>
      </c>
      <c r="JF99" s="3">
        <f t="shared" si="86"/>
        <v>1.2152777777777779</v>
      </c>
      <c r="JG99" s="3">
        <f t="shared" si="86"/>
        <v>0</v>
      </c>
      <c r="JH99" s="3">
        <f t="shared" si="86"/>
        <v>0</v>
      </c>
      <c r="JI99" s="3">
        <f t="shared" si="86"/>
        <v>0</v>
      </c>
      <c r="JJ99" s="3">
        <f t="shared" si="86"/>
        <v>0</v>
      </c>
      <c r="JK99" s="3">
        <f t="shared" si="86"/>
        <v>0.78636959370904314</v>
      </c>
      <c r="JL99" s="3">
        <f t="shared" si="86"/>
        <v>0</v>
      </c>
      <c r="JM99" s="3">
        <f t="shared" si="86"/>
        <v>0</v>
      </c>
      <c r="JN99" s="3">
        <f t="shared" si="86"/>
        <v>0</v>
      </c>
      <c r="JO99" s="3">
        <f t="shared" si="86"/>
        <v>1.4750762970498474</v>
      </c>
      <c r="JP99" s="3">
        <f t="shared" si="86"/>
        <v>4.3100189035916818</v>
      </c>
      <c r="JQ99" s="3">
        <f t="shared" si="86"/>
        <v>11.085016439643026</v>
      </c>
      <c r="JR99" s="3">
        <f t="shared" si="86"/>
        <v>0</v>
      </c>
      <c r="JS99" s="3">
        <f t="shared" si="86"/>
        <v>3.6410923276983094</v>
      </c>
      <c r="JT99" s="3">
        <f t="shared" si="86"/>
        <v>0.61370610296624617</v>
      </c>
      <c r="JU99" s="3">
        <f t="shared" si="86"/>
        <v>0</v>
      </c>
      <c r="JV99" s="3">
        <f t="shared" si="86"/>
        <v>2.129317060503765</v>
      </c>
      <c r="JW99" s="3">
        <f t="shared" si="86"/>
        <v>0</v>
      </c>
      <c r="JX99" s="3">
        <f t="shared" si="86"/>
        <v>1.1415525114155249</v>
      </c>
      <c r="JY99" s="3">
        <f t="shared" si="86"/>
        <v>2.0381328073635765</v>
      </c>
      <c r="JZ99" s="3">
        <f t="shared" si="86"/>
        <v>1.2692050768203071</v>
      </c>
      <c r="KA99" s="3">
        <f t="shared" si="86"/>
        <v>4.2664670658682642</v>
      </c>
      <c r="KB99" s="3">
        <f t="shared" si="86"/>
        <v>2.7192008879023311</v>
      </c>
      <c r="KC99" s="3">
        <f t="shared" si="86"/>
        <v>5.3143227478937138</v>
      </c>
      <c r="KD99" s="3">
        <f t="shared" si="86"/>
        <v>0</v>
      </c>
      <c r="KE99" s="3">
        <f t="shared" si="86"/>
        <v>5.1428571428571423</v>
      </c>
      <c r="KF99" s="3">
        <f t="shared" si="86"/>
        <v>0</v>
      </c>
      <c r="KG99" s="3">
        <f t="shared" si="86"/>
        <v>4.7945205479452051</v>
      </c>
      <c r="KH99" s="3">
        <f t="shared" si="86"/>
        <v>0.14792899408284024</v>
      </c>
      <c r="KI99" s="3">
        <f t="shared" si="86"/>
        <v>4.5302013422818792</v>
      </c>
      <c r="KJ99" s="3">
        <f t="shared" si="86"/>
        <v>0</v>
      </c>
      <c r="KK99" s="3">
        <f t="shared" si="86"/>
        <v>0</v>
      </c>
      <c r="KL99" s="3">
        <f t="shared" si="86"/>
        <v>0</v>
      </c>
      <c r="KM99" s="3">
        <f t="shared" si="86"/>
        <v>0</v>
      </c>
      <c r="KN99" s="3">
        <f t="shared" si="86"/>
        <v>0</v>
      </c>
      <c r="KO99" s="3">
        <f t="shared" si="86"/>
        <v>0</v>
      </c>
      <c r="KP99" s="3">
        <f t="shared" si="86"/>
        <v>0</v>
      </c>
      <c r="KQ99" s="3">
        <f t="shared" si="86"/>
        <v>5.4545454545454541</v>
      </c>
      <c r="KR99" s="3">
        <f t="shared" si="86"/>
        <v>0.25510204081632654</v>
      </c>
      <c r="KS99" s="3">
        <f t="shared" si="86"/>
        <v>2.1276595744680851</v>
      </c>
      <c r="KT99" s="3">
        <f t="shared" si="86"/>
        <v>0</v>
      </c>
      <c r="KU99" s="3">
        <f t="shared" si="86"/>
        <v>0</v>
      </c>
      <c r="KV99" s="3">
        <f t="shared" si="86"/>
        <v>0</v>
      </c>
      <c r="KW99" s="3">
        <f t="shared" si="86"/>
        <v>0</v>
      </c>
      <c r="KX99" s="3">
        <f t="shared" si="86"/>
        <v>0</v>
      </c>
      <c r="KY99" s="3">
        <f t="shared" si="86"/>
        <v>0</v>
      </c>
      <c r="KZ99" s="3">
        <f t="shared" si="86"/>
        <v>2.197802197802198</v>
      </c>
      <c r="LA99" s="3">
        <f t="shared" si="86"/>
        <v>7.6923076923076925</v>
      </c>
      <c r="LB99" s="3">
        <f t="shared" si="86"/>
        <v>2.4096385542168677</v>
      </c>
      <c r="LC99" s="3">
        <f t="shared" si="86"/>
        <v>0</v>
      </c>
      <c r="LD99" s="3">
        <f t="shared" si="86"/>
        <v>0.39215686274509803</v>
      </c>
      <c r="LE99" s="3">
        <f t="shared" si="86"/>
        <v>0.25231286795626579</v>
      </c>
      <c r="LF99" s="3">
        <f t="shared" si="86"/>
        <v>0</v>
      </c>
      <c r="LG99" s="3">
        <f t="shared" si="86"/>
        <v>0</v>
      </c>
      <c r="LH99" s="3">
        <f t="shared" si="86"/>
        <v>0</v>
      </c>
      <c r="LI99" s="3">
        <f t="shared" si="81"/>
        <v>2.7878787878787876</v>
      </c>
      <c r="LJ99" s="3">
        <f t="shared" si="81"/>
        <v>2.0516717325227964</v>
      </c>
      <c r="LK99" s="3">
        <f t="shared" si="81"/>
        <v>3.306451612903226</v>
      </c>
      <c r="LL99" s="3">
        <f t="shared" si="81"/>
        <v>1.7211703958691909</v>
      </c>
      <c r="LM99" s="3">
        <f t="shared" si="81"/>
        <v>6.570223025919228</v>
      </c>
      <c r="LN99" s="3">
        <f t="shared" si="72"/>
        <v>0</v>
      </c>
      <c r="LO99" s="3">
        <f t="shared" si="72"/>
        <v>0</v>
      </c>
      <c r="LP99" s="3">
        <f t="shared" ref="LP99:MW99" si="91">(LP36-LP$11)/LP$11*100</f>
        <v>2.880658436213992</v>
      </c>
      <c r="LQ99" s="3">
        <f t="shared" si="91"/>
        <v>0.30706243602865912</v>
      </c>
      <c r="LR99" s="3">
        <f t="shared" si="91"/>
        <v>0.92905405405405406</v>
      </c>
      <c r="LS99" s="3">
        <f t="shared" si="91"/>
        <v>3.1775700934579438</v>
      </c>
      <c r="LT99" s="3">
        <f t="shared" si="91"/>
        <v>0</v>
      </c>
      <c r="LU99" s="3">
        <f t="shared" si="91"/>
        <v>0</v>
      </c>
      <c r="LV99" s="3">
        <f t="shared" si="91"/>
        <v>0</v>
      </c>
      <c r="LW99" s="3">
        <f t="shared" si="91"/>
        <v>0</v>
      </c>
      <c r="LX99" s="3">
        <f t="shared" si="91"/>
        <v>0</v>
      </c>
      <c r="LY99" s="3">
        <f t="shared" si="91"/>
        <v>0</v>
      </c>
      <c r="LZ99" s="3">
        <f t="shared" si="91"/>
        <v>1.6858917480035491</v>
      </c>
      <c r="MA99" s="3">
        <f t="shared" si="91"/>
        <v>0</v>
      </c>
      <c r="MB99" s="3">
        <f t="shared" si="91"/>
        <v>2.2362664073894019</v>
      </c>
      <c r="MC99" s="3">
        <f t="shared" si="91"/>
        <v>0</v>
      </c>
      <c r="MD99" s="3">
        <f t="shared" si="91"/>
        <v>1.0232558139534882</v>
      </c>
      <c r="ME99" s="3">
        <f t="shared" si="91"/>
        <v>0</v>
      </c>
      <c r="MF99" s="3">
        <f t="shared" si="91"/>
        <v>0</v>
      </c>
      <c r="MG99" s="3">
        <f t="shared" si="91"/>
        <v>0</v>
      </c>
      <c r="MH99" s="3">
        <f t="shared" si="91"/>
        <v>1.7543859649122806</v>
      </c>
      <c r="MI99" s="3">
        <f t="shared" si="91"/>
        <v>0</v>
      </c>
      <c r="MJ99" s="3">
        <f t="shared" si="91"/>
        <v>4.6691027202598452</v>
      </c>
      <c r="MK99" s="3">
        <f t="shared" si="91"/>
        <v>4.032889584964761</v>
      </c>
      <c r="ML99" s="3">
        <f t="shared" si="91"/>
        <v>1.4966740576496673</v>
      </c>
      <c r="MM99" s="3">
        <f t="shared" si="91"/>
        <v>0</v>
      </c>
      <c r="MN99" s="3">
        <f t="shared" si="91"/>
        <v>0.5992010652463382</v>
      </c>
      <c r="MO99" s="3">
        <f t="shared" si="91"/>
        <v>3.8663663663663668</v>
      </c>
      <c r="MP99" s="3">
        <f t="shared" si="91"/>
        <v>0</v>
      </c>
      <c r="MQ99" s="3">
        <f t="shared" si="91"/>
        <v>0</v>
      </c>
      <c r="MR99" s="3">
        <f t="shared" si="91"/>
        <v>1.3705335291238374</v>
      </c>
      <c r="MS99" s="3">
        <f t="shared" si="91"/>
        <v>0</v>
      </c>
      <c r="MT99" s="3">
        <f t="shared" si="91"/>
        <v>2.187948350071736</v>
      </c>
      <c r="MU99" s="3">
        <f t="shared" si="91"/>
        <v>4.5575389289783521</v>
      </c>
      <c r="MV99" s="3">
        <f t="shared" si="91"/>
        <v>1.665799062988027</v>
      </c>
      <c r="MW99" s="3">
        <f t="shared" si="91"/>
        <v>7.0148331273176767</v>
      </c>
      <c r="MX99" s="3"/>
      <c r="MY99" s="3"/>
    </row>
    <row r="100" spans="1:363" x14ac:dyDescent="0.3">
      <c r="A100" s="3">
        <v>26</v>
      </c>
      <c r="B100" s="3">
        <f t="shared" si="33"/>
        <v>1.1494252873563218</v>
      </c>
      <c r="C100" s="3">
        <f t="shared" si="85"/>
        <v>0</v>
      </c>
      <c r="D100" s="3">
        <f t="shared" si="85"/>
        <v>0.21186440677966101</v>
      </c>
      <c r="E100" s="3">
        <f t="shared" si="85"/>
        <v>6.192660550458716</v>
      </c>
      <c r="F100" s="3">
        <f t="shared" si="85"/>
        <v>0</v>
      </c>
      <c r="G100" s="3">
        <f t="shared" si="85"/>
        <v>2.1032504780114722</v>
      </c>
      <c r="H100" s="3">
        <f t="shared" si="85"/>
        <v>0</v>
      </c>
      <c r="I100" s="3">
        <f t="shared" si="85"/>
        <v>0</v>
      </c>
      <c r="J100" s="3">
        <f t="shared" si="85"/>
        <v>0</v>
      </c>
      <c r="K100" s="3">
        <f t="shared" si="85"/>
        <v>0</v>
      </c>
      <c r="L100" s="3">
        <f t="shared" si="85"/>
        <v>0</v>
      </c>
      <c r="M100" s="3">
        <f t="shared" si="85"/>
        <v>0</v>
      </c>
      <c r="N100" s="3">
        <f t="shared" si="85"/>
        <v>1.4678899082568808</v>
      </c>
      <c r="O100" s="3">
        <f t="shared" si="85"/>
        <v>1.0373443983402488</v>
      </c>
      <c r="P100" s="3">
        <f t="shared" si="85"/>
        <v>1.364522417153996</v>
      </c>
      <c r="Q100" s="3">
        <f t="shared" si="85"/>
        <v>0</v>
      </c>
      <c r="R100" s="3">
        <f t="shared" si="85"/>
        <v>0.58027079303675055</v>
      </c>
      <c r="S100" s="3">
        <f t="shared" si="85"/>
        <v>2.6018099547511313</v>
      </c>
      <c r="T100" s="3">
        <f t="shared" si="85"/>
        <v>0</v>
      </c>
      <c r="U100" s="3">
        <f t="shared" si="85"/>
        <v>0</v>
      </c>
      <c r="V100" s="3">
        <f t="shared" si="85"/>
        <v>0</v>
      </c>
      <c r="W100" s="3">
        <f t="shared" si="85"/>
        <v>2.7777777777777777</v>
      </c>
      <c r="X100" s="3">
        <f t="shared" si="85"/>
        <v>0.93023255813953487</v>
      </c>
      <c r="Y100" s="3">
        <f t="shared" si="85"/>
        <v>8.5869565217391308</v>
      </c>
      <c r="Z100" s="3">
        <f t="shared" si="85"/>
        <v>0.28490028490028491</v>
      </c>
      <c r="AA100" s="3">
        <f t="shared" si="85"/>
        <v>0.66152149944873206</v>
      </c>
      <c r="AB100" s="3">
        <f t="shared" si="85"/>
        <v>1.6379310344827587</v>
      </c>
      <c r="AC100" s="3">
        <f t="shared" si="85"/>
        <v>0.37537537537537535</v>
      </c>
      <c r="AD100" s="3">
        <f t="shared" si="85"/>
        <v>0.43620501635768816</v>
      </c>
      <c r="AE100" s="3">
        <f t="shared" si="85"/>
        <v>0</v>
      </c>
      <c r="AF100" s="3">
        <f t="shared" si="85"/>
        <v>0.46511627906976744</v>
      </c>
      <c r="AG100" s="3">
        <f t="shared" si="85"/>
        <v>3.9814814814814818</v>
      </c>
      <c r="AH100" s="3">
        <f t="shared" si="85"/>
        <v>0.9289617486338797</v>
      </c>
      <c r="AI100" s="3">
        <f t="shared" si="85"/>
        <v>4.0590405904059041</v>
      </c>
      <c r="AJ100" s="3">
        <f t="shared" si="85"/>
        <v>0.54890219560878251</v>
      </c>
      <c r="AK100" s="3">
        <f t="shared" si="85"/>
        <v>7.3983739837398383</v>
      </c>
      <c r="AL100" s="3">
        <f t="shared" si="85"/>
        <v>0</v>
      </c>
      <c r="AM100" s="3">
        <f t="shared" si="85"/>
        <v>0</v>
      </c>
      <c r="AN100" s="3">
        <f t="shared" si="85"/>
        <v>2.9684601113172544</v>
      </c>
      <c r="AO100" s="3">
        <f t="shared" si="85"/>
        <v>0</v>
      </c>
      <c r="AP100" s="3">
        <f t="shared" si="85"/>
        <v>0.36496350364963503</v>
      </c>
      <c r="AQ100" s="3">
        <f t="shared" si="85"/>
        <v>0</v>
      </c>
      <c r="AR100" s="3">
        <f t="shared" si="85"/>
        <v>0</v>
      </c>
      <c r="AS100" s="3">
        <f t="shared" si="85"/>
        <v>0</v>
      </c>
      <c r="AT100" s="3">
        <f t="shared" si="85"/>
        <v>0</v>
      </c>
      <c r="AU100" s="3">
        <f t="shared" si="85"/>
        <v>0</v>
      </c>
      <c r="AV100" s="3">
        <f t="shared" si="85"/>
        <v>0</v>
      </c>
      <c r="AW100" s="3">
        <f t="shared" si="85"/>
        <v>0</v>
      </c>
      <c r="AX100" s="3">
        <f t="shared" si="85"/>
        <v>0</v>
      </c>
      <c r="AY100" s="3">
        <f t="shared" si="85"/>
        <v>0.75445816186556924</v>
      </c>
      <c r="AZ100" s="3">
        <f t="shared" si="85"/>
        <v>2.3446658851113718</v>
      </c>
      <c r="BA100" s="3">
        <f t="shared" si="85"/>
        <v>0</v>
      </c>
      <c r="BB100" s="3">
        <f t="shared" si="85"/>
        <v>1.7695783132530123</v>
      </c>
      <c r="BC100" s="3">
        <f t="shared" si="85"/>
        <v>3.0847145488029466</v>
      </c>
      <c r="BD100" s="3">
        <f t="shared" si="85"/>
        <v>0</v>
      </c>
      <c r="BE100" s="3">
        <f t="shared" si="85"/>
        <v>0</v>
      </c>
      <c r="BF100" s="3">
        <f t="shared" si="85"/>
        <v>0</v>
      </c>
      <c r="BG100" s="3">
        <f t="shared" si="85"/>
        <v>0</v>
      </c>
      <c r="BH100" s="3">
        <f t="shared" si="85"/>
        <v>4.3898509867096251</v>
      </c>
      <c r="BI100" s="3">
        <f t="shared" si="85"/>
        <v>7.1887034659820284</v>
      </c>
      <c r="BJ100" s="3">
        <f t="shared" si="85"/>
        <v>0.25526483726866628</v>
      </c>
      <c r="BK100" s="3">
        <f t="shared" si="85"/>
        <v>3.8179916317991633</v>
      </c>
      <c r="BL100" s="3">
        <f t="shared" si="85"/>
        <v>0</v>
      </c>
      <c r="BM100" s="3">
        <f t="shared" si="85"/>
        <v>4.2727272727272725</v>
      </c>
      <c r="BN100" s="3">
        <f t="shared" ref="BN100:DY103" si="92">(BN37-BN$11)/BN$11*100</f>
        <v>1.9783698232656293</v>
      </c>
      <c r="BO100" s="3">
        <f t="shared" si="92"/>
        <v>1.7957020900794818</v>
      </c>
      <c r="BP100" s="3">
        <f t="shared" si="92"/>
        <v>2.2321428571428572</v>
      </c>
      <c r="BQ100" s="3">
        <f t="shared" si="92"/>
        <v>0</v>
      </c>
      <c r="BR100" s="3">
        <f t="shared" si="92"/>
        <v>2.5263951734539969</v>
      </c>
      <c r="BS100" s="3">
        <f t="shared" si="92"/>
        <v>5.4278922345483354</v>
      </c>
      <c r="BT100" s="3">
        <f t="shared" si="92"/>
        <v>2.6001195457262405</v>
      </c>
      <c r="BU100" s="3">
        <f t="shared" si="92"/>
        <v>5.8313085734120103</v>
      </c>
      <c r="BV100" s="3">
        <f t="shared" si="92"/>
        <v>1.3297872340425532</v>
      </c>
      <c r="BW100" s="3">
        <f t="shared" si="92"/>
        <v>0</v>
      </c>
      <c r="BX100" s="3">
        <f t="shared" si="92"/>
        <v>1.2254901960784315</v>
      </c>
      <c r="BY100" s="3">
        <f t="shared" si="92"/>
        <v>2.1226415094339623</v>
      </c>
      <c r="BZ100" s="3">
        <f t="shared" si="92"/>
        <v>0.16806722689075632</v>
      </c>
      <c r="CA100" s="3">
        <f t="shared" si="92"/>
        <v>4.562043795620438</v>
      </c>
      <c r="CB100" s="3">
        <f t="shared" si="92"/>
        <v>0</v>
      </c>
      <c r="CC100" s="3">
        <f t="shared" si="92"/>
        <v>0</v>
      </c>
      <c r="CD100" s="3">
        <f t="shared" si="92"/>
        <v>0</v>
      </c>
      <c r="CE100" s="3">
        <f t="shared" si="92"/>
        <v>0</v>
      </c>
      <c r="CF100" s="3">
        <f t="shared" si="92"/>
        <v>0</v>
      </c>
      <c r="CG100" s="3">
        <f t="shared" si="92"/>
        <v>0</v>
      </c>
      <c r="CH100" s="3">
        <f t="shared" si="92"/>
        <v>0.76804915514592931</v>
      </c>
      <c r="CI100" s="3">
        <f t="shared" si="92"/>
        <v>0</v>
      </c>
      <c r="CJ100" s="3">
        <f t="shared" si="92"/>
        <v>2.4324324324324325</v>
      </c>
      <c r="CK100" s="3">
        <f t="shared" si="92"/>
        <v>3.8502673796791447</v>
      </c>
      <c r="CL100" s="3">
        <f t="shared" si="92"/>
        <v>0</v>
      </c>
      <c r="CM100" s="3">
        <f t="shared" si="92"/>
        <v>0</v>
      </c>
      <c r="CN100" s="3">
        <f t="shared" si="92"/>
        <v>0</v>
      </c>
      <c r="CO100" s="3">
        <f t="shared" si="92"/>
        <v>0</v>
      </c>
      <c r="CP100" s="3">
        <f t="shared" si="92"/>
        <v>0</v>
      </c>
      <c r="CQ100" s="3">
        <f t="shared" si="92"/>
        <v>0</v>
      </c>
      <c r="CR100" s="3">
        <f t="shared" si="92"/>
        <v>1.8637992831541221</v>
      </c>
      <c r="CS100" s="3">
        <f t="shared" si="92"/>
        <v>5.1210428305400377</v>
      </c>
      <c r="CT100" s="3">
        <f t="shared" si="92"/>
        <v>0</v>
      </c>
      <c r="CU100" s="3">
        <f t="shared" si="92"/>
        <v>0</v>
      </c>
      <c r="CV100" s="3">
        <f t="shared" si="92"/>
        <v>0</v>
      </c>
      <c r="CW100" s="3">
        <f t="shared" si="92"/>
        <v>0</v>
      </c>
      <c r="CX100" s="3">
        <f t="shared" si="92"/>
        <v>0</v>
      </c>
      <c r="CY100" s="3">
        <f t="shared" si="92"/>
        <v>0</v>
      </c>
      <c r="CZ100" s="3">
        <f t="shared" si="92"/>
        <v>0</v>
      </c>
      <c r="DA100" s="3">
        <f t="shared" si="92"/>
        <v>0</v>
      </c>
      <c r="DB100" s="3">
        <f t="shared" si="92"/>
        <v>1.2962962962962963</v>
      </c>
      <c r="DC100" s="3">
        <f t="shared" si="92"/>
        <v>4.7581284694686756</v>
      </c>
      <c r="DD100" s="3">
        <f t="shared" si="92"/>
        <v>0.8045977011494253</v>
      </c>
      <c r="DE100" s="3">
        <f t="shared" si="92"/>
        <v>7.6457229371688111</v>
      </c>
      <c r="DF100" s="3">
        <f t="shared" si="92"/>
        <v>0</v>
      </c>
      <c r="DG100" s="3">
        <f t="shared" si="92"/>
        <v>0.9375</v>
      </c>
      <c r="DH100" s="3">
        <f t="shared" si="92"/>
        <v>0</v>
      </c>
      <c r="DI100" s="3">
        <f t="shared" si="92"/>
        <v>9.1996320147194111E-2</v>
      </c>
      <c r="DJ100" s="3">
        <f t="shared" si="92"/>
        <v>0</v>
      </c>
      <c r="DK100" s="3">
        <f t="shared" si="92"/>
        <v>2.5437201907790143</v>
      </c>
      <c r="DL100" s="3">
        <f t="shared" si="92"/>
        <v>0</v>
      </c>
      <c r="DM100" s="3">
        <f t="shared" si="92"/>
        <v>0</v>
      </c>
      <c r="DN100" s="3">
        <f t="shared" si="92"/>
        <v>0</v>
      </c>
      <c r="DO100" s="3">
        <f t="shared" si="92"/>
        <v>0</v>
      </c>
      <c r="DP100" s="3">
        <f t="shared" si="92"/>
        <v>0</v>
      </c>
      <c r="DQ100" s="3">
        <f t="shared" si="92"/>
        <v>0</v>
      </c>
      <c r="DR100" s="3">
        <f t="shared" si="92"/>
        <v>0</v>
      </c>
      <c r="DS100" s="3">
        <f t="shared" si="92"/>
        <v>0</v>
      </c>
      <c r="DT100" s="3">
        <f t="shared" si="92"/>
        <v>1.5521064301552108</v>
      </c>
      <c r="DU100" s="3">
        <f t="shared" si="92"/>
        <v>1.9694731659281144</v>
      </c>
      <c r="DV100" s="3">
        <f t="shared" si="92"/>
        <v>0</v>
      </c>
      <c r="DW100" s="3">
        <f t="shared" si="92"/>
        <v>0</v>
      </c>
      <c r="DX100" s="3">
        <f t="shared" si="92"/>
        <v>0</v>
      </c>
      <c r="DY100" s="3">
        <f t="shared" si="92"/>
        <v>0</v>
      </c>
      <c r="DZ100" s="3">
        <f t="shared" si="90"/>
        <v>0.17551557700745943</v>
      </c>
      <c r="EA100" s="3">
        <f t="shared" si="90"/>
        <v>4.296875</v>
      </c>
      <c r="EB100" s="3">
        <f t="shared" si="90"/>
        <v>3.7407407407407409</v>
      </c>
      <c r="EC100" s="3">
        <f t="shared" si="90"/>
        <v>6.5496575342465748</v>
      </c>
      <c r="ED100" s="3">
        <f t="shared" si="90"/>
        <v>2.0618556701030926</v>
      </c>
      <c r="EE100" s="3">
        <f t="shared" si="90"/>
        <v>0</v>
      </c>
      <c r="EF100" s="3">
        <f t="shared" si="90"/>
        <v>3.017832647462277</v>
      </c>
      <c r="EG100" s="3">
        <f t="shared" si="90"/>
        <v>2.3633677991137372</v>
      </c>
      <c r="EH100" s="3">
        <f t="shared" si="90"/>
        <v>1.6657852987837123</v>
      </c>
      <c r="EI100" s="3">
        <f t="shared" si="90"/>
        <v>0.29522275899087497</v>
      </c>
      <c r="EJ100" s="3">
        <f t="shared" si="90"/>
        <v>0.86050724637681164</v>
      </c>
      <c r="EK100" s="3">
        <f t="shared" si="90"/>
        <v>3.9891818796484109</v>
      </c>
      <c r="EL100" s="3">
        <f t="shared" si="90"/>
        <v>1.4071856287425151</v>
      </c>
      <c r="EM100" s="3">
        <f t="shared" si="90"/>
        <v>7.0983810709838115</v>
      </c>
      <c r="EN100" s="3">
        <f t="shared" si="90"/>
        <v>1.6666666666666667</v>
      </c>
      <c r="EO100" s="3">
        <f t="shared" si="90"/>
        <v>7.240704500978473</v>
      </c>
      <c r="EP100" s="3">
        <f t="shared" si="90"/>
        <v>2.083333333333333</v>
      </c>
      <c r="EQ100" s="3">
        <f t="shared" si="90"/>
        <v>0</v>
      </c>
      <c r="ER100" s="3">
        <f t="shared" si="90"/>
        <v>1.7391304347826086</v>
      </c>
      <c r="ES100" s="3">
        <f t="shared" si="90"/>
        <v>0</v>
      </c>
      <c r="ET100" s="3">
        <f t="shared" si="90"/>
        <v>1.2658227848101267</v>
      </c>
      <c r="EU100" s="3">
        <f t="shared" si="90"/>
        <v>1.0189228529839884</v>
      </c>
      <c r="EV100" s="3">
        <f t="shared" si="90"/>
        <v>0</v>
      </c>
      <c r="EW100" s="3">
        <f t="shared" si="90"/>
        <v>0</v>
      </c>
      <c r="EX100" s="3">
        <f t="shared" si="90"/>
        <v>0</v>
      </c>
      <c r="EY100" s="3">
        <f t="shared" si="90"/>
        <v>0</v>
      </c>
      <c r="EZ100" s="3">
        <f t="shared" si="90"/>
        <v>0</v>
      </c>
      <c r="FA100" s="3">
        <f t="shared" si="90"/>
        <v>0</v>
      </c>
      <c r="FB100" s="3">
        <f t="shared" si="90"/>
        <v>0</v>
      </c>
      <c r="FC100" s="3">
        <f t="shared" si="90"/>
        <v>3.070175438596491</v>
      </c>
      <c r="FD100" s="3">
        <f t="shared" si="90"/>
        <v>2.1164021164021163</v>
      </c>
      <c r="FE100" s="3">
        <f t="shared" si="90"/>
        <v>0</v>
      </c>
      <c r="FF100" s="3">
        <f t="shared" si="90"/>
        <v>1.6379310344827587</v>
      </c>
      <c r="FG100" s="3">
        <f t="shared" si="90"/>
        <v>1.8621973929236499</v>
      </c>
      <c r="FH100" s="3">
        <f t="shared" si="90"/>
        <v>0</v>
      </c>
      <c r="FI100" s="3">
        <f t="shared" si="90"/>
        <v>0</v>
      </c>
      <c r="FJ100" s="3">
        <f t="shared" si="90"/>
        <v>0</v>
      </c>
      <c r="FK100" s="3">
        <f t="shared" si="90"/>
        <v>0</v>
      </c>
      <c r="FL100" s="3">
        <f t="shared" si="90"/>
        <v>2</v>
      </c>
      <c r="FM100" s="3">
        <f t="shared" si="90"/>
        <v>2.38290879211175</v>
      </c>
      <c r="FN100" s="3">
        <f t="shared" si="90"/>
        <v>0</v>
      </c>
      <c r="FO100" s="3">
        <f t="shared" si="90"/>
        <v>5.0373134328358207</v>
      </c>
      <c r="FP100" s="3">
        <f t="shared" si="90"/>
        <v>0</v>
      </c>
      <c r="FQ100" s="3">
        <f t="shared" si="90"/>
        <v>0.75642965204236012</v>
      </c>
      <c r="FR100" s="3">
        <f t="shared" si="90"/>
        <v>2.8409090909090908</v>
      </c>
      <c r="FS100" s="3">
        <f t="shared" si="90"/>
        <v>0</v>
      </c>
      <c r="FT100" s="3">
        <f t="shared" si="90"/>
        <v>1.6064257028112447</v>
      </c>
      <c r="FU100" s="3">
        <f t="shared" si="90"/>
        <v>4.6814044213263983</v>
      </c>
      <c r="FV100" s="3">
        <f t="shared" si="90"/>
        <v>1.6030534351145038</v>
      </c>
      <c r="FW100" s="3">
        <f t="shared" si="90"/>
        <v>5.2282157676348548</v>
      </c>
      <c r="FX100" s="3">
        <f t="shared" si="90"/>
        <v>1.7610062893081762</v>
      </c>
      <c r="FY100" s="3">
        <f t="shared" si="90"/>
        <v>7.6236263736263741</v>
      </c>
      <c r="FZ100" s="3">
        <f t="shared" si="90"/>
        <v>1.6304347826086956</v>
      </c>
      <c r="GA100" s="3">
        <f t="shared" si="90"/>
        <v>0</v>
      </c>
      <c r="GB100" s="3">
        <f t="shared" si="90"/>
        <v>2.1034180543382996</v>
      </c>
      <c r="GC100" s="3">
        <f t="shared" si="90"/>
        <v>3.5629453681710213</v>
      </c>
      <c r="GD100" s="3">
        <f t="shared" si="90"/>
        <v>0</v>
      </c>
      <c r="GE100" s="3">
        <f t="shared" si="90"/>
        <v>0</v>
      </c>
      <c r="GF100" s="3">
        <f t="shared" si="90"/>
        <v>0</v>
      </c>
      <c r="GG100" s="3">
        <f t="shared" si="90"/>
        <v>0</v>
      </c>
      <c r="GH100" s="3">
        <f t="shared" si="90"/>
        <v>0</v>
      </c>
      <c r="GI100" s="3">
        <f t="shared" si="90"/>
        <v>0</v>
      </c>
      <c r="GJ100" s="3">
        <f t="shared" si="90"/>
        <v>0</v>
      </c>
      <c r="GK100" s="3">
        <f t="shared" si="90"/>
        <v>0</v>
      </c>
      <c r="GL100" s="3">
        <f t="shared" si="88"/>
        <v>0.50167224080267558</v>
      </c>
      <c r="GM100" s="3">
        <f t="shared" si="88"/>
        <v>4.315960912052117</v>
      </c>
      <c r="GN100" s="3">
        <f t="shared" si="88"/>
        <v>2.3448949682462139</v>
      </c>
      <c r="GO100" s="3">
        <f t="shared" si="88"/>
        <v>1.7589239524055871</v>
      </c>
      <c r="GP100" s="3">
        <f t="shared" si="88"/>
        <v>0</v>
      </c>
      <c r="GQ100" s="3">
        <f t="shared" si="88"/>
        <v>0</v>
      </c>
      <c r="GR100" s="3">
        <f t="shared" si="88"/>
        <v>0</v>
      </c>
      <c r="GS100" s="3">
        <f t="shared" si="88"/>
        <v>0</v>
      </c>
      <c r="GT100" s="3">
        <f t="shared" si="88"/>
        <v>1.029082774049217</v>
      </c>
      <c r="GU100" s="3">
        <f t="shared" si="88"/>
        <v>0</v>
      </c>
      <c r="GV100" s="3">
        <f t="shared" si="88"/>
        <v>5.0108932461873641</v>
      </c>
      <c r="GW100" s="3">
        <f t="shared" si="88"/>
        <v>5.9122401847575059</v>
      </c>
      <c r="GX100" s="3">
        <f t="shared" si="88"/>
        <v>5.7077625570776253E-2</v>
      </c>
      <c r="GY100" s="3">
        <f t="shared" si="88"/>
        <v>0</v>
      </c>
      <c r="GZ100" s="3">
        <f t="shared" si="88"/>
        <v>0</v>
      </c>
      <c r="HA100" s="3">
        <f t="shared" si="88"/>
        <v>1.6865776528460996</v>
      </c>
      <c r="HB100" s="3">
        <f t="shared" si="88"/>
        <v>1.4310246136233544</v>
      </c>
      <c r="HC100" s="3">
        <f t="shared" si="88"/>
        <v>0</v>
      </c>
      <c r="HD100" s="3">
        <f t="shared" si="88"/>
        <v>0.54726368159203986</v>
      </c>
      <c r="HE100" s="3">
        <f t="shared" si="88"/>
        <v>6.2688366485834841</v>
      </c>
      <c r="HF100" s="3">
        <f t="shared" si="88"/>
        <v>1.7129928894634778</v>
      </c>
      <c r="HG100" s="3">
        <f t="shared" si="88"/>
        <v>5.2475979305247593</v>
      </c>
      <c r="HH100" s="3">
        <f t="shared" si="88"/>
        <v>1.1947127605490595</v>
      </c>
      <c r="HI100" s="3">
        <f t="shared" si="88"/>
        <v>4.309290953545232</v>
      </c>
      <c r="HJ100" s="3">
        <f t="shared" si="88"/>
        <v>1.3953488372093024</v>
      </c>
      <c r="HK100" s="3">
        <f t="shared" si="88"/>
        <v>0.8875739644970414</v>
      </c>
      <c r="HL100" s="3">
        <f t="shared" si="88"/>
        <v>1.7543859649122806</v>
      </c>
      <c r="HM100" s="3">
        <f t="shared" si="88"/>
        <v>0.18416206261510129</v>
      </c>
      <c r="HN100" s="3">
        <f t="shared" si="88"/>
        <v>2.2865853658536586</v>
      </c>
      <c r="HO100" s="3">
        <f t="shared" si="88"/>
        <v>0</v>
      </c>
      <c r="HP100" s="3">
        <f t="shared" si="88"/>
        <v>0</v>
      </c>
      <c r="HQ100" s="3">
        <f t="shared" si="88"/>
        <v>0</v>
      </c>
      <c r="HR100" s="3">
        <f t="shared" si="88"/>
        <v>0</v>
      </c>
      <c r="HS100" s="3">
        <f t="shared" si="88"/>
        <v>0</v>
      </c>
      <c r="HT100" s="3">
        <f t="shared" si="88"/>
        <v>0</v>
      </c>
      <c r="HU100" s="3">
        <f t="shared" si="88"/>
        <v>0</v>
      </c>
      <c r="HV100" s="3">
        <f t="shared" si="88"/>
        <v>0</v>
      </c>
      <c r="HW100" s="3">
        <f t="shared" si="88"/>
        <v>2</v>
      </c>
      <c r="HX100" s="3">
        <f t="shared" si="88"/>
        <v>2.147239263803681</v>
      </c>
      <c r="HY100" s="3">
        <f t="shared" si="88"/>
        <v>0</v>
      </c>
      <c r="HZ100" s="3">
        <f t="shared" si="88"/>
        <v>0.43478260869565216</v>
      </c>
      <c r="IA100" s="3">
        <f t="shared" si="88"/>
        <v>0</v>
      </c>
      <c r="IB100" s="3">
        <f t="shared" si="88"/>
        <v>0</v>
      </c>
      <c r="IC100" s="3">
        <f t="shared" si="88"/>
        <v>0</v>
      </c>
      <c r="ID100" s="3">
        <f t="shared" si="88"/>
        <v>0</v>
      </c>
      <c r="IE100" s="3">
        <f t="shared" si="88"/>
        <v>0.71856287425149701</v>
      </c>
      <c r="IF100" s="3">
        <f t="shared" si="88"/>
        <v>1.8328445747800588</v>
      </c>
      <c r="IG100" s="3">
        <f t="shared" si="88"/>
        <v>3.2051282051282048</v>
      </c>
      <c r="IH100" s="3">
        <f t="shared" si="88"/>
        <v>0</v>
      </c>
      <c r="II100" s="3">
        <f t="shared" si="88"/>
        <v>3.8596491228070176</v>
      </c>
      <c r="IJ100" s="3">
        <f t="shared" si="88"/>
        <v>0.47206923682140045</v>
      </c>
      <c r="IK100" s="3">
        <f t="shared" si="88"/>
        <v>2.4857954545454546</v>
      </c>
      <c r="IL100" s="3">
        <f t="shared" si="88"/>
        <v>0</v>
      </c>
      <c r="IM100" s="3">
        <f t="shared" si="88"/>
        <v>0</v>
      </c>
      <c r="IN100" s="3">
        <f t="shared" si="88"/>
        <v>0</v>
      </c>
      <c r="IO100" s="3">
        <f t="shared" si="88"/>
        <v>0</v>
      </c>
      <c r="IP100" s="3">
        <f t="shared" si="88"/>
        <v>2.2418879056047198</v>
      </c>
      <c r="IQ100" s="3">
        <f t="shared" si="88"/>
        <v>7.5372480280455729</v>
      </c>
      <c r="IR100" s="3">
        <f t="shared" si="88"/>
        <v>0.52083333333333326</v>
      </c>
      <c r="IS100" s="3">
        <f t="shared" si="88"/>
        <v>8.9668615984405449</v>
      </c>
      <c r="IT100" s="3">
        <f t="shared" si="88"/>
        <v>0</v>
      </c>
      <c r="IU100" s="3">
        <f t="shared" si="88"/>
        <v>1.7825311942959003</v>
      </c>
      <c r="IV100" s="3">
        <f t="shared" si="88"/>
        <v>2.6436781609195403</v>
      </c>
      <c r="IW100" s="3">
        <f t="shared" si="86"/>
        <v>0</v>
      </c>
      <c r="IX100" s="3">
        <f t="shared" si="86"/>
        <v>0.39936102236421722</v>
      </c>
      <c r="IY100" s="3">
        <f t="shared" si="86"/>
        <v>0</v>
      </c>
      <c r="IZ100" s="3">
        <f t="shared" si="86"/>
        <v>0</v>
      </c>
      <c r="JA100" s="3">
        <f t="shared" si="86"/>
        <v>0</v>
      </c>
      <c r="JB100" s="3">
        <f t="shared" si="86"/>
        <v>0</v>
      </c>
      <c r="JC100" s="3">
        <f t="shared" si="86"/>
        <v>0</v>
      </c>
      <c r="JD100" s="3">
        <f t="shared" si="86"/>
        <v>0</v>
      </c>
      <c r="JE100" s="3">
        <f t="shared" si="86"/>
        <v>0</v>
      </c>
      <c r="JF100" s="3">
        <f t="shared" si="86"/>
        <v>1.0416666666666665</v>
      </c>
      <c r="JG100" s="3">
        <f t="shared" si="86"/>
        <v>0</v>
      </c>
      <c r="JH100" s="3">
        <f t="shared" si="86"/>
        <v>0</v>
      </c>
      <c r="JI100" s="3">
        <f t="shared" si="86"/>
        <v>0</v>
      </c>
      <c r="JJ100" s="3">
        <f t="shared" si="86"/>
        <v>0</v>
      </c>
      <c r="JK100" s="3">
        <f t="shared" si="86"/>
        <v>0.87374399301004801</v>
      </c>
      <c r="JL100" s="3">
        <f t="shared" si="86"/>
        <v>0</v>
      </c>
      <c r="JM100" s="3">
        <f t="shared" si="86"/>
        <v>0</v>
      </c>
      <c r="JN100" s="3">
        <f t="shared" si="86"/>
        <v>0</v>
      </c>
      <c r="JO100" s="3">
        <f t="shared" si="86"/>
        <v>1.5768056968463884</v>
      </c>
      <c r="JP100" s="3">
        <f t="shared" si="86"/>
        <v>5.2930056710775046</v>
      </c>
      <c r="JQ100" s="3">
        <f t="shared" si="86"/>
        <v>9.6759041803663699</v>
      </c>
      <c r="JR100" s="3">
        <f t="shared" si="86"/>
        <v>0</v>
      </c>
      <c r="JS100" s="3">
        <f t="shared" si="86"/>
        <v>3.3159947984395317</v>
      </c>
      <c r="JT100" s="3">
        <f t="shared" si="86"/>
        <v>0.68189566996249573</v>
      </c>
      <c r="JU100" s="3">
        <f t="shared" si="86"/>
        <v>0</v>
      </c>
      <c r="JV100" s="3">
        <f t="shared" si="86"/>
        <v>2.1812516229550765</v>
      </c>
      <c r="JW100" s="3">
        <f t="shared" si="86"/>
        <v>0</v>
      </c>
      <c r="JX100" s="3">
        <f t="shared" si="86"/>
        <v>1.0844748858447488</v>
      </c>
      <c r="JY100" s="3">
        <f t="shared" si="86"/>
        <v>2.5641025641025639</v>
      </c>
      <c r="JZ100" s="3">
        <f t="shared" si="86"/>
        <v>1.402805611222445</v>
      </c>
      <c r="KA100" s="3">
        <f t="shared" si="86"/>
        <v>3.8922155688622757</v>
      </c>
      <c r="KB100" s="3">
        <f t="shared" si="86"/>
        <v>2.8579356270810212</v>
      </c>
      <c r="KC100" s="3">
        <f t="shared" si="86"/>
        <v>5.9300064808814001</v>
      </c>
      <c r="KD100" s="3">
        <f t="shared" si="86"/>
        <v>0</v>
      </c>
      <c r="KE100" s="3">
        <f t="shared" si="86"/>
        <v>5.1428571428571423</v>
      </c>
      <c r="KF100" s="3">
        <f t="shared" si="86"/>
        <v>0</v>
      </c>
      <c r="KG100" s="3">
        <f t="shared" si="86"/>
        <v>5.0228310502283104</v>
      </c>
      <c r="KH100" s="3">
        <f t="shared" si="86"/>
        <v>0.14792899408284024</v>
      </c>
      <c r="KI100" s="3">
        <f t="shared" si="86"/>
        <v>5.201342281879195</v>
      </c>
      <c r="KJ100" s="3">
        <f t="shared" si="86"/>
        <v>0</v>
      </c>
      <c r="KK100" s="3">
        <f t="shared" si="86"/>
        <v>0</v>
      </c>
      <c r="KL100" s="3">
        <f t="shared" si="86"/>
        <v>0</v>
      </c>
      <c r="KM100" s="3">
        <f t="shared" si="86"/>
        <v>0</v>
      </c>
      <c r="KN100" s="3">
        <f t="shared" si="86"/>
        <v>0</v>
      </c>
      <c r="KO100" s="3">
        <f t="shared" si="86"/>
        <v>0</v>
      </c>
      <c r="KP100" s="3">
        <f t="shared" si="86"/>
        <v>0</v>
      </c>
      <c r="KQ100" s="3">
        <f t="shared" si="86"/>
        <v>5.4545454545454541</v>
      </c>
      <c r="KR100" s="3">
        <f t="shared" si="86"/>
        <v>0.25510204081632654</v>
      </c>
      <c r="KS100" s="3">
        <f t="shared" si="86"/>
        <v>1.6797312430011198</v>
      </c>
      <c r="KT100" s="3">
        <f t="shared" si="86"/>
        <v>0</v>
      </c>
      <c r="KU100" s="3">
        <f t="shared" si="86"/>
        <v>0</v>
      </c>
      <c r="KV100" s="3">
        <f t="shared" si="86"/>
        <v>0</v>
      </c>
      <c r="KW100" s="3">
        <f t="shared" si="86"/>
        <v>0</v>
      </c>
      <c r="KX100" s="3">
        <f t="shared" si="86"/>
        <v>0</v>
      </c>
      <c r="KY100" s="3">
        <f t="shared" si="86"/>
        <v>0</v>
      </c>
      <c r="KZ100" s="3">
        <f t="shared" si="86"/>
        <v>2.197802197802198</v>
      </c>
      <c r="LA100" s="3">
        <f t="shared" si="86"/>
        <v>8.1196581196581192</v>
      </c>
      <c r="LB100" s="3">
        <f t="shared" si="86"/>
        <v>2.4096385542168677</v>
      </c>
      <c r="LC100" s="3">
        <f t="shared" si="86"/>
        <v>0</v>
      </c>
      <c r="LD100" s="3">
        <f t="shared" si="86"/>
        <v>0.39215686274509803</v>
      </c>
      <c r="LE100" s="3">
        <f t="shared" si="86"/>
        <v>0.7569386038687973</v>
      </c>
      <c r="LF100" s="3">
        <f t="shared" si="86"/>
        <v>0</v>
      </c>
      <c r="LG100" s="3">
        <f t="shared" si="86"/>
        <v>0</v>
      </c>
      <c r="LH100" s="3">
        <f t="shared" ref="LH100:LM100" si="93">(LH37-LH$11)/LH$11*100</f>
        <v>0</v>
      </c>
      <c r="LI100" s="3">
        <f t="shared" si="93"/>
        <v>2.7878787878787876</v>
      </c>
      <c r="LJ100" s="3">
        <f t="shared" si="93"/>
        <v>1.8996960486322187</v>
      </c>
      <c r="LK100" s="3">
        <f t="shared" si="93"/>
        <v>3.6290322580645165</v>
      </c>
      <c r="LL100" s="3">
        <f t="shared" si="93"/>
        <v>1.835915088927137</v>
      </c>
      <c r="LM100" s="3">
        <f t="shared" si="93"/>
        <v>6.6305003013863768</v>
      </c>
      <c r="LN100" s="3">
        <f t="shared" si="72"/>
        <v>0</v>
      </c>
      <c r="LO100" s="3">
        <f t="shared" si="72"/>
        <v>0</v>
      </c>
      <c r="LP100" s="3">
        <f t="shared" ref="LP100:MW100" si="94">(LP37-LP$11)/LP$11*100</f>
        <v>3.0864197530864197</v>
      </c>
      <c r="LQ100" s="3">
        <f t="shared" si="94"/>
        <v>0.20470829068577279</v>
      </c>
      <c r="LR100" s="3">
        <f t="shared" si="94"/>
        <v>1.2668918918918919</v>
      </c>
      <c r="LS100" s="3">
        <f t="shared" si="94"/>
        <v>4.2990654205607477</v>
      </c>
      <c r="LT100" s="3">
        <f t="shared" si="94"/>
        <v>0</v>
      </c>
      <c r="LU100" s="3">
        <f t="shared" si="94"/>
        <v>0</v>
      </c>
      <c r="LV100" s="3">
        <f t="shared" si="94"/>
        <v>0</v>
      </c>
      <c r="LW100" s="3">
        <f t="shared" si="94"/>
        <v>0</v>
      </c>
      <c r="LX100" s="3">
        <f t="shared" si="94"/>
        <v>0</v>
      </c>
      <c r="LY100" s="3">
        <f t="shared" si="94"/>
        <v>0</v>
      </c>
      <c r="LZ100" s="3">
        <f t="shared" si="94"/>
        <v>1.7746228926353149</v>
      </c>
      <c r="MA100" s="3">
        <f t="shared" si="94"/>
        <v>0</v>
      </c>
      <c r="MB100" s="3">
        <f t="shared" si="94"/>
        <v>2.2362664073894019</v>
      </c>
      <c r="MC100" s="3">
        <f t="shared" si="94"/>
        <v>0</v>
      </c>
      <c r="MD100" s="3">
        <f t="shared" si="94"/>
        <v>0.79069767441860461</v>
      </c>
      <c r="ME100" s="3">
        <f t="shared" si="94"/>
        <v>0</v>
      </c>
      <c r="MF100" s="3">
        <f t="shared" si="94"/>
        <v>0</v>
      </c>
      <c r="MG100" s="3">
        <f t="shared" si="94"/>
        <v>0</v>
      </c>
      <c r="MH100" s="3">
        <f t="shared" si="94"/>
        <v>1.8421052631578945</v>
      </c>
      <c r="MI100" s="3">
        <f t="shared" si="94"/>
        <v>0</v>
      </c>
      <c r="MJ100" s="3">
        <f t="shared" si="94"/>
        <v>4.9533089727974016</v>
      </c>
      <c r="MK100" s="3">
        <f t="shared" si="94"/>
        <v>2.9757243539545808</v>
      </c>
      <c r="ML100" s="3">
        <f t="shared" si="94"/>
        <v>1.6075388026607538</v>
      </c>
      <c r="MM100" s="3">
        <f t="shared" si="94"/>
        <v>0</v>
      </c>
      <c r="MN100" s="3">
        <f t="shared" si="94"/>
        <v>0.5992010652463382</v>
      </c>
      <c r="MO100" s="3">
        <f t="shared" si="94"/>
        <v>3.9414414414414414</v>
      </c>
      <c r="MP100" s="3">
        <f t="shared" si="94"/>
        <v>0</v>
      </c>
      <c r="MQ100" s="3">
        <f t="shared" si="94"/>
        <v>0</v>
      </c>
      <c r="MR100" s="3">
        <f t="shared" si="94"/>
        <v>1.4194811551639746</v>
      </c>
      <c r="MS100" s="3">
        <f t="shared" si="94"/>
        <v>0</v>
      </c>
      <c r="MT100" s="3">
        <f t="shared" si="94"/>
        <v>2.2596843615494979</v>
      </c>
      <c r="MU100" s="3">
        <f t="shared" si="94"/>
        <v>4.4436004557538924</v>
      </c>
      <c r="MV100" s="3">
        <f t="shared" si="94"/>
        <v>1.691827173347215</v>
      </c>
      <c r="MW100" s="3">
        <f t="shared" si="94"/>
        <v>6.9221260815822001</v>
      </c>
      <c r="MX100" s="3"/>
      <c r="MY100" s="3"/>
    </row>
    <row r="101" spans="1:363" x14ac:dyDescent="0.3">
      <c r="A101" s="3">
        <v>27</v>
      </c>
      <c r="B101" s="3">
        <f t="shared" si="33"/>
        <v>1.1494252873563218</v>
      </c>
      <c r="C101" s="3">
        <f t="shared" ref="C101:BN104" si="95">(C38-C$11)/C$11*100</f>
        <v>0</v>
      </c>
      <c r="D101" s="3">
        <f t="shared" si="95"/>
        <v>0.21186440677966101</v>
      </c>
      <c r="E101" s="3">
        <f t="shared" si="95"/>
        <v>6.4220183486238538</v>
      </c>
      <c r="F101" s="3">
        <f t="shared" si="95"/>
        <v>0</v>
      </c>
      <c r="G101" s="3">
        <f t="shared" si="95"/>
        <v>2.1032504780114722</v>
      </c>
      <c r="H101" s="3">
        <f t="shared" si="95"/>
        <v>0</v>
      </c>
      <c r="I101" s="3">
        <f t="shared" si="95"/>
        <v>0</v>
      </c>
      <c r="J101" s="3">
        <f t="shared" si="95"/>
        <v>0</v>
      </c>
      <c r="K101" s="3">
        <f t="shared" si="95"/>
        <v>0</v>
      </c>
      <c r="L101" s="3">
        <f t="shared" si="95"/>
        <v>0</v>
      </c>
      <c r="M101" s="3">
        <f t="shared" si="95"/>
        <v>0</v>
      </c>
      <c r="N101" s="3">
        <f t="shared" si="95"/>
        <v>1.4678899082568808</v>
      </c>
      <c r="O101" s="3">
        <f t="shared" si="95"/>
        <v>1.0373443983402488</v>
      </c>
      <c r="P101" s="3">
        <f t="shared" si="95"/>
        <v>1.6569200779727096</v>
      </c>
      <c r="Q101" s="3">
        <f t="shared" si="95"/>
        <v>0</v>
      </c>
      <c r="R101" s="3">
        <f t="shared" si="95"/>
        <v>0.77369439071566737</v>
      </c>
      <c r="S101" s="3">
        <f t="shared" si="95"/>
        <v>2.8280542986425341</v>
      </c>
      <c r="T101" s="3">
        <f t="shared" si="95"/>
        <v>0</v>
      </c>
      <c r="U101" s="3">
        <f t="shared" si="95"/>
        <v>0</v>
      </c>
      <c r="V101" s="3">
        <f t="shared" si="95"/>
        <v>0</v>
      </c>
      <c r="W101" s="3">
        <f t="shared" si="95"/>
        <v>2.7777777777777777</v>
      </c>
      <c r="X101" s="3">
        <f t="shared" si="95"/>
        <v>0.38759689922480622</v>
      </c>
      <c r="Y101" s="3">
        <f t="shared" si="95"/>
        <v>10.434782608695652</v>
      </c>
      <c r="Z101" s="3">
        <f t="shared" si="95"/>
        <v>0.28490028490028491</v>
      </c>
      <c r="AA101" s="3">
        <f t="shared" si="95"/>
        <v>0.66152149944873206</v>
      </c>
      <c r="AB101" s="3">
        <f t="shared" si="95"/>
        <v>1.7241379310344827</v>
      </c>
      <c r="AC101" s="3">
        <f t="shared" si="95"/>
        <v>1.2762762762762763</v>
      </c>
      <c r="AD101" s="3">
        <f t="shared" si="95"/>
        <v>0.54525627044711011</v>
      </c>
      <c r="AE101" s="3">
        <f t="shared" si="95"/>
        <v>0</v>
      </c>
      <c r="AF101" s="3">
        <f t="shared" si="95"/>
        <v>0.46511627906976744</v>
      </c>
      <c r="AG101" s="3">
        <f t="shared" si="95"/>
        <v>3.9814814814814818</v>
      </c>
      <c r="AH101" s="3">
        <f t="shared" si="95"/>
        <v>1.2568306010928962</v>
      </c>
      <c r="AI101" s="3">
        <f t="shared" si="95"/>
        <v>4.9815498154981546</v>
      </c>
      <c r="AJ101" s="3">
        <f t="shared" si="95"/>
        <v>0.5988023952095809</v>
      </c>
      <c r="AK101" s="3">
        <f t="shared" si="95"/>
        <v>7.7235772357723578</v>
      </c>
      <c r="AL101" s="3">
        <f t="shared" si="95"/>
        <v>0</v>
      </c>
      <c r="AM101" s="3">
        <f t="shared" si="95"/>
        <v>0</v>
      </c>
      <c r="AN101" s="3">
        <f t="shared" si="95"/>
        <v>2.8756957328385901</v>
      </c>
      <c r="AO101" s="3">
        <f t="shared" si="95"/>
        <v>0</v>
      </c>
      <c r="AP101" s="3">
        <f t="shared" si="95"/>
        <v>0.43795620437956206</v>
      </c>
      <c r="AQ101" s="3">
        <f t="shared" si="95"/>
        <v>0</v>
      </c>
      <c r="AR101" s="3">
        <f t="shared" si="95"/>
        <v>0</v>
      </c>
      <c r="AS101" s="3">
        <f t="shared" si="95"/>
        <v>0</v>
      </c>
      <c r="AT101" s="3">
        <f t="shared" si="95"/>
        <v>0</v>
      </c>
      <c r="AU101" s="3">
        <f t="shared" si="95"/>
        <v>0</v>
      </c>
      <c r="AV101" s="3">
        <f t="shared" si="95"/>
        <v>0</v>
      </c>
      <c r="AW101" s="3">
        <f t="shared" si="95"/>
        <v>0</v>
      </c>
      <c r="AX101" s="3">
        <f t="shared" si="95"/>
        <v>0</v>
      </c>
      <c r="AY101" s="3">
        <f t="shared" si="95"/>
        <v>0.41152263374485598</v>
      </c>
      <c r="AZ101" s="3">
        <f t="shared" si="95"/>
        <v>2.6377491207502932</v>
      </c>
      <c r="BA101" s="3">
        <f t="shared" si="95"/>
        <v>0</v>
      </c>
      <c r="BB101" s="3">
        <f t="shared" si="95"/>
        <v>1.957831325301205</v>
      </c>
      <c r="BC101" s="3">
        <f t="shared" si="95"/>
        <v>2.3480662983425415</v>
      </c>
      <c r="BD101" s="3">
        <f t="shared" si="95"/>
        <v>0</v>
      </c>
      <c r="BE101" s="3">
        <f t="shared" si="95"/>
        <v>0</v>
      </c>
      <c r="BF101" s="3">
        <f t="shared" si="95"/>
        <v>0</v>
      </c>
      <c r="BG101" s="3">
        <f t="shared" si="95"/>
        <v>0</v>
      </c>
      <c r="BH101" s="3">
        <f t="shared" si="95"/>
        <v>4.4301248489730165</v>
      </c>
      <c r="BI101" s="3">
        <f t="shared" si="95"/>
        <v>7.3170731707317067</v>
      </c>
      <c r="BJ101" s="3">
        <f t="shared" si="95"/>
        <v>0.38289725590299939</v>
      </c>
      <c r="BK101" s="3">
        <f t="shared" si="95"/>
        <v>4.027196652719665</v>
      </c>
      <c r="BL101" s="3">
        <f t="shared" si="95"/>
        <v>0</v>
      </c>
      <c r="BM101" s="3">
        <f t="shared" si="95"/>
        <v>3.8636363636363633</v>
      </c>
      <c r="BN101" s="3">
        <f t="shared" si="95"/>
        <v>1.9256132946452125</v>
      </c>
      <c r="BO101" s="3">
        <f t="shared" si="92"/>
        <v>1.7073888725345894</v>
      </c>
      <c r="BP101" s="3">
        <f t="shared" si="92"/>
        <v>2.083333333333333</v>
      </c>
      <c r="BQ101" s="3">
        <f t="shared" si="92"/>
        <v>0</v>
      </c>
      <c r="BR101" s="3">
        <f t="shared" si="92"/>
        <v>2.3755656108597285</v>
      </c>
      <c r="BS101" s="3">
        <f t="shared" si="92"/>
        <v>5.8637083993660859</v>
      </c>
      <c r="BT101" s="3">
        <f t="shared" si="92"/>
        <v>2.3610280932456664</v>
      </c>
      <c r="BU101" s="3">
        <f t="shared" si="92"/>
        <v>6.3172509545296771</v>
      </c>
      <c r="BV101" s="3">
        <f t="shared" si="92"/>
        <v>1.3297872340425532</v>
      </c>
      <c r="BW101" s="3">
        <f t="shared" si="92"/>
        <v>0</v>
      </c>
      <c r="BX101" s="3">
        <f t="shared" si="92"/>
        <v>1.2254901960784315</v>
      </c>
      <c r="BY101" s="3">
        <f t="shared" si="92"/>
        <v>2.358490566037736</v>
      </c>
      <c r="BZ101" s="3">
        <f t="shared" si="92"/>
        <v>0.33613445378151263</v>
      </c>
      <c r="CA101" s="3">
        <f t="shared" si="92"/>
        <v>4.562043795620438</v>
      </c>
      <c r="CB101" s="3">
        <f t="shared" si="92"/>
        <v>0</v>
      </c>
      <c r="CC101" s="3">
        <f t="shared" si="92"/>
        <v>0</v>
      </c>
      <c r="CD101" s="3">
        <f t="shared" si="92"/>
        <v>0</v>
      </c>
      <c r="CE101" s="3">
        <f t="shared" si="92"/>
        <v>0</v>
      </c>
      <c r="CF101" s="3">
        <f t="shared" si="92"/>
        <v>0</v>
      </c>
      <c r="CG101" s="3">
        <f t="shared" si="92"/>
        <v>0</v>
      </c>
      <c r="CH101" s="3">
        <f t="shared" si="92"/>
        <v>0.76804915514592931</v>
      </c>
      <c r="CI101" s="3">
        <f t="shared" si="92"/>
        <v>0</v>
      </c>
      <c r="CJ101" s="3">
        <f t="shared" si="92"/>
        <v>2.4324324324324325</v>
      </c>
      <c r="CK101" s="3">
        <f t="shared" si="92"/>
        <v>4.9197860962566846</v>
      </c>
      <c r="CL101" s="3">
        <f t="shared" si="92"/>
        <v>0</v>
      </c>
      <c r="CM101" s="3">
        <f t="shared" si="92"/>
        <v>0</v>
      </c>
      <c r="CN101" s="3">
        <f t="shared" si="92"/>
        <v>0</v>
      </c>
      <c r="CO101" s="3">
        <f t="shared" si="92"/>
        <v>0</v>
      </c>
      <c r="CP101" s="3">
        <f t="shared" si="92"/>
        <v>9.0334236675700091E-2</v>
      </c>
      <c r="CQ101" s="3">
        <f t="shared" si="92"/>
        <v>0</v>
      </c>
      <c r="CR101" s="3">
        <f t="shared" si="92"/>
        <v>2.3655913978494625</v>
      </c>
      <c r="CS101" s="3">
        <f t="shared" si="92"/>
        <v>5.7728119180633151</v>
      </c>
      <c r="CT101" s="3">
        <f t="shared" si="92"/>
        <v>0</v>
      </c>
      <c r="CU101" s="3">
        <f t="shared" si="92"/>
        <v>0</v>
      </c>
      <c r="CV101" s="3">
        <f t="shared" si="92"/>
        <v>0</v>
      </c>
      <c r="CW101" s="3">
        <f t="shared" si="92"/>
        <v>0</v>
      </c>
      <c r="CX101" s="3">
        <f t="shared" si="92"/>
        <v>0</v>
      </c>
      <c r="CY101" s="3">
        <f t="shared" si="92"/>
        <v>0</v>
      </c>
      <c r="CZ101" s="3">
        <f t="shared" si="92"/>
        <v>0</v>
      </c>
      <c r="DA101" s="3">
        <f t="shared" si="92"/>
        <v>0</v>
      </c>
      <c r="DB101" s="3">
        <f t="shared" si="92"/>
        <v>1.2345679012345678</v>
      </c>
      <c r="DC101" s="3">
        <f t="shared" si="92"/>
        <v>5.3132434575733543</v>
      </c>
      <c r="DD101" s="3">
        <f t="shared" si="92"/>
        <v>0.8045977011494253</v>
      </c>
      <c r="DE101" s="3">
        <f t="shared" si="92"/>
        <v>7.4943224829674486</v>
      </c>
      <c r="DF101" s="3">
        <f t="shared" si="92"/>
        <v>0</v>
      </c>
      <c r="DG101" s="3">
        <f t="shared" si="92"/>
        <v>0.625</v>
      </c>
      <c r="DH101" s="3">
        <f t="shared" si="92"/>
        <v>0</v>
      </c>
      <c r="DI101" s="3">
        <f t="shared" si="92"/>
        <v>0.55197792088316466</v>
      </c>
      <c r="DJ101" s="3">
        <f t="shared" si="92"/>
        <v>0</v>
      </c>
      <c r="DK101" s="3">
        <f t="shared" si="92"/>
        <v>2.7821939586645468</v>
      </c>
      <c r="DL101" s="3">
        <f t="shared" si="92"/>
        <v>0</v>
      </c>
      <c r="DM101" s="3">
        <f t="shared" si="92"/>
        <v>0</v>
      </c>
      <c r="DN101" s="3">
        <f t="shared" si="92"/>
        <v>0</v>
      </c>
      <c r="DO101" s="3">
        <f t="shared" si="92"/>
        <v>0</v>
      </c>
      <c r="DP101" s="3">
        <f t="shared" si="92"/>
        <v>0</v>
      </c>
      <c r="DQ101" s="3">
        <f t="shared" si="92"/>
        <v>0</v>
      </c>
      <c r="DR101" s="3">
        <f t="shared" si="92"/>
        <v>0</v>
      </c>
      <c r="DS101" s="3">
        <f t="shared" si="92"/>
        <v>0</v>
      </c>
      <c r="DT101" s="3">
        <f t="shared" si="92"/>
        <v>1.5521064301552108</v>
      </c>
      <c r="DU101" s="3">
        <f t="shared" si="92"/>
        <v>2.6095519448547511</v>
      </c>
      <c r="DV101" s="3">
        <f t="shared" si="92"/>
        <v>0</v>
      </c>
      <c r="DW101" s="3">
        <f t="shared" si="92"/>
        <v>0</v>
      </c>
      <c r="DX101" s="3">
        <f t="shared" si="92"/>
        <v>0</v>
      </c>
      <c r="DY101" s="3">
        <f t="shared" si="92"/>
        <v>0</v>
      </c>
      <c r="DZ101" s="3">
        <f t="shared" si="90"/>
        <v>4.3878894251864857E-2</v>
      </c>
      <c r="EA101" s="3">
        <f t="shared" si="90"/>
        <v>2.734375</v>
      </c>
      <c r="EB101" s="3">
        <f t="shared" si="90"/>
        <v>3.6296296296296298</v>
      </c>
      <c r="EC101" s="3">
        <f t="shared" si="90"/>
        <v>5.9075342465753424</v>
      </c>
      <c r="ED101" s="3">
        <f t="shared" si="90"/>
        <v>1.9243986254295533</v>
      </c>
      <c r="EE101" s="3">
        <f t="shared" si="90"/>
        <v>0</v>
      </c>
      <c r="EF101" s="3">
        <f t="shared" si="90"/>
        <v>2.6748971193415638</v>
      </c>
      <c r="EG101" s="3">
        <f t="shared" si="90"/>
        <v>1.4401772525849335</v>
      </c>
      <c r="EH101" s="3">
        <f t="shared" si="90"/>
        <v>1.5864621893178215</v>
      </c>
      <c r="EI101" s="3">
        <f t="shared" si="90"/>
        <v>0</v>
      </c>
      <c r="EJ101" s="3">
        <f t="shared" si="90"/>
        <v>0.95108695652173925</v>
      </c>
      <c r="EK101" s="3">
        <f t="shared" si="90"/>
        <v>4.5977011494252871</v>
      </c>
      <c r="EL101" s="3">
        <f t="shared" si="90"/>
        <v>1.5568862275449102</v>
      </c>
      <c r="EM101" s="3">
        <f t="shared" si="90"/>
        <v>8.0531340805313398</v>
      </c>
      <c r="EN101" s="3">
        <f t="shared" si="90"/>
        <v>1.6666666666666667</v>
      </c>
      <c r="EO101" s="3">
        <f t="shared" si="90"/>
        <v>6.8819308545335938</v>
      </c>
      <c r="EP101" s="3">
        <f t="shared" si="90"/>
        <v>2.083333333333333</v>
      </c>
      <c r="EQ101" s="3">
        <f t="shared" si="90"/>
        <v>0</v>
      </c>
      <c r="ER101" s="3">
        <f t="shared" si="90"/>
        <v>1.7391304347826086</v>
      </c>
      <c r="ES101" s="3">
        <f t="shared" si="90"/>
        <v>0</v>
      </c>
      <c r="ET101" s="3">
        <f t="shared" si="90"/>
        <v>1.2658227848101267</v>
      </c>
      <c r="EU101" s="3">
        <f t="shared" si="90"/>
        <v>1.0189228529839884</v>
      </c>
      <c r="EV101" s="3">
        <f t="shared" si="90"/>
        <v>0</v>
      </c>
      <c r="EW101" s="3">
        <f t="shared" si="90"/>
        <v>0</v>
      </c>
      <c r="EX101" s="3">
        <f t="shared" si="90"/>
        <v>0</v>
      </c>
      <c r="EY101" s="3">
        <f t="shared" si="90"/>
        <v>0</v>
      </c>
      <c r="EZ101" s="3">
        <f t="shared" si="90"/>
        <v>0</v>
      </c>
      <c r="FA101" s="3">
        <f t="shared" si="90"/>
        <v>0</v>
      </c>
      <c r="FB101" s="3">
        <f t="shared" si="90"/>
        <v>0</v>
      </c>
      <c r="FC101" s="3">
        <f t="shared" si="90"/>
        <v>3.070175438596491</v>
      </c>
      <c r="FD101" s="3">
        <f t="shared" si="90"/>
        <v>1.984126984126984</v>
      </c>
      <c r="FE101" s="3">
        <f t="shared" si="90"/>
        <v>0</v>
      </c>
      <c r="FF101" s="3">
        <f t="shared" si="90"/>
        <v>1.3793103448275863</v>
      </c>
      <c r="FG101" s="3">
        <f t="shared" si="90"/>
        <v>1.8621973929236499</v>
      </c>
      <c r="FH101" s="3">
        <f t="shared" si="90"/>
        <v>0</v>
      </c>
      <c r="FI101" s="3">
        <f t="shared" si="90"/>
        <v>0</v>
      </c>
      <c r="FJ101" s="3">
        <f t="shared" si="90"/>
        <v>0</v>
      </c>
      <c r="FK101" s="3">
        <f t="shared" si="90"/>
        <v>0</v>
      </c>
      <c r="FL101" s="3">
        <f t="shared" si="90"/>
        <v>1.4166666666666665</v>
      </c>
      <c r="FM101" s="3">
        <f t="shared" si="90"/>
        <v>2.0542317173377156</v>
      </c>
      <c r="FN101" s="3">
        <f t="shared" si="90"/>
        <v>0</v>
      </c>
      <c r="FO101" s="3">
        <f t="shared" si="90"/>
        <v>5.0373134328358207</v>
      </c>
      <c r="FP101" s="3">
        <f t="shared" si="90"/>
        <v>0</v>
      </c>
      <c r="FQ101" s="3">
        <f t="shared" si="90"/>
        <v>0.98335854765506814</v>
      </c>
      <c r="FR101" s="3">
        <f t="shared" si="90"/>
        <v>2.7272727272727271</v>
      </c>
      <c r="FS101" s="3">
        <f t="shared" si="90"/>
        <v>0</v>
      </c>
      <c r="FT101" s="3">
        <f t="shared" si="90"/>
        <v>1.6064257028112447</v>
      </c>
      <c r="FU101" s="3">
        <f t="shared" si="90"/>
        <v>4.6814044213263983</v>
      </c>
      <c r="FV101" s="3">
        <f t="shared" si="90"/>
        <v>1.5267175572519083</v>
      </c>
      <c r="FW101" s="3">
        <f t="shared" si="90"/>
        <v>5.4771784232365146</v>
      </c>
      <c r="FX101" s="3">
        <f t="shared" si="90"/>
        <v>2.0754716981132075</v>
      </c>
      <c r="FY101" s="3">
        <f t="shared" si="90"/>
        <v>8.791208791208792</v>
      </c>
      <c r="FZ101" s="3">
        <f t="shared" si="90"/>
        <v>1.6304347826086956</v>
      </c>
      <c r="GA101" s="3">
        <f t="shared" si="90"/>
        <v>0</v>
      </c>
      <c r="GB101" s="3">
        <f t="shared" si="90"/>
        <v>2.1034180543382996</v>
      </c>
      <c r="GC101" s="3">
        <f t="shared" si="90"/>
        <v>4.0380047505938244</v>
      </c>
      <c r="GD101" s="3">
        <f t="shared" si="90"/>
        <v>0</v>
      </c>
      <c r="GE101" s="3">
        <f t="shared" si="90"/>
        <v>0</v>
      </c>
      <c r="GF101" s="3">
        <f t="shared" si="90"/>
        <v>0</v>
      </c>
      <c r="GG101" s="3">
        <f t="shared" si="90"/>
        <v>0</v>
      </c>
      <c r="GH101" s="3">
        <f t="shared" si="90"/>
        <v>0</v>
      </c>
      <c r="GI101" s="3">
        <f t="shared" si="90"/>
        <v>0</v>
      </c>
      <c r="GJ101" s="3">
        <f t="shared" si="90"/>
        <v>0</v>
      </c>
      <c r="GK101" s="3">
        <f t="shared" si="90"/>
        <v>0</v>
      </c>
      <c r="GL101" s="3">
        <f t="shared" si="88"/>
        <v>0.16722408026755853</v>
      </c>
      <c r="GM101" s="3">
        <f t="shared" si="88"/>
        <v>3.9902280130293155</v>
      </c>
      <c r="GN101" s="3">
        <f t="shared" si="88"/>
        <v>2.2471910112359552</v>
      </c>
      <c r="GO101" s="3">
        <f t="shared" si="88"/>
        <v>2.1727884117951368</v>
      </c>
      <c r="GP101" s="3">
        <f t="shared" si="88"/>
        <v>0</v>
      </c>
      <c r="GQ101" s="3">
        <f t="shared" si="88"/>
        <v>0</v>
      </c>
      <c r="GR101" s="3">
        <f t="shared" si="88"/>
        <v>0</v>
      </c>
      <c r="GS101" s="3">
        <f t="shared" si="88"/>
        <v>0</v>
      </c>
      <c r="GT101" s="3">
        <f t="shared" si="88"/>
        <v>1.0738255033557047</v>
      </c>
      <c r="GU101" s="3">
        <f t="shared" si="88"/>
        <v>0</v>
      </c>
      <c r="GV101" s="3">
        <f t="shared" si="88"/>
        <v>5.3013798111837325</v>
      </c>
      <c r="GW101" s="3">
        <f t="shared" si="88"/>
        <v>4.7575057736720554</v>
      </c>
      <c r="GX101" s="3">
        <f t="shared" si="88"/>
        <v>0</v>
      </c>
      <c r="GY101" s="3">
        <f t="shared" si="88"/>
        <v>0</v>
      </c>
      <c r="GZ101" s="3">
        <f t="shared" si="88"/>
        <v>0</v>
      </c>
      <c r="HA101" s="3">
        <f t="shared" si="88"/>
        <v>1.089248067463106</v>
      </c>
      <c r="HB101" s="3">
        <f t="shared" si="88"/>
        <v>1.4596451058958215</v>
      </c>
      <c r="HC101" s="3">
        <f t="shared" si="88"/>
        <v>0</v>
      </c>
      <c r="HD101" s="3">
        <f t="shared" si="88"/>
        <v>0.49751243781094528</v>
      </c>
      <c r="HE101" s="3">
        <f t="shared" si="88"/>
        <v>5.7263411693791442</v>
      </c>
      <c r="HF101" s="3">
        <f t="shared" si="88"/>
        <v>1.5513897866839044</v>
      </c>
      <c r="HG101" s="3">
        <f t="shared" si="88"/>
        <v>5.062823355506282</v>
      </c>
      <c r="HH101" s="3">
        <f t="shared" si="88"/>
        <v>1.2455516014234875</v>
      </c>
      <c r="HI101" s="3">
        <f t="shared" si="88"/>
        <v>4.4009779951100247</v>
      </c>
      <c r="HJ101" s="3">
        <f t="shared" si="88"/>
        <v>1.3953488372093024</v>
      </c>
      <c r="HK101" s="3">
        <f t="shared" si="88"/>
        <v>0.8875739644970414</v>
      </c>
      <c r="HL101" s="3">
        <f t="shared" si="88"/>
        <v>1.7543859649122806</v>
      </c>
      <c r="HM101" s="3">
        <f t="shared" si="88"/>
        <v>0</v>
      </c>
      <c r="HN101" s="3">
        <f t="shared" si="88"/>
        <v>2.2865853658536586</v>
      </c>
      <c r="HO101" s="3">
        <f t="shared" si="88"/>
        <v>0</v>
      </c>
      <c r="HP101" s="3">
        <f t="shared" si="88"/>
        <v>0</v>
      </c>
      <c r="HQ101" s="3">
        <f t="shared" si="88"/>
        <v>0</v>
      </c>
      <c r="HR101" s="3">
        <f t="shared" si="88"/>
        <v>0</v>
      </c>
      <c r="HS101" s="3">
        <f t="shared" si="88"/>
        <v>0</v>
      </c>
      <c r="HT101" s="3">
        <f t="shared" si="88"/>
        <v>0</v>
      </c>
      <c r="HU101" s="3">
        <f t="shared" si="88"/>
        <v>0</v>
      </c>
      <c r="HV101" s="3">
        <f t="shared" si="88"/>
        <v>0</v>
      </c>
      <c r="HW101" s="3">
        <f t="shared" si="88"/>
        <v>2</v>
      </c>
      <c r="HX101" s="3">
        <f t="shared" si="88"/>
        <v>2.147239263803681</v>
      </c>
      <c r="HY101" s="3">
        <f t="shared" si="88"/>
        <v>0</v>
      </c>
      <c r="HZ101" s="3">
        <f t="shared" si="88"/>
        <v>0.57971014492753625</v>
      </c>
      <c r="IA101" s="3">
        <f t="shared" si="88"/>
        <v>0</v>
      </c>
      <c r="IB101" s="3">
        <f t="shared" si="88"/>
        <v>0</v>
      </c>
      <c r="IC101" s="3">
        <f t="shared" si="88"/>
        <v>0</v>
      </c>
      <c r="ID101" s="3">
        <f t="shared" si="88"/>
        <v>0</v>
      </c>
      <c r="IE101" s="3">
        <f t="shared" si="88"/>
        <v>1.437125748502994</v>
      </c>
      <c r="IF101" s="3">
        <f t="shared" si="88"/>
        <v>1.9794721407624634</v>
      </c>
      <c r="IG101" s="3">
        <f t="shared" si="88"/>
        <v>3.8461538461538463</v>
      </c>
      <c r="IH101" s="3">
        <f t="shared" si="88"/>
        <v>0</v>
      </c>
      <c r="II101" s="3">
        <f t="shared" si="88"/>
        <v>3.6257309941520468</v>
      </c>
      <c r="IJ101" s="3">
        <f t="shared" si="88"/>
        <v>0.55074744295830058</v>
      </c>
      <c r="IK101" s="3">
        <f t="shared" si="88"/>
        <v>2.6988636363636362</v>
      </c>
      <c r="IL101" s="3">
        <f t="shared" si="88"/>
        <v>0</v>
      </c>
      <c r="IM101" s="3">
        <f t="shared" si="88"/>
        <v>0</v>
      </c>
      <c r="IN101" s="3">
        <f t="shared" si="88"/>
        <v>0</v>
      </c>
      <c r="IO101" s="3">
        <f t="shared" si="88"/>
        <v>0</v>
      </c>
      <c r="IP101" s="3">
        <f t="shared" si="88"/>
        <v>2.3008849557522124</v>
      </c>
      <c r="IQ101" s="3">
        <f t="shared" si="88"/>
        <v>7.6248904469763357</v>
      </c>
      <c r="IR101" s="3">
        <f t="shared" si="88"/>
        <v>0.86805555555555558</v>
      </c>
      <c r="IS101" s="3">
        <f t="shared" si="88"/>
        <v>10.46133853151397</v>
      </c>
      <c r="IT101" s="3">
        <f t="shared" si="88"/>
        <v>0</v>
      </c>
      <c r="IU101" s="3">
        <f t="shared" si="88"/>
        <v>1.7825311942959003</v>
      </c>
      <c r="IV101" s="3">
        <f t="shared" si="88"/>
        <v>2.7586206896551726</v>
      </c>
      <c r="IW101" s="3">
        <f t="shared" ref="IW101:LH104" si="96">(IW38-IW$11)/IW$11*100</f>
        <v>0</v>
      </c>
      <c r="IX101" s="3">
        <f t="shared" si="96"/>
        <v>0.23961661341853036</v>
      </c>
      <c r="IY101" s="3">
        <f t="shared" si="96"/>
        <v>0</v>
      </c>
      <c r="IZ101" s="3">
        <f t="shared" si="96"/>
        <v>0</v>
      </c>
      <c r="JA101" s="3">
        <f t="shared" si="96"/>
        <v>0</v>
      </c>
      <c r="JB101" s="3">
        <f t="shared" si="96"/>
        <v>0</v>
      </c>
      <c r="JC101" s="3">
        <f t="shared" si="96"/>
        <v>0</v>
      </c>
      <c r="JD101" s="3">
        <f t="shared" si="96"/>
        <v>0</v>
      </c>
      <c r="JE101" s="3">
        <f t="shared" si="96"/>
        <v>0</v>
      </c>
      <c r="JF101" s="3">
        <f t="shared" si="96"/>
        <v>1.0416666666666665</v>
      </c>
      <c r="JG101" s="3">
        <f t="shared" si="96"/>
        <v>0</v>
      </c>
      <c r="JH101" s="3">
        <f t="shared" si="96"/>
        <v>0</v>
      </c>
      <c r="JI101" s="3">
        <f t="shared" si="96"/>
        <v>0</v>
      </c>
      <c r="JJ101" s="3">
        <f t="shared" si="96"/>
        <v>0</v>
      </c>
      <c r="JK101" s="3">
        <f t="shared" si="96"/>
        <v>0.218435998252512</v>
      </c>
      <c r="JL101" s="3">
        <f t="shared" si="96"/>
        <v>0</v>
      </c>
      <c r="JM101" s="3">
        <f t="shared" si="96"/>
        <v>0</v>
      </c>
      <c r="JN101" s="3">
        <f t="shared" si="96"/>
        <v>0.19872813990461047</v>
      </c>
      <c r="JO101" s="3">
        <f t="shared" si="96"/>
        <v>2.0345879959308242</v>
      </c>
      <c r="JP101" s="3">
        <f t="shared" si="96"/>
        <v>3.6294896030245742</v>
      </c>
      <c r="JQ101" s="3">
        <f t="shared" si="96"/>
        <v>10.709253170502583</v>
      </c>
      <c r="JR101" s="3">
        <f t="shared" si="96"/>
        <v>0</v>
      </c>
      <c r="JS101" s="3">
        <f t="shared" si="96"/>
        <v>4.2912873862158651</v>
      </c>
      <c r="JT101" s="3">
        <f t="shared" si="96"/>
        <v>0.44323218547562221</v>
      </c>
      <c r="JU101" s="3">
        <f t="shared" si="96"/>
        <v>0</v>
      </c>
      <c r="JV101" s="3">
        <f t="shared" si="96"/>
        <v>2.3630225915346665</v>
      </c>
      <c r="JW101" s="3">
        <f t="shared" si="96"/>
        <v>2.9239766081871347E-2</v>
      </c>
      <c r="JX101" s="3">
        <f t="shared" si="96"/>
        <v>0.91324200913242004</v>
      </c>
      <c r="JY101" s="3">
        <f t="shared" si="96"/>
        <v>2.3668639053254439</v>
      </c>
      <c r="JZ101" s="3">
        <f t="shared" si="96"/>
        <v>1.6700066800267204</v>
      </c>
      <c r="KA101" s="3">
        <f t="shared" si="96"/>
        <v>5.0898203592814371</v>
      </c>
      <c r="KB101" s="3">
        <f t="shared" si="96"/>
        <v>2.746947835738069</v>
      </c>
      <c r="KC101" s="3">
        <f t="shared" si="96"/>
        <v>6.1892417368762151</v>
      </c>
      <c r="KD101" s="3">
        <f t="shared" si="96"/>
        <v>0</v>
      </c>
      <c r="KE101" s="3">
        <f t="shared" si="96"/>
        <v>5.1428571428571423</v>
      </c>
      <c r="KF101" s="3">
        <f t="shared" si="96"/>
        <v>0</v>
      </c>
      <c r="KG101" s="3">
        <f t="shared" si="96"/>
        <v>4.10958904109589</v>
      </c>
      <c r="KH101" s="3">
        <f t="shared" si="96"/>
        <v>0</v>
      </c>
      <c r="KI101" s="3">
        <f t="shared" si="96"/>
        <v>2.6845637583892619</v>
      </c>
      <c r="KJ101" s="3">
        <f t="shared" si="96"/>
        <v>0</v>
      </c>
      <c r="KK101" s="3">
        <f t="shared" si="96"/>
        <v>0</v>
      </c>
      <c r="KL101" s="3">
        <f t="shared" si="96"/>
        <v>0</v>
      </c>
      <c r="KM101" s="3">
        <f t="shared" si="96"/>
        <v>0</v>
      </c>
      <c r="KN101" s="3">
        <f t="shared" si="96"/>
        <v>0</v>
      </c>
      <c r="KO101" s="3">
        <f t="shared" si="96"/>
        <v>0</v>
      </c>
      <c r="KP101" s="3">
        <f t="shared" si="96"/>
        <v>0</v>
      </c>
      <c r="KQ101" s="3">
        <f t="shared" si="96"/>
        <v>5.4545454545454541</v>
      </c>
      <c r="KR101" s="3">
        <f t="shared" si="96"/>
        <v>0.25510204081632654</v>
      </c>
      <c r="KS101" s="3">
        <f t="shared" si="96"/>
        <v>1.6797312430011198</v>
      </c>
      <c r="KT101" s="3">
        <f t="shared" si="96"/>
        <v>0</v>
      </c>
      <c r="KU101" s="3">
        <f t="shared" si="96"/>
        <v>0</v>
      </c>
      <c r="KV101" s="3">
        <f t="shared" si="96"/>
        <v>0</v>
      </c>
      <c r="KW101" s="3">
        <f t="shared" si="96"/>
        <v>0</v>
      </c>
      <c r="KX101" s="3">
        <f t="shared" si="96"/>
        <v>0</v>
      </c>
      <c r="KY101" s="3">
        <f t="shared" si="96"/>
        <v>0</v>
      </c>
      <c r="KZ101" s="3">
        <f t="shared" si="96"/>
        <v>2.197802197802198</v>
      </c>
      <c r="LA101" s="3">
        <f t="shared" si="96"/>
        <v>8.5470085470085468</v>
      </c>
      <c r="LB101" s="3">
        <f t="shared" si="96"/>
        <v>2.4096385542168677</v>
      </c>
      <c r="LC101" s="3">
        <f t="shared" si="96"/>
        <v>0</v>
      </c>
      <c r="LD101" s="3">
        <f t="shared" si="96"/>
        <v>0.32679738562091504</v>
      </c>
      <c r="LE101" s="3">
        <f t="shared" si="96"/>
        <v>0.7569386038687973</v>
      </c>
      <c r="LF101" s="3">
        <f t="shared" si="96"/>
        <v>0</v>
      </c>
      <c r="LG101" s="3">
        <f t="shared" si="96"/>
        <v>0</v>
      </c>
      <c r="LH101" s="3">
        <f t="shared" si="96"/>
        <v>0</v>
      </c>
      <c r="LI101" s="3">
        <f t="shared" ref="LI101:LM104" si="97">(LI38-LI$11)/LI$11*100</f>
        <v>2.7878787878787876</v>
      </c>
      <c r="LJ101" s="3">
        <f t="shared" si="97"/>
        <v>1.8237082066869299</v>
      </c>
      <c r="LK101" s="3">
        <f t="shared" si="97"/>
        <v>3.306451612903226</v>
      </c>
      <c r="LL101" s="3">
        <f t="shared" si="97"/>
        <v>1.7785427423981641</v>
      </c>
      <c r="LM101" s="3">
        <f t="shared" si="97"/>
        <v>6.1482820976491857</v>
      </c>
      <c r="LN101" s="3">
        <f t="shared" si="72"/>
        <v>0</v>
      </c>
      <c r="LO101" s="3">
        <f t="shared" si="72"/>
        <v>0</v>
      </c>
      <c r="LP101" s="3">
        <f t="shared" ref="LP101:MW101" si="98">(LP38-LP$11)/LP$11*100</f>
        <v>2.9835390946502058</v>
      </c>
      <c r="LQ101" s="3">
        <f t="shared" si="98"/>
        <v>0</v>
      </c>
      <c r="LR101" s="3">
        <f t="shared" si="98"/>
        <v>0.92905405405405406</v>
      </c>
      <c r="LS101" s="3">
        <f t="shared" si="98"/>
        <v>3.8317757009345796</v>
      </c>
      <c r="LT101" s="3">
        <f t="shared" si="98"/>
        <v>0</v>
      </c>
      <c r="LU101" s="3">
        <f t="shared" si="98"/>
        <v>0</v>
      </c>
      <c r="LV101" s="3">
        <f t="shared" si="98"/>
        <v>0</v>
      </c>
      <c r="LW101" s="3">
        <f t="shared" si="98"/>
        <v>0</v>
      </c>
      <c r="LX101" s="3">
        <f t="shared" si="98"/>
        <v>0</v>
      </c>
      <c r="LY101" s="3">
        <f t="shared" si="98"/>
        <v>0</v>
      </c>
      <c r="LZ101" s="3">
        <f t="shared" si="98"/>
        <v>1.7746228926353149</v>
      </c>
      <c r="MA101" s="3">
        <f t="shared" si="98"/>
        <v>0</v>
      </c>
      <c r="MB101" s="3">
        <f t="shared" si="98"/>
        <v>1.7501215362177931</v>
      </c>
      <c r="MC101" s="3">
        <f t="shared" si="98"/>
        <v>0</v>
      </c>
      <c r="MD101" s="3">
        <f t="shared" si="98"/>
        <v>1.0232558139534882</v>
      </c>
      <c r="ME101" s="3">
        <f t="shared" si="98"/>
        <v>0</v>
      </c>
      <c r="MF101" s="3">
        <f t="shared" si="98"/>
        <v>0</v>
      </c>
      <c r="MG101" s="3">
        <f t="shared" si="98"/>
        <v>0</v>
      </c>
      <c r="MH101" s="3">
        <f t="shared" si="98"/>
        <v>1.7982456140350878</v>
      </c>
      <c r="MI101" s="3">
        <f t="shared" si="98"/>
        <v>0</v>
      </c>
      <c r="MJ101" s="3">
        <f t="shared" si="98"/>
        <v>4.9127080795777509</v>
      </c>
      <c r="MK101" s="3">
        <f t="shared" si="98"/>
        <v>3.3672670321064997</v>
      </c>
      <c r="ML101" s="3">
        <f t="shared" si="98"/>
        <v>1.5521064301552108</v>
      </c>
      <c r="MM101" s="3">
        <f t="shared" si="98"/>
        <v>0</v>
      </c>
      <c r="MN101" s="3">
        <f t="shared" si="98"/>
        <v>0.66577896138482018</v>
      </c>
      <c r="MO101" s="3">
        <f t="shared" si="98"/>
        <v>3.340840840840841</v>
      </c>
      <c r="MP101" s="3">
        <f t="shared" si="98"/>
        <v>0</v>
      </c>
      <c r="MQ101" s="3">
        <f t="shared" si="98"/>
        <v>0</v>
      </c>
      <c r="MR101" s="3">
        <f t="shared" si="98"/>
        <v>1.2726382770435634</v>
      </c>
      <c r="MS101" s="3">
        <f t="shared" si="98"/>
        <v>0</v>
      </c>
      <c r="MT101" s="3">
        <f t="shared" si="98"/>
        <v>2.1162123385939742</v>
      </c>
      <c r="MU101" s="3">
        <f t="shared" si="98"/>
        <v>4.7094568932776308</v>
      </c>
      <c r="MV101" s="3">
        <f t="shared" si="98"/>
        <v>1.7438833940655909</v>
      </c>
      <c r="MW101" s="3">
        <f t="shared" si="98"/>
        <v>6.0877626699629168</v>
      </c>
      <c r="MX101" s="3"/>
      <c r="MY101" s="3"/>
    </row>
    <row r="102" spans="1:363" x14ac:dyDescent="0.3">
      <c r="A102" s="3">
        <v>28</v>
      </c>
      <c r="B102" s="3">
        <f t="shared" si="33"/>
        <v>1.1494252873563218</v>
      </c>
      <c r="C102" s="3">
        <f t="shared" si="95"/>
        <v>0</v>
      </c>
      <c r="D102" s="3">
        <f t="shared" si="95"/>
        <v>0.21186440677966101</v>
      </c>
      <c r="E102" s="3">
        <f t="shared" si="95"/>
        <v>6.4220183486238538</v>
      </c>
      <c r="F102" s="3">
        <f t="shared" si="95"/>
        <v>0</v>
      </c>
      <c r="G102" s="3">
        <f t="shared" si="95"/>
        <v>2.1032504780114722</v>
      </c>
      <c r="H102" s="3">
        <f t="shared" si="95"/>
        <v>0</v>
      </c>
      <c r="I102" s="3">
        <f t="shared" si="95"/>
        <v>0</v>
      </c>
      <c r="J102" s="3">
        <f t="shared" si="95"/>
        <v>0</v>
      </c>
      <c r="K102" s="3">
        <f t="shared" si="95"/>
        <v>0</v>
      </c>
      <c r="L102" s="3">
        <f t="shared" si="95"/>
        <v>0</v>
      </c>
      <c r="M102" s="3">
        <f t="shared" si="95"/>
        <v>0</v>
      </c>
      <c r="N102" s="3">
        <f t="shared" si="95"/>
        <v>1.4678899082568808</v>
      </c>
      <c r="O102" s="3">
        <f t="shared" si="95"/>
        <v>1.0373443983402488</v>
      </c>
      <c r="P102" s="3">
        <f t="shared" si="95"/>
        <v>1.4619883040935671</v>
      </c>
      <c r="Q102" s="3">
        <f t="shared" si="95"/>
        <v>0</v>
      </c>
      <c r="R102" s="3">
        <f t="shared" si="95"/>
        <v>0.58027079303675055</v>
      </c>
      <c r="S102" s="3">
        <f t="shared" si="95"/>
        <v>3.0542986425339365</v>
      </c>
      <c r="T102" s="3">
        <f t="shared" si="95"/>
        <v>0</v>
      </c>
      <c r="U102" s="3">
        <f t="shared" si="95"/>
        <v>0</v>
      </c>
      <c r="V102" s="3">
        <f t="shared" si="95"/>
        <v>0</v>
      </c>
      <c r="W102" s="3">
        <f t="shared" si="95"/>
        <v>3.2407407407407405</v>
      </c>
      <c r="X102" s="3">
        <f t="shared" si="95"/>
        <v>0.31007751937984496</v>
      </c>
      <c r="Y102" s="3">
        <f t="shared" si="95"/>
        <v>9.4565217391304337</v>
      </c>
      <c r="Z102" s="3">
        <f t="shared" si="95"/>
        <v>0.28490028490028491</v>
      </c>
      <c r="AA102" s="3">
        <f t="shared" si="95"/>
        <v>0.66152149944873206</v>
      </c>
      <c r="AB102" s="3">
        <f t="shared" si="95"/>
        <v>1.7241379310344827</v>
      </c>
      <c r="AC102" s="3">
        <f t="shared" si="95"/>
        <v>1.1261261261261262</v>
      </c>
      <c r="AD102" s="3">
        <f t="shared" si="95"/>
        <v>0.5997818974918212</v>
      </c>
      <c r="AE102" s="3">
        <f t="shared" si="95"/>
        <v>0</v>
      </c>
      <c r="AF102" s="3">
        <f t="shared" si="95"/>
        <v>0.46511627906976744</v>
      </c>
      <c r="AG102" s="3">
        <f t="shared" si="95"/>
        <v>3.9814814814814818</v>
      </c>
      <c r="AH102" s="3">
        <f t="shared" si="95"/>
        <v>1.0928961748633881</v>
      </c>
      <c r="AI102" s="3">
        <f t="shared" si="95"/>
        <v>4.0590405904059041</v>
      </c>
      <c r="AJ102" s="3">
        <f t="shared" si="95"/>
        <v>0.79840319361277434</v>
      </c>
      <c r="AK102" s="3">
        <f t="shared" si="95"/>
        <v>6.7479674796747959</v>
      </c>
      <c r="AL102" s="3">
        <f t="shared" si="95"/>
        <v>0</v>
      </c>
      <c r="AM102" s="3">
        <f t="shared" si="95"/>
        <v>0</v>
      </c>
      <c r="AN102" s="3">
        <f t="shared" si="95"/>
        <v>3.339517625231911</v>
      </c>
      <c r="AO102" s="3">
        <f t="shared" si="95"/>
        <v>0</v>
      </c>
      <c r="AP102" s="3">
        <f t="shared" si="95"/>
        <v>0.29197080291970801</v>
      </c>
      <c r="AQ102" s="3">
        <f t="shared" si="95"/>
        <v>0</v>
      </c>
      <c r="AR102" s="3">
        <f t="shared" si="95"/>
        <v>0</v>
      </c>
      <c r="AS102" s="3">
        <f t="shared" si="95"/>
        <v>0</v>
      </c>
      <c r="AT102" s="3">
        <f t="shared" si="95"/>
        <v>0</v>
      </c>
      <c r="AU102" s="3">
        <f t="shared" si="95"/>
        <v>0</v>
      </c>
      <c r="AV102" s="3">
        <f t="shared" si="95"/>
        <v>0</v>
      </c>
      <c r="AW102" s="3">
        <f t="shared" si="95"/>
        <v>0</v>
      </c>
      <c r="AX102" s="3">
        <f t="shared" si="95"/>
        <v>0</v>
      </c>
      <c r="AY102" s="3">
        <f t="shared" si="95"/>
        <v>0.89163237311385457</v>
      </c>
      <c r="AZ102" s="3">
        <f t="shared" si="95"/>
        <v>2.4618991793669402</v>
      </c>
      <c r="BA102" s="3">
        <f t="shared" si="95"/>
        <v>0</v>
      </c>
      <c r="BB102" s="3">
        <f t="shared" si="95"/>
        <v>1.7695783132530123</v>
      </c>
      <c r="BC102" s="3">
        <f t="shared" si="95"/>
        <v>2.7163904235727441</v>
      </c>
      <c r="BD102" s="3">
        <f t="shared" si="95"/>
        <v>0</v>
      </c>
      <c r="BE102" s="3">
        <f t="shared" si="95"/>
        <v>0</v>
      </c>
      <c r="BF102" s="3">
        <f t="shared" si="95"/>
        <v>0</v>
      </c>
      <c r="BG102" s="3">
        <f t="shared" si="95"/>
        <v>0</v>
      </c>
      <c r="BH102" s="3">
        <f t="shared" si="95"/>
        <v>4.269029399919452</v>
      </c>
      <c r="BI102" s="3">
        <f t="shared" si="95"/>
        <v>6.9319640564826699</v>
      </c>
      <c r="BJ102" s="3">
        <f t="shared" si="95"/>
        <v>0.38289725590299939</v>
      </c>
      <c r="BK102" s="3">
        <f t="shared" si="95"/>
        <v>3.2949790794979084</v>
      </c>
      <c r="BL102" s="3">
        <f t="shared" si="95"/>
        <v>0</v>
      </c>
      <c r="BM102" s="3">
        <f t="shared" si="95"/>
        <v>3.8181818181818183</v>
      </c>
      <c r="BN102" s="3">
        <f t="shared" si="95"/>
        <v>2.0311263518860456</v>
      </c>
      <c r="BO102" s="3">
        <f t="shared" si="92"/>
        <v>1.5896379158080658</v>
      </c>
      <c r="BP102" s="3">
        <f t="shared" si="92"/>
        <v>1.6369047619047621</v>
      </c>
      <c r="BQ102" s="3">
        <f t="shared" si="92"/>
        <v>0</v>
      </c>
      <c r="BR102" s="3">
        <f t="shared" si="92"/>
        <v>2.5263951734539969</v>
      </c>
      <c r="BS102" s="3">
        <f t="shared" si="92"/>
        <v>4.3581616481774965</v>
      </c>
      <c r="BT102" s="3">
        <f t="shared" si="92"/>
        <v>2.4208009563658099</v>
      </c>
      <c r="BU102" s="3">
        <f t="shared" si="92"/>
        <v>6.7337729954876773</v>
      </c>
      <c r="BV102" s="3">
        <f t="shared" si="92"/>
        <v>1.3297872340425532</v>
      </c>
      <c r="BW102" s="3">
        <f t="shared" si="92"/>
        <v>0</v>
      </c>
      <c r="BX102" s="3">
        <f t="shared" si="92"/>
        <v>1.2254901960784315</v>
      </c>
      <c r="BY102" s="3">
        <f t="shared" si="92"/>
        <v>2.358490566037736</v>
      </c>
      <c r="BZ102" s="3">
        <f t="shared" si="92"/>
        <v>0.33613445378151263</v>
      </c>
      <c r="CA102" s="3">
        <f t="shared" si="92"/>
        <v>4.562043795620438</v>
      </c>
      <c r="CB102" s="3">
        <f t="shared" si="92"/>
        <v>0</v>
      </c>
      <c r="CC102" s="3">
        <f t="shared" si="92"/>
        <v>0</v>
      </c>
      <c r="CD102" s="3">
        <f t="shared" si="92"/>
        <v>0</v>
      </c>
      <c r="CE102" s="3">
        <f t="shared" si="92"/>
        <v>0</v>
      </c>
      <c r="CF102" s="3">
        <f t="shared" si="92"/>
        <v>0</v>
      </c>
      <c r="CG102" s="3">
        <f t="shared" si="92"/>
        <v>0</v>
      </c>
      <c r="CH102" s="3">
        <f t="shared" si="92"/>
        <v>0.76804915514592931</v>
      </c>
      <c r="CI102" s="3">
        <f t="shared" si="92"/>
        <v>0</v>
      </c>
      <c r="CJ102" s="3">
        <f t="shared" si="92"/>
        <v>2.5225225225225225</v>
      </c>
      <c r="CK102" s="3">
        <f t="shared" si="92"/>
        <v>4.0641711229946527</v>
      </c>
      <c r="CL102" s="3">
        <f t="shared" si="92"/>
        <v>0</v>
      </c>
      <c r="CM102" s="3">
        <f t="shared" si="92"/>
        <v>0</v>
      </c>
      <c r="CN102" s="3">
        <f t="shared" si="92"/>
        <v>0</v>
      </c>
      <c r="CO102" s="3">
        <f t="shared" si="92"/>
        <v>0</v>
      </c>
      <c r="CP102" s="3">
        <f t="shared" si="92"/>
        <v>9.0334236675700091E-2</v>
      </c>
      <c r="CQ102" s="3">
        <f t="shared" si="92"/>
        <v>0</v>
      </c>
      <c r="CR102" s="3">
        <f t="shared" si="92"/>
        <v>2.2222222222222223</v>
      </c>
      <c r="CS102" s="3">
        <f t="shared" si="92"/>
        <v>6.7970204841713215</v>
      </c>
      <c r="CT102" s="3">
        <f t="shared" si="92"/>
        <v>0</v>
      </c>
      <c r="CU102" s="3">
        <f t="shared" si="92"/>
        <v>0</v>
      </c>
      <c r="CV102" s="3">
        <f t="shared" si="92"/>
        <v>0</v>
      </c>
      <c r="CW102" s="3">
        <f t="shared" si="92"/>
        <v>0</v>
      </c>
      <c r="CX102" s="3">
        <f t="shared" si="92"/>
        <v>0</v>
      </c>
      <c r="CY102" s="3">
        <f t="shared" si="92"/>
        <v>0</v>
      </c>
      <c r="CZ102" s="3">
        <f t="shared" si="92"/>
        <v>0</v>
      </c>
      <c r="DA102" s="3">
        <f t="shared" si="92"/>
        <v>0</v>
      </c>
      <c r="DB102" s="3">
        <f t="shared" si="92"/>
        <v>1.4814814814814816</v>
      </c>
      <c r="DC102" s="3">
        <f t="shared" si="92"/>
        <v>4.361617763679619</v>
      </c>
      <c r="DD102" s="3">
        <f t="shared" si="92"/>
        <v>0.74712643678160917</v>
      </c>
      <c r="DE102" s="3">
        <f t="shared" si="92"/>
        <v>5.7532172596517794</v>
      </c>
      <c r="DF102" s="3">
        <f t="shared" si="92"/>
        <v>0</v>
      </c>
      <c r="DG102" s="3">
        <f t="shared" si="92"/>
        <v>0.46875</v>
      </c>
      <c r="DH102" s="3">
        <f t="shared" si="92"/>
        <v>0</v>
      </c>
      <c r="DI102" s="3">
        <f t="shared" si="92"/>
        <v>0.91996320147194111</v>
      </c>
      <c r="DJ102" s="3">
        <f t="shared" si="92"/>
        <v>0</v>
      </c>
      <c r="DK102" s="3">
        <f t="shared" si="92"/>
        <v>2.5437201907790143</v>
      </c>
      <c r="DL102" s="3">
        <f t="shared" si="92"/>
        <v>0</v>
      </c>
      <c r="DM102" s="3">
        <f t="shared" si="92"/>
        <v>0</v>
      </c>
      <c r="DN102" s="3">
        <f t="shared" si="92"/>
        <v>0</v>
      </c>
      <c r="DO102" s="3">
        <f t="shared" si="92"/>
        <v>0</v>
      </c>
      <c r="DP102" s="3">
        <f t="shared" si="92"/>
        <v>0</v>
      </c>
      <c r="DQ102" s="3">
        <f t="shared" si="92"/>
        <v>0</v>
      </c>
      <c r="DR102" s="3">
        <f t="shared" si="92"/>
        <v>0</v>
      </c>
      <c r="DS102" s="3">
        <f t="shared" si="92"/>
        <v>0</v>
      </c>
      <c r="DT102" s="3">
        <f t="shared" si="92"/>
        <v>1.4966740576496673</v>
      </c>
      <c r="DU102" s="3">
        <f t="shared" si="92"/>
        <v>2.5110782865583459</v>
      </c>
      <c r="DV102" s="3">
        <f t="shared" si="92"/>
        <v>0</v>
      </c>
      <c r="DW102" s="3">
        <f t="shared" si="92"/>
        <v>0</v>
      </c>
      <c r="DX102" s="3">
        <f t="shared" si="92"/>
        <v>0</v>
      </c>
      <c r="DY102" s="3">
        <f t="shared" si="92"/>
        <v>0</v>
      </c>
      <c r="DZ102" s="3">
        <f t="shared" si="90"/>
        <v>0.21939447125932429</v>
      </c>
      <c r="EA102" s="3">
        <f t="shared" si="90"/>
        <v>2.34375</v>
      </c>
      <c r="EB102" s="3">
        <f t="shared" si="90"/>
        <v>3.2592592592592591</v>
      </c>
      <c r="EC102" s="3">
        <f t="shared" si="90"/>
        <v>6.0787671232876717</v>
      </c>
      <c r="ED102" s="3">
        <f t="shared" si="90"/>
        <v>1.8556701030927836</v>
      </c>
      <c r="EE102" s="3">
        <f t="shared" si="90"/>
        <v>0</v>
      </c>
      <c r="EF102" s="3">
        <f t="shared" si="90"/>
        <v>3.155006858710562</v>
      </c>
      <c r="EG102" s="3">
        <f t="shared" si="90"/>
        <v>1.8463810930576072</v>
      </c>
      <c r="EH102" s="3">
        <f t="shared" si="90"/>
        <v>1.7979904812268643</v>
      </c>
      <c r="EI102" s="3">
        <f t="shared" si="90"/>
        <v>0.1878690284487386</v>
      </c>
      <c r="EJ102" s="3">
        <f t="shared" si="90"/>
        <v>0.95108695652173925</v>
      </c>
      <c r="EK102" s="3">
        <f t="shared" si="90"/>
        <v>3.9891818796484109</v>
      </c>
      <c r="EL102" s="3">
        <f t="shared" si="90"/>
        <v>1.4071856287425151</v>
      </c>
      <c r="EM102" s="3">
        <f t="shared" si="90"/>
        <v>7.1814030718140316</v>
      </c>
      <c r="EN102" s="3">
        <f t="shared" si="90"/>
        <v>1.6137566137566137</v>
      </c>
      <c r="EO102" s="3">
        <f t="shared" si="90"/>
        <v>7.3385518590998036</v>
      </c>
      <c r="EP102" s="3">
        <f t="shared" si="90"/>
        <v>2.083333333333333</v>
      </c>
      <c r="EQ102" s="3">
        <f t="shared" si="90"/>
        <v>0</v>
      </c>
      <c r="ER102" s="3">
        <f t="shared" si="90"/>
        <v>1.7391304347826086</v>
      </c>
      <c r="ES102" s="3">
        <f t="shared" si="90"/>
        <v>0</v>
      </c>
      <c r="ET102" s="3">
        <f t="shared" si="90"/>
        <v>1.2658227848101267</v>
      </c>
      <c r="EU102" s="3">
        <f t="shared" si="90"/>
        <v>1.0189228529839884</v>
      </c>
      <c r="EV102" s="3">
        <f t="shared" si="90"/>
        <v>0</v>
      </c>
      <c r="EW102" s="3">
        <f t="shared" si="90"/>
        <v>0</v>
      </c>
      <c r="EX102" s="3">
        <f t="shared" si="90"/>
        <v>0</v>
      </c>
      <c r="EY102" s="3">
        <f t="shared" si="90"/>
        <v>0</v>
      </c>
      <c r="EZ102" s="3">
        <f t="shared" si="90"/>
        <v>0</v>
      </c>
      <c r="FA102" s="3">
        <f t="shared" si="90"/>
        <v>0</v>
      </c>
      <c r="FB102" s="3">
        <f t="shared" si="90"/>
        <v>0</v>
      </c>
      <c r="FC102" s="3">
        <f t="shared" si="90"/>
        <v>3.070175438596491</v>
      </c>
      <c r="FD102" s="3">
        <f t="shared" si="90"/>
        <v>1.984126984126984</v>
      </c>
      <c r="FE102" s="3">
        <f t="shared" si="90"/>
        <v>0</v>
      </c>
      <c r="FF102" s="3">
        <f t="shared" si="90"/>
        <v>1.7241379310344827</v>
      </c>
      <c r="FG102" s="3">
        <f t="shared" si="90"/>
        <v>1.8621973929236499</v>
      </c>
      <c r="FH102" s="3">
        <f t="shared" si="90"/>
        <v>0</v>
      </c>
      <c r="FI102" s="3">
        <f t="shared" si="90"/>
        <v>0</v>
      </c>
      <c r="FJ102" s="3">
        <f t="shared" si="90"/>
        <v>0</v>
      </c>
      <c r="FK102" s="3">
        <f t="shared" si="90"/>
        <v>0</v>
      </c>
      <c r="FL102" s="3">
        <f t="shared" si="90"/>
        <v>1.6666666666666667</v>
      </c>
      <c r="FM102" s="3">
        <f t="shared" si="90"/>
        <v>2.7115858668857848</v>
      </c>
      <c r="FN102" s="3">
        <f t="shared" si="90"/>
        <v>0</v>
      </c>
      <c r="FO102" s="3">
        <f t="shared" si="90"/>
        <v>5.0373134328358207</v>
      </c>
      <c r="FP102" s="3">
        <f t="shared" si="90"/>
        <v>0</v>
      </c>
      <c r="FQ102" s="3">
        <f t="shared" si="90"/>
        <v>1.1346444780635401</v>
      </c>
      <c r="FR102" s="3">
        <f t="shared" si="90"/>
        <v>3.0113636363636362</v>
      </c>
      <c r="FS102" s="3">
        <f t="shared" si="90"/>
        <v>0</v>
      </c>
      <c r="FT102" s="3">
        <f t="shared" si="90"/>
        <v>1.6064257028112447</v>
      </c>
      <c r="FU102" s="3">
        <f t="shared" si="90"/>
        <v>4.6814044213263983</v>
      </c>
      <c r="FV102" s="3">
        <f t="shared" si="90"/>
        <v>1.6030534351145038</v>
      </c>
      <c r="FW102" s="3">
        <f t="shared" si="90"/>
        <v>5.4771784232365146</v>
      </c>
      <c r="FX102" s="3">
        <f t="shared" si="90"/>
        <v>2.0125786163522013</v>
      </c>
      <c r="FY102" s="3">
        <f t="shared" si="90"/>
        <v>8.3104395604395602</v>
      </c>
      <c r="FZ102" s="3">
        <f t="shared" si="90"/>
        <v>1.6304347826086956</v>
      </c>
      <c r="GA102" s="3">
        <f t="shared" si="90"/>
        <v>0</v>
      </c>
      <c r="GB102" s="3">
        <f t="shared" si="90"/>
        <v>1.8404907975460123</v>
      </c>
      <c r="GC102" s="3">
        <f t="shared" si="90"/>
        <v>4.3942992874109263</v>
      </c>
      <c r="GD102" s="3">
        <f t="shared" si="90"/>
        <v>0</v>
      </c>
      <c r="GE102" s="3">
        <f t="shared" si="90"/>
        <v>0</v>
      </c>
      <c r="GF102" s="3">
        <f t="shared" si="90"/>
        <v>0</v>
      </c>
      <c r="GG102" s="3">
        <f t="shared" si="90"/>
        <v>0</v>
      </c>
      <c r="GH102" s="3">
        <f t="shared" si="90"/>
        <v>0</v>
      </c>
      <c r="GI102" s="3">
        <f t="shared" si="90"/>
        <v>0</v>
      </c>
      <c r="GJ102" s="3">
        <f t="shared" si="90"/>
        <v>0</v>
      </c>
      <c r="GK102" s="3">
        <f t="shared" ref="GK102:IV104" si="99">(GK39-GK$11)/GK$11*100</f>
        <v>0</v>
      </c>
      <c r="GL102" s="3">
        <f t="shared" si="99"/>
        <v>0.16722408026755853</v>
      </c>
      <c r="GM102" s="3">
        <f t="shared" si="99"/>
        <v>3.5016286644951142</v>
      </c>
      <c r="GN102" s="3">
        <f t="shared" si="99"/>
        <v>2.2471910112359552</v>
      </c>
      <c r="GO102" s="3">
        <f t="shared" si="99"/>
        <v>1.9658561821003622</v>
      </c>
      <c r="GP102" s="3">
        <f t="shared" si="99"/>
        <v>0</v>
      </c>
      <c r="GQ102" s="3">
        <f t="shared" si="99"/>
        <v>0</v>
      </c>
      <c r="GR102" s="3">
        <f t="shared" si="99"/>
        <v>0</v>
      </c>
      <c r="GS102" s="3">
        <f t="shared" si="99"/>
        <v>0</v>
      </c>
      <c r="GT102" s="3">
        <f t="shared" si="99"/>
        <v>0.93959731543624159</v>
      </c>
      <c r="GU102" s="3">
        <f t="shared" si="99"/>
        <v>0</v>
      </c>
      <c r="GV102" s="3">
        <f t="shared" si="99"/>
        <v>6.2817719680464776</v>
      </c>
      <c r="GW102" s="3">
        <f t="shared" si="99"/>
        <v>5.2193995381062352</v>
      </c>
      <c r="GX102" s="3">
        <f t="shared" si="99"/>
        <v>0</v>
      </c>
      <c r="GY102" s="3">
        <f t="shared" si="99"/>
        <v>0</v>
      </c>
      <c r="GZ102" s="3">
        <f t="shared" si="99"/>
        <v>0</v>
      </c>
      <c r="HA102" s="3">
        <f t="shared" si="99"/>
        <v>0.73787772312016864</v>
      </c>
      <c r="HB102" s="3">
        <f t="shared" si="99"/>
        <v>1.5168860904407555</v>
      </c>
      <c r="HC102" s="3">
        <f t="shared" si="99"/>
        <v>0</v>
      </c>
      <c r="HD102" s="3">
        <f t="shared" si="99"/>
        <v>0.54726368159203986</v>
      </c>
      <c r="HE102" s="3">
        <f t="shared" si="99"/>
        <v>6.5099457504520801</v>
      </c>
      <c r="HF102" s="3">
        <f t="shared" si="99"/>
        <v>1.4544279250161603</v>
      </c>
      <c r="HG102" s="3">
        <f t="shared" si="99"/>
        <v>5.0997782705099777</v>
      </c>
      <c r="HH102" s="3">
        <f t="shared" si="99"/>
        <v>1.3472292831723438</v>
      </c>
      <c r="HI102" s="3">
        <f t="shared" si="99"/>
        <v>4.21760391198044</v>
      </c>
      <c r="HJ102" s="3">
        <f t="shared" si="99"/>
        <v>1.3953488372093024</v>
      </c>
      <c r="HK102" s="3">
        <f t="shared" si="99"/>
        <v>0.8875739644970414</v>
      </c>
      <c r="HL102" s="3">
        <f t="shared" si="99"/>
        <v>1.7543859649122806</v>
      </c>
      <c r="HM102" s="3">
        <f t="shared" si="99"/>
        <v>0.55248618784530379</v>
      </c>
      <c r="HN102" s="3">
        <f t="shared" si="99"/>
        <v>2.2865853658536586</v>
      </c>
      <c r="HO102" s="3">
        <f t="shared" si="99"/>
        <v>0</v>
      </c>
      <c r="HP102" s="3">
        <f t="shared" si="99"/>
        <v>0</v>
      </c>
      <c r="HQ102" s="3">
        <f t="shared" si="99"/>
        <v>0</v>
      </c>
      <c r="HR102" s="3">
        <f t="shared" si="99"/>
        <v>0</v>
      </c>
      <c r="HS102" s="3">
        <f t="shared" si="99"/>
        <v>0</v>
      </c>
      <c r="HT102" s="3">
        <f t="shared" si="99"/>
        <v>0</v>
      </c>
      <c r="HU102" s="3">
        <f t="shared" si="99"/>
        <v>0</v>
      </c>
      <c r="HV102" s="3">
        <f t="shared" si="99"/>
        <v>0</v>
      </c>
      <c r="HW102" s="3">
        <f t="shared" si="99"/>
        <v>2</v>
      </c>
      <c r="HX102" s="3">
        <f t="shared" si="99"/>
        <v>2.147239263803681</v>
      </c>
      <c r="HY102" s="3">
        <f t="shared" si="99"/>
        <v>0</v>
      </c>
      <c r="HZ102" s="3">
        <f t="shared" si="99"/>
        <v>0.43478260869565216</v>
      </c>
      <c r="IA102" s="3">
        <f t="shared" si="99"/>
        <v>0</v>
      </c>
      <c r="IB102" s="3">
        <f t="shared" si="99"/>
        <v>0</v>
      </c>
      <c r="IC102" s="3">
        <f t="shared" si="99"/>
        <v>0</v>
      </c>
      <c r="ID102" s="3">
        <f t="shared" si="99"/>
        <v>0</v>
      </c>
      <c r="IE102" s="3">
        <f t="shared" si="99"/>
        <v>0.83832335329341312</v>
      </c>
      <c r="IF102" s="3">
        <f t="shared" si="99"/>
        <v>1.8328445747800588</v>
      </c>
      <c r="IG102" s="3">
        <f t="shared" si="99"/>
        <v>2.838827838827839</v>
      </c>
      <c r="IH102" s="3">
        <f t="shared" si="99"/>
        <v>0</v>
      </c>
      <c r="II102" s="3">
        <f t="shared" si="99"/>
        <v>3.8596491228070176</v>
      </c>
      <c r="IJ102" s="3">
        <f t="shared" si="99"/>
        <v>0.39339103068450038</v>
      </c>
      <c r="IK102" s="3">
        <f t="shared" si="99"/>
        <v>2.34375</v>
      </c>
      <c r="IL102" s="3">
        <f t="shared" si="99"/>
        <v>0</v>
      </c>
      <c r="IM102" s="3">
        <f t="shared" si="99"/>
        <v>0</v>
      </c>
      <c r="IN102" s="3">
        <f t="shared" si="99"/>
        <v>0</v>
      </c>
      <c r="IO102" s="3">
        <f t="shared" si="99"/>
        <v>0</v>
      </c>
      <c r="IP102" s="3">
        <f t="shared" si="99"/>
        <v>2.3008849557522124</v>
      </c>
      <c r="IQ102" s="3">
        <f t="shared" si="99"/>
        <v>6.0473269062226116</v>
      </c>
      <c r="IR102" s="3">
        <f t="shared" si="99"/>
        <v>0.98379629629629628</v>
      </c>
      <c r="IS102" s="3">
        <f t="shared" si="99"/>
        <v>9.0968161143599744</v>
      </c>
      <c r="IT102" s="3">
        <f t="shared" si="99"/>
        <v>0</v>
      </c>
      <c r="IU102" s="3">
        <f t="shared" si="99"/>
        <v>1.7825311942959003</v>
      </c>
      <c r="IV102" s="3">
        <f t="shared" si="99"/>
        <v>2.6436781609195403</v>
      </c>
      <c r="IW102" s="3">
        <f t="shared" si="96"/>
        <v>0.23255813953488372</v>
      </c>
      <c r="IX102" s="3">
        <f t="shared" si="96"/>
        <v>0.23961661341853036</v>
      </c>
      <c r="IY102" s="3">
        <f t="shared" si="96"/>
        <v>0</v>
      </c>
      <c r="IZ102" s="3">
        <f t="shared" si="96"/>
        <v>0</v>
      </c>
      <c r="JA102" s="3">
        <f t="shared" si="96"/>
        <v>0</v>
      </c>
      <c r="JB102" s="3">
        <f t="shared" si="96"/>
        <v>0</v>
      </c>
      <c r="JC102" s="3">
        <f t="shared" si="96"/>
        <v>0</v>
      </c>
      <c r="JD102" s="3">
        <f t="shared" si="96"/>
        <v>0</v>
      </c>
      <c r="JE102" s="3">
        <f t="shared" si="96"/>
        <v>0</v>
      </c>
      <c r="JF102" s="3">
        <f t="shared" si="96"/>
        <v>1.0416666666666665</v>
      </c>
      <c r="JG102" s="3">
        <f t="shared" si="96"/>
        <v>0</v>
      </c>
      <c r="JH102" s="3">
        <f t="shared" si="96"/>
        <v>0</v>
      </c>
      <c r="JI102" s="3">
        <f t="shared" si="96"/>
        <v>0</v>
      </c>
      <c r="JJ102" s="3">
        <f t="shared" si="96"/>
        <v>0</v>
      </c>
      <c r="JK102" s="3">
        <f t="shared" si="96"/>
        <v>0.6116207951070336</v>
      </c>
      <c r="JL102" s="3">
        <f t="shared" si="96"/>
        <v>0</v>
      </c>
      <c r="JM102" s="3">
        <f t="shared" si="96"/>
        <v>0</v>
      </c>
      <c r="JN102" s="3">
        <f t="shared" si="96"/>
        <v>3.9745627980922099E-2</v>
      </c>
      <c r="JO102" s="3">
        <f t="shared" si="96"/>
        <v>1.4750762970498474</v>
      </c>
      <c r="JP102" s="3">
        <f t="shared" si="96"/>
        <v>4.1965973534971646</v>
      </c>
      <c r="JQ102" s="3">
        <f t="shared" si="96"/>
        <v>10.145608266791921</v>
      </c>
      <c r="JR102" s="3">
        <f t="shared" si="96"/>
        <v>0</v>
      </c>
      <c r="JS102" s="3">
        <f t="shared" si="96"/>
        <v>2.990897269180754</v>
      </c>
      <c r="JT102" s="3">
        <f t="shared" si="96"/>
        <v>0.44323218547562221</v>
      </c>
      <c r="JU102" s="3">
        <f t="shared" si="96"/>
        <v>0</v>
      </c>
      <c r="JV102" s="3">
        <f t="shared" si="96"/>
        <v>2.3110880290833546</v>
      </c>
      <c r="JW102" s="3">
        <f t="shared" si="96"/>
        <v>0</v>
      </c>
      <c r="JX102" s="3">
        <f t="shared" si="96"/>
        <v>0.97031963470319627</v>
      </c>
      <c r="JY102" s="3">
        <f t="shared" si="96"/>
        <v>3.8132807363576595</v>
      </c>
      <c r="JZ102" s="3">
        <f t="shared" si="96"/>
        <v>1.402805611222445</v>
      </c>
      <c r="KA102" s="3">
        <f t="shared" si="96"/>
        <v>5.2395209580838316</v>
      </c>
      <c r="KB102" s="3">
        <f t="shared" si="96"/>
        <v>2.7746947835738069</v>
      </c>
      <c r="KC102" s="3">
        <f t="shared" si="96"/>
        <v>6.675307841866494</v>
      </c>
      <c r="KD102" s="3">
        <f t="shared" si="96"/>
        <v>0</v>
      </c>
      <c r="KE102" s="3">
        <f t="shared" si="96"/>
        <v>5.1428571428571423</v>
      </c>
      <c r="KF102" s="3">
        <f t="shared" si="96"/>
        <v>0</v>
      </c>
      <c r="KG102" s="3">
        <f t="shared" si="96"/>
        <v>4.7945205479452051</v>
      </c>
      <c r="KH102" s="3">
        <f t="shared" si="96"/>
        <v>0</v>
      </c>
      <c r="KI102" s="3">
        <f t="shared" si="96"/>
        <v>4.1946308724832218</v>
      </c>
      <c r="KJ102" s="3">
        <f t="shared" si="96"/>
        <v>0</v>
      </c>
      <c r="KK102" s="3">
        <f t="shared" si="96"/>
        <v>0</v>
      </c>
      <c r="KL102" s="3">
        <f t="shared" si="96"/>
        <v>0</v>
      </c>
      <c r="KM102" s="3">
        <f t="shared" si="96"/>
        <v>0</v>
      </c>
      <c r="KN102" s="3">
        <f t="shared" si="96"/>
        <v>0</v>
      </c>
      <c r="KO102" s="3">
        <f t="shared" si="96"/>
        <v>0</v>
      </c>
      <c r="KP102" s="3">
        <f t="shared" si="96"/>
        <v>0</v>
      </c>
      <c r="KQ102" s="3">
        <f t="shared" si="96"/>
        <v>5.4545454545454541</v>
      </c>
      <c r="KR102" s="3">
        <f t="shared" si="96"/>
        <v>0.25510204081632654</v>
      </c>
      <c r="KS102" s="3">
        <f t="shared" si="96"/>
        <v>1.6797312430011198</v>
      </c>
      <c r="KT102" s="3">
        <f t="shared" si="96"/>
        <v>0</v>
      </c>
      <c r="KU102" s="3">
        <f t="shared" si="96"/>
        <v>0</v>
      </c>
      <c r="KV102" s="3">
        <f t="shared" si="96"/>
        <v>0</v>
      </c>
      <c r="KW102" s="3">
        <f t="shared" si="96"/>
        <v>0</v>
      </c>
      <c r="KX102" s="3">
        <f t="shared" si="96"/>
        <v>0</v>
      </c>
      <c r="KY102" s="3">
        <f t="shared" si="96"/>
        <v>0</v>
      </c>
      <c r="KZ102" s="3">
        <f t="shared" si="96"/>
        <v>2.197802197802198</v>
      </c>
      <c r="LA102" s="3">
        <f t="shared" si="96"/>
        <v>8.0128205128205128</v>
      </c>
      <c r="LB102" s="3">
        <f t="shared" si="96"/>
        <v>2.4096385542168677</v>
      </c>
      <c r="LC102" s="3">
        <f t="shared" si="96"/>
        <v>0</v>
      </c>
      <c r="LD102" s="3">
        <f t="shared" si="96"/>
        <v>0.45751633986928109</v>
      </c>
      <c r="LE102" s="3">
        <f t="shared" si="96"/>
        <v>0.7569386038687973</v>
      </c>
      <c r="LF102" s="3">
        <f t="shared" si="96"/>
        <v>0</v>
      </c>
      <c r="LG102" s="3">
        <f t="shared" si="96"/>
        <v>0</v>
      </c>
      <c r="LH102" s="3">
        <f t="shared" si="96"/>
        <v>0</v>
      </c>
      <c r="LI102" s="3">
        <f t="shared" si="97"/>
        <v>2.7878787878787876</v>
      </c>
      <c r="LJ102" s="3">
        <f t="shared" si="97"/>
        <v>2.2036474164133737</v>
      </c>
      <c r="LK102" s="3">
        <f t="shared" si="97"/>
        <v>3.306451612903226</v>
      </c>
      <c r="LL102" s="3">
        <f t="shared" si="97"/>
        <v>1.7211703958691909</v>
      </c>
      <c r="LM102" s="3">
        <f t="shared" si="97"/>
        <v>6.2085593731163353</v>
      </c>
      <c r="LN102" s="3">
        <f t="shared" si="72"/>
        <v>0</v>
      </c>
      <c r="LO102" s="3">
        <f t="shared" si="72"/>
        <v>0</v>
      </c>
      <c r="LP102" s="3">
        <f t="shared" ref="LP102:MW102" si="100">(LP39-LP$11)/LP$11*100</f>
        <v>2.880658436213992</v>
      </c>
      <c r="LQ102" s="3">
        <f t="shared" si="100"/>
        <v>0.51177072671443202</v>
      </c>
      <c r="LR102" s="3">
        <f t="shared" si="100"/>
        <v>1.435810810810811</v>
      </c>
      <c r="LS102" s="3">
        <f t="shared" si="100"/>
        <v>3.1775700934579438</v>
      </c>
      <c r="LT102" s="3">
        <f t="shared" si="100"/>
        <v>0</v>
      </c>
      <c r="LU102" s="3">
        <f t="shared" si="100"/>
        <v>0</v>
      </c>
      <c r="LV102" s="3">
        <f t="shared" si="100"/>
        <v>0</v>
      </c>
      <c r="LW102" s="3">
        <f t="shared" si="100"/>
        <v>0</v>
      </c>
      <c r="LX102" s="3">
        <f t="shared" si="100"/>
        <v>0</v>
      </c>
      <c r="LY102" s="3">
        <f t="shared" si="100"/>
        <v>0</v>
      </c>
      <c r="LZ102" s="3">
        <f t="shared" si="100"/>
        <v>1.7746228926353149</v>
      </c>
      <c r="MA102" s="3">
        <f t="shared" si="100"/>
        <v>0</v>
      </c>
      <c r="MB102" s="3">
        <f t="shared" si="100"/>
        <v>2.2362664073894019</v>
      </c>
      <c r="MC102" s="3">
        <f t="shared" si="100"/>
        <v>0</v>
      </c>
      <c r="MD102" s="3">
        <f t="shared" si="100"/>
        <v>0.88372093023255816</v>
      </c>
      <c r="ME102" s="3">
        <f t="shared" si="100"/>
        <v>0</v>
      </c>
      <c r="MF102" s="3">
        <f t="shared" si="100"/>
        <v>0</v>
      </c>
      <c r="MG102" s="3">
        <f t="shared" si="100"/>
        <v>0</v>
      </c>
      <c r="MH102" s="3">
        <f t="shared" si="100"/>
        <v>1.9736842105263157</v>
      </c>
      <c r="MI102" s="3">
        <f t="shared" si="100"/>
        <v>0</v>
      </c>
      <c r="MJ102" s="3">
        <f t="shared" si="100"/>
        <v>5.1969143321153064</v>
      </c>
      <c r="MK102" s="3">
        <f t="shared" si="100"/>
        <v>2.8191072826938135</v>
      </c>
      <c r="ML102" s="3">
        <f t="shared" si="100"/>
        <v>1.7184035476718404</v>
      </c>
      <c r="MM102" s="3">
        <f t="shared" si="100"/>
        <v>0</v>
      </c>
      <c r="MN102" s="3">
        <f t="shared" si="100"/>
        <v>0.73235685752330226</v>
      </c>
      <c r="MO102" s="3">
        <f t="shared" si="100"/>
        <v>3.5285285285285286</v>
      </c>
      <c r="MP102" s="3">
        <f t="shared" si="100"/>
        <v>0</v>
      </c>
      <c r="MQ102" s="3">
        <f t="shared" si="100"/>
        <v>0</v>
      </c>
      <c r="MR102" s="3">
        <f t="shared" si="100"/>
        <v>1.2726382770435634</v>
      </c>
      <c r="MS102" s="3">
        <f t="shared" si="100"/>
        <v>0</v>
      </c>
      <c r="MT102" s="3">
        <f t="shared" si="100"/>
        <v>2.0086083213773311</v>
      </c>
      <c r="MU102" s="3">
        <f t="shared" si="100"/>
        <v>4.9373338397265476</v>
      </c>
      <c r="MV102" s="3">
        <f t="shared" si="100"/>
        <v>1.7699115044247788</v>
      </c>
      <c r="MW102" s="3">
        <f t="shared" si="100"/>
        <v>5.7478368355995055</v>
      </c>
      <c r="MX102" s="3"/>
      <c r="MY102" s="3"/>
    </row>
    <row r="103" spans="1:363" x14ac:dyDescent="0.3">
      <c r="A103" s="3">
        <v>29</v>
      </c>
      <c r="B103" s="3">
        <f t="shared" si="33"/>
        <v>1.1494252873563218</v>
      </c>
      <c r="C103" s="3">
        <f t="shared" si="95"/>
        <v>0</v>
      </c>
      <c r="D103" s="3">
        <f t="shared" si="95"/>
        <v>0.21186440677966101</v>
      </c>
      <c r="E103" s="3">
        <f t="shared" si="95"/>
        <v>7.3394495412844041</v>
      </c>
      <c r="F103" s="3">
        <f t="shared" si="95"/>
        <v>0</v>
      </c>
      <c r="G103" s="3">
        <f t="shared" si="95"/>
        <v>2.1032504780114722</v>
      </c>
      <c r="H103" s="3">
        <f t="shared" si="95"/>
        <v>0</v>
      </c>
      <c r="I103" s="3">
        <f t="shared" si="95"/>
        <v>0</v>
      </c>
      <c r="J103" s="3">
        <f t="shared" si="95"/>
        <v>0</v>
      </c>
      <c r="K103" s="3">
        <f t="shared" si="95"/>
        <v>0</v>
      </c>
      <c r="L103" s="3">
        <f t="shared" si="95"/>
        <v>0</v>
      </c>
      <c r="M103" s="3">
        <f t="shared" si="95"/>
        <v>0</v>
      </c>
      <c r="N103" s="3">
        <f t="shared" si="95"/>
        <v>1.4678899082568808</v>
      </c>
      <c r="O103" s="3">
        <f t="shared" si="95"/>
        <v>1.0373443983402488</v>
      </c>
      <c r="P103" s="3">
        <f t="shared" si="95"/>
        <v>1.6569200779727096</v>
      </c>
      <c r="Q103" s="3">
        <f t="shared" si="95"/>
        <v>0</v>
      </c>
      <c r="R103" s="3">
        <f t="shared" si="95"/>
        <v>0.48355899419729209</v>
      </c>
      <c r="S103" s="3">
        <f t="shared" si="95"/>
        <v>1.4705882352941175</v>
      </c>
      <c r="T103" s="3">
        <f t="shared" si="95"/>
        <v>0</v>
      </c>
      <c r="U103" s="3">
        <f t="shared" si="95"/>
        <v>0</v>
      </c>
      <c r="V103" s="3">
        <f t="shared" si="95"/>
        <v>0</v>
      </c>
      <c r="W103" s="3">
        <f t="shared" si="95"/>
        <v>2.7777777777777777</v>
      </c>
      <c r="X103" s="3">
        <f t="shared" si="95"/>
        <v>0.38759689922480622</v>
      </c>
      <c r="Y103" s="3">
        <f t="shared" si="95"/>
        <v>7.9347826086956523</v>
      </c>
      <c r="Z103" s="3">
        <f t="shared" si="95"/>
        <v>0.28490028490028491</v>
      </c>
      <c r="AA103" s="3">
        <f t="shared" si="95"/>
        <v>0.66152149944873206</v>
      </c>
      <c r="AB103" s="3">
        <f t="shared" si="95"/>
        <v>1.7241379310344827</v>
      </c>
      <c r="AC103" s="3">
        <f t="shared" si="95"/>
        <v>1.0510510510510511</v>
      </c>
      <c r="AD103" s="3">
        <f t="shared" si="95"/>
        <v>0.49073064340239914</v>
      </c>
      <c r="AE103" s="3">
        <f t="shared" si="95"/>
        <v>0</v>
      </c>
      <c r="AF103" s="3">
        <f t="shared" si="95"/>
        <v>0.46511627906976744</v>
      </c>
      <c r="AG103" s="3">
        <f t="shared" si="95"/>
        <v>3.9814814814814818</v>
      </c>
      <c r="AH103" s="3">
        <f t="shared" si="95"/>
        <v>1.1475409836065573</v>
      </c>
      <c r="AI103" s="3">
        <f t="shared" si="95"/>
        <v>5.4428044280442807</v>
      </c>
      <c r="AJ103" s="3">
        <f t="shared" si="95"/>
        <v>0.54890219560878251</v>
      </c>
      <c r="AK103" s="3">
        <f t="shared" si="95"/>
        <v>7.3983739837398383</v>
      </c>
      <c r="AL103" s="3">
        <f t="shared" si="95"/>
        <v>0</v>
      </c>
      <c r="AM103" s="3">
        <f t="shared" si="95"/>
        <v>0</v>
      </c>
      <c r="AN103" s="3">
        <f t="shared" si="95"/>
        <v>3.1539888682745829</v>
      </c>
      <c r="AO103" s="3">
        <f t="shared" si="95"/>
        <v>0</v>
      </c>
      <c r="AP103" s="3">
        <f t="shared" si="95"/>
        <v>0.29197080291970801</v>
      </c>
      <c r="AQ103" s="3">
        <f t="shared" si="95"/>
        <v>0</v>
      </c>
      <c r="AR103" s="3">
        <f t="shared" si="95"/>
        <v>0</v>
      </c>
      <c r="AS103" s="3">
        <f t="shared" si="95"/>
        <v>0</v>
      </c>
      <c r="AT103" s="3">
        <f t="shared" si="95"/>
        <v>0</v>
      </c>
      <c r="AU103" s="3">
        <f t="shared" si="95"/>
        <v>0</v>
      </c>
      <c r="AV103" s="3">
        <f t="shared" si="95"/>
        <v>0</v>
      </c>
      <c r="AW103" s="3">
        <f t="shared" si="95"/>
        <v>0</v>
      </c>
      <c r="AX103" s="3">
        <f t="shared" si="95"/>
        <v>0</v>
      </c>
      <c r="AY103" s="3">
        <f t="shared" si="95"/>
        <v>0.20576131687242799</v>
      </c>
      <c r="AZ103" s="3">
        <f t="shared" si="95"/>
        <v>2.5205158264947247</v>
      </c>
      <c r="BA103" s="3">
        <f t="shared" si="95"/>
        <v>0</v>
      </c>
      <c r="BB103" s="3">
        <f t="shared" si="95"/>
        <v>2.0707831325301207</v>
      </c>
      <c r="BC103" s="3">
        <f t="shared" si="95"/>
        <v>2.5782688766114181</v>
      </c>
      <c r="BD103" s="3">
        <f t="shared" si="95"/>
        <v>0</v>
      </c>
      <c r="BE103" s="3">
        <f t="shared" si="95"/>
        <v>0</v>
      </c>
      <c r="BF103" s="3">
        <f t="shared" si="95"/>
        <v>0</v>
      </c>
      <c r="BG103" s="3">
        <f t="shared" si="95"/>
        <v>0</v>
      </c>
      <c r="BH103" s="3">
        <f t="shared" si="95"/>
        <v>3.9468385018123242</v>
      </c>
      <c r="BI103" s="3">
        <f t="shared" si="95"/>
        <v>8.2156611039794605</v>
      </c>
      <c r="BJ103" s="3">
        <f t="shared" si="95"/>
        <v>0.44671346522016592</v>
      </c>
      <c r="BK103" s="3">
        <f t="shared" si="95"/>
        <v>3.5564853556485359</v>
      </c>
      <c r="BL103" s="3">
        <f t="shared" si="95"/>
        <v>0</v>
      </c>
      <c r="BM103" s="3">
        <f t="shared" si="95"/>
        <v>4</v>
      </c>
      <c r="BN103" s="3">
        <f t="shared" si="95"/>
        <v>2.0311263518860456</v>
      </c>
      <c r="BO103" s="3">
        <f t="shared" si="92"/>
        <v>2.0017662643508976</v>
      </c>
      <c r="BP103" s="3">
        <f t="shared" si="92"/>
        <v>2.083333333333333</v>
      </c>
      <c r="BQ103" s="3">
        <f t="shared" si="92"/>
        <v>0</v>
      </c>
      <c r="BR103" s="3">
        <f t="shared" si="92"/>
        <v>2.0739064856711913</v>
      </c>
      <c r="BS103" s="3">
        <f t="shared" si="92"/>
        <v>5.2297939778129949</v>
      </c>
      <c r="BT103" s="3">
        <f t="shared" si="92"/>
        <v>2.4506873879258819</v>
      </c>
      <c r="BU103" s="3">
        <f t="shared" si="92"/>
        <v>6.1437001041305104</v>
      </c>
      <c r="BV103" s="3">
        <f t="shared" si="92"/>
        <v>1.3297872340425532</v>
      </c>
      <c r="BW103" s="3">
        <f t="shared" si="92"/>
        <v>0</v>
      </c>
      <c r="BX103" s="3">
        <f t="shared" si="92"/>
        <v>1.2254901960784315</v>
      </c>
      <c r="BY103" s="3">
        <f t="shared" si="92"/>
        <v>2.358490566037736</v>
      </c>
      <c r="BZ103" s="3">
        <f t="shared" si="92"/>
        <v>0.33613445378151263</v>
      </c>
      <c r="CA103" s="3">
        <f t="shared" si="92"/>
        <v>4.562043795620438</v>
      </c>
      <c r="CB103" s="3">
        <f t="shared" si="92"/>
        <v>0</v>
      </c>
      <c r="CC103" s="3">
        <f t="shared" si="92"/>
        <v>0</v>
      </c>
      <c r="CD103" s="3">
        <f t="shared" si="92"/>
        <v>0</v>
      </c>
      <c r="CE103" s="3">
        <f t="shared" si="92"/>
        <v>0</v>
      </c>
      <c r="CF103" s="3">
        <f t="shared" si="92"/>
        <v>0</v>
      </c>
      <c r="CG103" s="3">
        <f t="shared" si="92"/>
        <v>0</v>
      </c>
      <c r="CH103" s="3">
        <f t="shared" si="92"/>
        <v>0.76804915514592931</v>
      </c>
      <c r="CI103" s="3">
        <f t="shared" si="92"/>
        <v>0</v>
      </c>
      <c r="CJ103" s="3">
        <f t="shared" si="92"/>
        <v>2.4324324324324325</v>
      </c>
      <c r="CK103" s="3">
        <f t="shared" si="92"/>
        <v>4.7058823529411766</v>
      </c>
      <c r="CL103" s="3">
        <f t="shared" si="92"/>
        <v>0</v>
      </c>
      <c r="CM103" s="3">
        <f t="shared" si="92"/>
        <v>0</v>
      </c>
      <c r="CN103" s="3">
        <f t="shared" si="92"/>
        <v>0</v>
      </c>
      <c r="CO103" s="3">
        <f t="shared" si="92"/>
        <v>0</v>
      </c>
      <c r="CP103" s="3">
        <f t="shared" si="92"/>
        <v>0</v>
      </c>
      <c r="CQ103" s="3">
        <f t="shared" si="92"/>
        <v>0</v>
      </c>
      <c r="CR103" s="3">
        <f t="shared" si="92"/>
        <v>2.1505376344086025</v>
      </c>
      <c r="CS103" s="3">
        <f t="shared" si="92"/>
        <v>5.027932960893855</v>
      </c>
      <c r="CT103" s="3">
        <f t="shared" si="92"/>
        <v>0</v>
      </c>
      <c r="CU103" s="3">
        <f t="shared" si="92"/>
        <v>0</v>
      </c>
      <c r="CV103" s="3">
        <f t="shared" si="92"/>
        <v>0</v>
      </c>
      <c r="CW103" s="3">
        <f t="shared" si="92"/>
        <v>0</v>
      </c>
      <c r="CX103" s="3">
        <f t="shared" si="92"/>
        <v>0</v>
      </c>
      <c r="CY103" s="3">
        <f t="shared" si="92"/>
        <v>0</v>
      </c>
      <c r="CZ103" s="3">
        <f t="shared" si="92"/>
        <v>0</v>
      </c>
      <c r="DA103" s="3">
        <f t="shared" si="92"/>
        <v>0</v>
      </c>
      <c r="DB103" s="3">
        <f t="shared" si="92"/>
        <v>1.3580246913580247</v>
      </c>
      <c r="DC103" s="3">
        <f t="shared" si="92"/>
        <v>5.3132434575733543</v>
      </c>
      <c r="DD103" s="3">
        <f t="shared" si="92"/>
        <v>0.97701149425287359</v>
      </c>
      <c r="DE103" s="3">
        <f t="shared" si="92"/>
        <v>7.6457229371688111</v>
      </c>
      <c r="DF103" s="3">
        <f t="shared" si="92"/>
        <v>0</v>
      </c>
      <c r="DG103" s="3">
        <f t="shared" si="92"/>
        <v>0.46875</v>
      </c>
      <c r="DH103" s="3">
        <f t="shared" si="92"/>
        <v>0</v>
      </c>
      <c r="DI103" s="3">
        <f t="shared" si="92"/>
        <v>1.1959521619135236</v>
      </c>
      <c r="DJ103" s="3">
        <f t="shared" si="92"/>
        <v>0</v>
      </c>
      <c r="DK103" s="3">
        <f t="shared" si="92"/>
        <v>2.3847376788553261</v>
      </c>
      <c r="DL103" s="3">
        <f t="shared" si="92"/>
        <v>0</v>
      </c>
      <c r="DM103" s="3">
        <f t="shared" si="92"/>
        <v>0</v>
      </c>
      <c r="DN103" s="3">
        <f t="shared" si="92"/>
        <v>0</v>
      </c>
      <c r="DO103" s="3">
        <f t="shared" si="92"/>
        <v>0</v>
      </c>
      <c r="DP103" s="3">
        <f t="shared" si="92"/>
        <v>0</v>
      </c>
      <c r="DQ103" s="3">
        <f t="shared" si="92"/>
        <v>0</v>
      </c>
      <c r="DR103" s="3">
        <f t="shared" si="92"/>
        <v>0</v>
      </c>
      <c r="DS103" s="3">
        <f t="shared" si="92"/>
        <v>0</v>
      </c>
      <c r="DT103" s="3">
        <f t="shared" si="92"/>
        <v>1.6075388026607538</v>
      </c>
      <c r="DU103" s="3">
        <f t="shared" si="92"/>
        <v>1.7725258493353029</v>
      </c>
      <c r="DV103" s="3">
        <f t="shared" si="92"/>
        <v>0</v>
      </c>
      <c r="DW103" s="3">
        <f t="shared" si="92"/>
        <v>0</v>
      </c>
      <c r="DX103" s="3">
        <f t="shared" si="92"/>
        <v>0</v>
      </c>
      <c r="DY103" s="3">
        <f t="shared" si="92"/>
        <v>0</v>
      </c>
      <c r="DZ103" s="3">
        <f t="shared" ref="DZ103:GK104" si="101">(DZ40-DZ$11)/DZ$11*100</f>
        <v>4.3878894251864857E-2</v>
      </c>
      <c r="EA103" s="3">
        <f t="shared" si="101"/>
        <v>4.296875</v>
      </c>
      <c r="EB103" s="3">
        <f t="shared" si="101"/>
        <v>3.8148148148148144</v>
      </c>
      <c r="EC103" s="3">
        <f t="shared" si="101"/>
        <v>6.25</v>
      </c>
      <c r="ED103" s="3">
        <f t="shared" si="101"/>
        <v>1.9931271477663228</v>
      </c>
      <c r="EE103" s="3">
        <f t="shared" si="101"/>
        <v>0</v>
      </c>
      <c r="EF103" s="3">
        <f t="shared" si="101"/>
        <v>3.1207133058984913</v>
      </c>
      <c r="EG103" s="3">
        <f t="shared" si="101"/>
        <v>2.4372230428360413</v>
      </c>
      <c r="EH103" s="3">
        <f t="shared" si="101"/>
        <v>1.7979904812268643</v>
      </c>
      <c r="EI103" s="3">
        <f t="shared" si="101"/>
        <v>0.64412238325281801</v>
      </c>
      <c r="EJ103" s="3">
        <f t="shared" si="101"/>
        <v>0.99637681159420277</v>
      </c>
      <c r="EK103" s="3">
        <f t="shared" si="101"/>
        <v>2.7721433400946585</v>
      </c>
      <c r="EL103" s="3">
        <f t="shared" si="101"/>
        <v>1.4071856287425151</v>
      </c>
      <c r="EM103" s="3">
        <f t="shared" si="101"/>
        <v>8.011623080116232</v>
      </c>
      <c r="EN103" s="3">
        <f t="shared" si="101"/>
        <v>1.4285714285714286</v>
      </c>
      <c r="EO103" s="3">
        <f t="shared" si="101"/>
        <v>6.8819308545335938</v>
      </c>
      <c r="EP103" s="3">
        <f t="shared" si="101"/>
        <v>2.083333333333333</v>
      </c>
      <c r="EQ103" s="3">
        <f t="shared" si="101"/>
        <v>0</v>
      </c>
      <c r="ER103" s="3">
        <f t="shared" si="101"/>
        <v>1.7391304347826086</v>
      </c>
      <c r="ES103" s="3">
        <f t="shared" si="101"/>
        <v>0</v>
      </c>
      <c r="ET103" s="3">
        <f t="shared" si="101"/>
        <v>1.2658227848101267</v>
      </c>
      <c r="EU103" s="3">
        <f t="shared" si="101"/>
        <v>1.8922852983988356</v>
      </c>
      <c r="EV103" s="3">
        <f t="shared" si="101"/>
        <v>0</v>
      </c>
      <c r="EW103" s="3">
        <f t="shared" si="101"/>
        <v>0</v>
      </c>
      <c r="EX103" s="3">
        <f t="shared" si="101"/>
        <v>0</v>
      </c>
      <c r="EY103" s="3">
        <f t="shared" si="101"/>
        <v>0</v>
      </c>
      <c r="EZ103" s="3">
        <f t="shared" si="101"/>
        <v>0</v>
      </c>
      <c r="FA103" s="3">
        <f t="shared" si="101"/>
        <v>0</v>
      </c>
      <c r="FB103" s="3">
        <f t="shared" si="101"/>
        <v>0</v>
      </c>
      <c r="FC103" s="3">
        <f t="shared" si="101"/>
        <v>3.070175438596491</v>
      </c>
      <c r="FD103" s="3">
        <f t="shared" si="101"/>
        <v>2.1164021164021163</v>
      </c>
      <c r="FE103" s="3">
        <f t="shared" si="101"/>
        <v>0</v>
      </c>
      <c r="FF103" s="3">
        <f t="shared" si="101"/>
        <v>1.7241379310344827</v>
      </c>
      <c r="FG103" s="3">
        <f t="shared" si="101"/>
        <v>1.8621973929236499</v>
      </c>
      <c r="FH103" s="3">
        <f t="shared" si="101"/>
        <v>0</v>
      </c>
      <c r="FI103" s="3">
        <f t="shared" si="101"/>
        <v>0</v>
      </c>
      <c r="FJ103" s="3">
        <f t="shared" si="101"/>
        <v>0</v>
      </c>
      <c r="FK103" s="3">
        <f t="shared" si="101"/>
        <v>0</v>
      </c>
      <c r="FL103" s="3">
        <f t="shared" si="101"/>
        <v>1.5</v>
      </c>
      <c r="FM103" s="3">
        <f t="shared" si="101"/>
        <v>2.9580936729663105</v>
      </c>
      <c r="FN103" s="3">
        <f t="shared" si="101"/>
        <v>0</v>
      </c>
      <c r="FO103" s="3">
        <f t="shared" si="101"/>
        <v>5.0373134328358207</v>
      </c>
      <c r="FP103" s="3">
        <f t="shared" si="101"/>
        <v>0</v>
      </c>
      <c r="FQ103" s="3">
        <f t="shared" si="101"/>
        <v>0.68078668683812404</v>
      </c>
      <c r="FR103" s="3">
        <f t="shared" si="101"/>
        <v>2.5568181818181821</v>
      </c>
      <c r="FS103" s="3">
        <f t="shared" si="101"/>
        <v>0</v>
      </c>
      <c r="FT103" s="3">
        <f t="shared" si="101"/>
        <v>1.6064257028112447</v>
      </c>
      <c r="FU103" s="3">
        <f t="shared" si="101"/>
        <v>4.6814044213263983</v>
      </c>
      <c r="FV103" s="3">
        <f t="shared" si="101"/>
        <v>1.6793893129770994</v>
      </c>
      <c r="FW103" s="3">
        <f t="shared" si="101"/>
        <v>5.2282157676348548</v>
      </c>
      <c r="FX103" s="3">
        <f t="shared" si="101"/>
        <v>1.8867924528301887</v>
      </c>
      <c r="FY103" s="3">
        <f t="shared" si="101"/>
        <v>8.1730769230769234</v>
      </c>
      <c r="FZ103" s="3">
        <f t="shared" si="101"/>
        <v>1.6304347826086956</v>
      </c>
      <c r="GA103" s="3">
        <f t="shared" si="101"/>
        <v>0</v>
      </c>
      <c r="GB103" s="3">
        <f t="shared" si="101"/>
        <v>1.8404907975460123</v>
      </c>
      <c r="GC103" s="3">
        <f t="shared" si="101"/>
        <v>3.9192399049881232</v>
      </c>
      <c r="GD103" s="3">
        <f t="shared" si="101"/>
        <v>0</v>
      </c>
      <c r="GE103" s="3">
        <f t="shared" si="101"/>
        <v>0</v>
      </c>
      <c r="GF103" s="3">
        <f t="shared" si="101"/>
        <v>0</v>
      </c>
      <c r="GG103" s="3">
        <f t="shared" si="101"/>
        <v>0</v>
      </c>
      <c r="GH103" s="3">
        <f t="shared" si="101"/>
        <v>0</v>
      </c>
      <c r="GI103" s="3">
        <f t="shared" si="101"/>
        <v>0</v>
      </c>
      <c r="GJ103" s="3">
        <f t="shared" si="101"/>
        <v>0</v>
      </c>
      <c r="GK103" s="3">
        <f t="shared" si="101"/>
        <v>0</v>
      </c>
      <c r="GL103" s="3">
        <f t="shared" si="99"/>
        <v>0.16722408026755853</v>
      </c>
      <c r="GM103" s="3">
        <f t="shared" si="99"/>
        <v>3.1758957654723128</v>
      </c>
      <c r="GN103" s="3">
        <f t="shared" si="99"/>
        <v>2.2471910112359552</v>
      </c>
      <c r="GO103" s="3">
        <f t="shared" si="99"/>
        <v>2.5349198137609932</v>
      </c>
      <c r="GP103" s="3">
        <f t="shared" si="99"/>
        <v>0</v>
      </c>
      <c r="GQ103" s="3">
        <f t="shared" si="99"/>
        <v>0</v>
      </c>
      <c r="GR103" s="3">
        <f t="shared" si="99"/>
        <v>0</v>
      </c>
      <c r="GS103" s="3">
        <f t="shared" si="99"/>
        <v>0</v>
      </c>
      <c r="GT103" s="3">
        <f t="shared" si="99"/>
        <v>1.0738255033557047</v>
      </c>
      <c r="GU103" s="3">
        <f t="shared" si="99"/>
        <v>0</v>
      </c>
      <c r="GV103" s="3">
        <f t="shared" si="99"/>
        <v>5.265068990559187</v>
      </c>
      <c r="GW103" s="3">
        <f t="shared" si="99"/>
        <v>5.4503464203233261</v>
      </c>
      <c r="GX103" s="3">
        <f t="shared" si="99"/>
        <v>0.22831050228310501</v>
      </c>
      <c r="GY103" s="3">
        <f t="shared" si="99"/>
        <v>0</v>
      </c>
      <c r="GZ103" s="3">
        <f t="shared" si="99"/>
        <v>0</v>
      </c>
      <c r="HA103" s="3">
        <f t="shared" si="99"/>
        <v>1.4054813773717498</v>
      </c>
      <c r="HB103" s="3">
        <f t="shared" si="99"/>
        <v>1.5455065827132226</v>
      </c>
      <c r="HC103" s="3">
        <f t="shared" si="99"/>
        <v>0</v>
      </c>
      <c r="HD103" s="3">
        <f t="shared" si="99"/>
        <v>0.74626865671641784</v>
      </c>
      <c r="HE103" s="3">
        <f t="shared" si="99"/>
        <v>5.0632911392405067</v>
      </c>
      <c r="HF103" s="3">
        <f t="shared" si="99"/>
        <v>1.7129928894634778</v>
      </c>
      <c r="HG103" s="3">
        <f t="shared" si="99"/>
        <v>5.8388765705838876</v>
      </c>
      <c r="HH103" s="3">
        <f t="shared" si="99"/>
        <v>1.0167768174885612</v>
      </c>
      <c r="HI103" s="3">
        <f t="shared" si="99"/>
        <v>4.4315403422982884</v>
      </c>
      <c r="HJ103" s="3">
        <f t="shared" si="99"/>
        <v>1.3953488372093024</v>
      </c>
      <c r="HK103" s="3">
        <f t="shared" si="99"/>
        <v>0.8875739644970414</v>
      </c>
      <c r="HL103" s="3">
        <f t="shared" si="99"/>
        <v>1.7543859649122806</v>
      </c>
      <c r="HM103" s="3">
        <f t="shared" si="99"/>
        <v>1.1049723756906076</v>
      </c>
      <c r="HN103" s="3">
        <f t="shared" si="99"/>
        <v>2.2865853658536586</v>
      </c>
      <c r="HO103" s="3">
        <f t="shared" si="99"/>
        <v>0</v>
      </c>
      <c r="HP103" s="3">
        <f t="shared" si="99"/>
        <v>0</v>
      </c>
      <c r="HQ103" s="3">
        <f t="shared" si="99"/>
        <v>0</v>
      </c>
      <c r="HR103" s="3">
        <f t="shared" si="99"/>
        <v>0</v>
      </c>
      <c r="HS103" s="3">
        <f t="shared" si="99"/>
        <v>0</v>
      </c>
      <c r="HT103" s="3">
        <f t="shared" si="99"/>
        <v>0</v>
      </c>
      <c r="HU103" s="3">
        <f t="shared" si="99"/>
        <v>0</v>
      </c>
      <c r="HV103" s="3">
        <f t="shared" si="99"/>
        <v>0</v>
      </c>
      <c r="HW103" s="3">
        <f t="shared" si="99"/>
        <v>2</v>
      </c>
      <c r="HX103" s="3">
        <f t="shared" si="99"/>
        <v>2.147239263803681</v>
      </c>
      <c r="HY103" s="3">
        <f t="shared" si="99"/>
        <v>0</v>
      </c>
      <c r="HZ103" s="3">
        <f t="shared" si="99"/>
        <v>0.43478260869565216</v>
      </c>
      <c r="IA103" s="3">
        <f t="shared" si="99"/>
        <v>0</v>
      </c>
      <c r="IB103" s="3">
        <f t="shared" si="99"/>
        <v>0</v>
      </c>
      <c r="IC103" s="3">
        <f t="shared" si="99"/>
        <v>0</v>
      </c>
      <c r="ID103" s="3">
        <f t="shared" si="99"/>
        <v>0</v>
      </c>
      <c r="IE103" s="3">
        <f t="shared" si="99"/>
        <v>0.71856287425149701</v>
      </c>
      <c r="IF103" s="3">
        <f t="shared" si="99"/>
        <v>2.4193548387096775</v>
      </c>
      <c r="IG103" s="3">
        <f t="shared" si="99"/>
        <v>2.7472527472527473</v>
      </c>
      <c r="IH103" s="3">
        <f t="shared" si="99"/>
        <v>0</v>
      </c>
      <c r="II103" s="3">
        <f t="shared" si="99"/>
        <v>3.6257309941520468</v>
      </c>
      <c r="IJ103" s="3">
        <f t="shared" si="99"/>
        <v>0.6294256490952006</v>
      </c>
      <c r="IK103" s="3">
        <f t="shared" si="99"/>
        <v>2.2727272727272729</v>
      </c>
      <c r="IL103" s="3">
        <f t="shared" si="99"/>
        <v>0</v>
      </c>
      <c r="IM103" s="3">
        <f t="shared" si="99"/>
        <v>0</v>
      </c>
      <c r="IN103" s="3">
        <f t="shared" si="99"/>
        <v>0</v>
      </c>
      <c r="IO103" s="3">
        <f t="shared" si="99"/>
        <v>0</v>
      </c>
      <c r="IP103" s="3">
        <f t="shared" si="99"/>
        <v>1.9469026548672566</v>
      </c>
      <c r="IQ103" s="3">
        <f t="shared" si="99"/>
        <v>7.6248904469763357</v>
      </c>
      <c r="IR103" s="3">
        <f t="shared" si="99"/>
        <v>0.81018518518518512</v>
      </c>
      <c r="IS103" s="3">
        <f t="shared" si="99"/>
        <v>9.8115659519168279</v>
      </c>
      <c r="IT103" s="3">
        <f t="shared" si="99"/>
        <v>0</v>
      </c>
      <c r="IU103" s="3">
        <f t="shared" si="99"/>
        <v>1.7825311942959003</v>
      </c>
      <c r="IV103" s="3">
        <f t="shared" si="99"/>
        <v>2.6436781609195403</v>
      </c>
      <c r="IW103" s="3">
        <f t="shared" si="96"/>
        <v>0</v>
      </c>
      <c r="IX103" s="3">
        <f t="shared" si="96"/>
        <v>0.39936102236421722</v>
      </c>
      <c r="IY103" s="3">
        <f t="shared" si="96"/>
        <v>0</v>
      </c>
      <c r="IZ103" s="3">
        <f t="shared" si="96"/>
        <v>0</v>
      </c>
      <c r="JA103" s="3">
        <f t="shared" si="96"/>
        <v>0</v>
      </c>
      <c r="JB103" s="3">
        <f t="shared" si="96"/>
        <v>0</v>
      </c>
      <c r="JC103" s="3">
        <f t="shared" si="96"/>
        <v>0</v>
      </c>
      <c r="JD103" s="3">
        <f t="shared" si="96"/>
        <v>4.9529470034670627E-2</v>
      </c>
      <c r="JE103" s="3">
        <f t="shared" si="96"/>
        <v>0</v>
      </c>
      <c r="JF103" s="3">
        <f t="shared" si="96"/>
        <v>1.0416666666666665</v>
      </c>
      <c r="JG103" s="3">
        <f t="shared" si="96"/>
        <v>0</v>
      </c>
      <c r="JH103" s="3">
        <f t="shared" si="96"/>
        <v>0</v>
      </c>
      <c r="JI103" s="3">
        <f t="shared" si="96"/>
        <v>0</v>
      </c>
      <c r="JJ103" s="3">
        <f t="shared" si="96"/>
        <v>0</v>
      </c>
      <c r="JK103" s="3">
        <f t="shared" si="96"/>
        <v>0.96111839231105278</v>
      </c>
      <c r="JL103" s="3">
        <f t="shared" si="96"/>
        <v>0</v>
      </c>
      <c r="JM103" s="3">
        <f t="shared" si="96"/>
        <v>0</v>
      </c>
      <c r="JN103" s="3">
        <f t="shared" si="96"/>
        <v>0</v>
      </c>
      <c r="JO103" s="3">
        <f t="shared" si="96"/>
        <v>1.0172939979654121</v>
      </c>
      <c r="JP103" s="3">
        <f t="shared" si="96"/>
        <v>4.1587901701323249</v>
      </c>
      <c r="JQ103" s="3">
        <f t="shared" si="96"/>
        <v>11.13198684828558</v>
      </c>
      <c r="JR103" s="3">
        <f t="shared" si="96"/>
        <v>0</v>
      </c>
      <c r="JS103" s="3">
        <f t="shared" si="96"/>
        <v>4.2262678803641087</v>
      </c>
      <c r="JT103" s="3">
        <f t="shared" si="96"/>
        <v>0.68189566996249573</v>
      </c>
      <c r="JU103" s="3">
        <f t="shared" si="96"/>
        <v>0</v>
      </c>
      <c r="JV103" s="3">
        <f t="shared" si="96"/>
        <v>2.3110880290833546</v>
      </c>
      <c r="JW103" s="3">
        <f t="shared" si="96"/>
        <v>0</v>
      </c>
      <c r="JX103" s="3">
        <f t="shared" si="96"/>
        <v>0.97031963470319627</v>
      </c>
      <c r="JY103" s="3">
        <f t="shared" si="96"/>
        <v>2.7613412228796843</v>
      </c>
      <c r="JZ103" s="3">
        <f t="shared" si="96"/>
        <v>1.3694054776219104</v>
      </c>
      <c r="KA103" s="3">
        <f t="shared" si="96"/>
        <v>5.1272455089820363</v>
      </c>
      <c r="KB103" s="3">
        <f t="shared" si="96"/>
        <v>2.7746947835738069</v>
      </c>
      <c r="KC103" s="3">
        <f t="shared" si="96"/>
        <v>5.8651976668826959</v>
      </c>
      <c r="KD103" s="3">
        <f t="shared" si="96"/>
        <v>0</v>
      </c>
      <c r="KE103" s="3">
        <f t="shared" si="96"/>
        <v>5.1428571428571423</v>
      </c>
      <c r="KF103" s="3">
        <f t="shared" si="96"/>
        <v>0</v>
      </c>
      <c r="KG103" s="3">
        <f t="shared" si="96"/>
        <v>5.2511415525114149</v>
      </c>
      <c r="KH103" s="3">
        <f t="shared" si="96"/>
        <v>0</v>
      </c>
      <c r="KI103" s="3">
        <f t="shared" si="96"/>
        <v>5.0335570469798654</v>
      </c>
      <c r="KJ103" s="3">
        <f t="shared" si="96"/>
        <v>0</v>
      </c>
      <c r="KK103" s="3">
        <f t="shared" si="96"/>
        <v>0</v>
      </c>
      <c r="KL103" s="3">
        <f t="shared" si="96"/>
        <v>0</v>
      </c>
      <c r="KM103" s="3">
        <f t="shared" si="96"/>
        <v>0</v>
      </c>
      <c r="KN103" s="3">
        <f t="shared" si="96"/>
        <v>0</v>
      </c>
      <c r="KO103" s="3">
        <f t="shared" si="96"/>
        <v>0</v>
      </c>
      <c r="KP103" s="3">
        <f t="shared" si="96"/>
        <v>0</v>
      </c>
      <c r="KQ103" s="3">
        <f t="shared" si="96"/>
        <v>5.4545454545454541</v>
      </c>
      <c r="KR103" s="3">
        <f t="shared" si="96"/>
        <v>0.25510204081632654</v>
      </c>
      <c r="KS103" s="3">
        <f t="shared" si="96"/>
        <v>1.6797312430011198</v>
      </c>
      <c r="KT103" s="3">
        <f t="shared" si="96"/>
        <v>0</v>
      </c>
      <c r="KU103" s="3">
        <f t="shared" si="96"/>
        <v>0</v>
      </c>
      <c r="KV103" s="3">
        <f t="shared" si="96"/>
        <v>0</v>
      </c>
      <c r="KW103" s="3">
        <f t="shared" si="96"/>
        <v>0</v>
      </c>
      <c r="KX103" s="3">
        <f t="shared" si="96"/>
        <v>0</v>
      </c>
      <c r="KY103" s="3">
        <f t="shared" si="96"/>
        <v>0</v>
      </c>
      <c r="KZ103" s="3">
        <f t="shared" si="96"/>
        <v>2.0512820512820511</v>
      </c>
      <c r="LA103" s="3">
        <f t="shared" si="96"/>
        <v>8.2264957264957257</v>
      </c>
      <c r="LB103" s="3">
        <f t="shared" si="96"/>
        <v>2.4096385542168677</v>
      </c>
      <c r="LC103" s="3">
        <f t="shared" si="96"/>
        <v>0</v>
      </c>
      <c r="LD103" s="3">
        <f t="shared" si="96"/>
        <v>0.39215686274509803</v>
      </c>
      <c r="LE103" s="3">
        <f t="shared" si="96"/>
        <v>0.7569386038687973</v>
      </c>
      <c r="LF103" s="3">
        <f t="shared" si="96"/>
        <v>0</v>
      </c>
      <c r="LG103" s="3">
        <f t="shared" si="96"/>
        <v>0</v>
      </c>
      <c r="LH103" s="3">
        <f t="shared" si="96"/>
        <v>0</v>
      </c>
      <c r="LI103" s="3">
        <f t="shared" si="97"/>
        <v>2.7878787878787876</v>
      </c>
      <c r="LJ103" s="3">
        <f t="shared" si="97"/>
        <v>2.1276595744680851</v>
      </c>
      <c r="LK103" s="3">
        <f t="shared" si="97"/>
        <v>3.6290322580645165</v>
      </c>
      <c r="LL103" s="3">
        <f t="shared" si="97"/>
        <v>1.7785427423981641</v>
      </c>
      <c r="LM103" s="3">
        <f t="shared" si="97"/>
        <v>6.2085593731163353</v>
      </c>
      <c r="LN103" s="3">
        <f t="shared" si="72"/>
        <v>0</v>
      </c>
      <c r="LO103" s="3">
        <f t="shared" si="72"/>
        <v>0</v>
      </c>
      <c r="LP103" s="3">
        <f t="shared" ref="LP103:MW103" si="102">(LP40-LP$11)/LP$11*100</f>
        <v>2.880658436213992</v>
      </c>
      <c r="LQ103" s="3">
        <f t="shared" si="102"/>
        <v>0.10235414534288639</v>
      </c>
      <c r="LR103" s="3">
        <f t="shared" si="102"/>
        <v>1.097972972972973</v>
      </c>
      <c r="LS103" s="3">
        <f t="shared" si="102"/>
        <v>3.1775700934579438</v>
      </c>
      <c r="LT103" s="3">
        <f t="shared" si="102"/>
        <v>0</v>
      </c>
      <c r="LU103" s="3">
        <f t="shared" si="102"/>
        <v>0</v>
      </c>
      <c r="LV103" s="3">
        <f t="shared" si="102"/>
        <v>0</v>
      </c>
      <c r="LW103" s="3">
        <f t="shared" si="102"/>
        <v>0</v>
      </c>
      <c r="LX103" s="3">
        <f t="shared" si="102"/>
        <v>0</v>
      </c>
      <c r="LY103" s="3">
        <f t="shared" si="102"/>
        <v>0</v>
      </c>
      <c r="LZ103" s="3">
        <f t="shared" si="102"/>
        <v>1.6858917480035491</v>
      </c>
      <c r="MA103" s="3">
        <f t="shared" si="102"/>
        <v>0</v>
      </c>
      <c r="MB103" s="3">
        <f t="shared" si="102"/>
        <v>2.2362664073894019</v>
      </c>
      <c r="MC103" s="3">
        <f t="shared" si="102"/>
        <v>0</v>
      </c>
      <c r="MD103" s="3">
        <f t="shared" si="102"/>
        <v>0.88372093023255816</v>
      </c>
      <c r="ME103" s="3">
        <f t="shared" si="102"/>
        <v>0</v>
      </c>
      <c r="MF103" s="3">
        <f t="shared" si="102"/>
        <v>0</v>
      </c>
      <c r="MG103" s="3">
        <f t="shared" si="102"/>
        <v>0</v>
      </c>
      <c r="MH103" s="3">
        <f t="shared" si="102"/>
        <v>1.9298245614035088</v>
      </c>
      <c r="MI103" s="3">
        <f t="shared" si="102"/>
        <v>0</v>
      </c>
      <c r="MJ103" s="3">
        <f t="shared" si="102"/>
        <v>4.5473000406008932</v>
      </c>
      <c r="MK103" s="3">
        <f t="shared" si="102"/>
        <v>3.1323414252153485</v>
      </c>
      <c r="ML103" s="3">
        <f t="shared" si="102"/>
        <v>1.5521064301552108</v>
      </c>
      <c r="MM103" s="3">
        <f t="shared" si="102"/>
        <v>0</v>
      </c>
      <c r="MN103" s="3">
        <f t="shared" si="102"/>
        <v>0.63249001331557919</v>
      </c>
      <c r="MO103" s="3">
        <f t="shared" si="102"/>
        <v>4.016516516516516</v>
      </c>
      <c r="MP103" s="3">
        <f t="shared" si="102"/>
        <v>0</v>
      </c>
      <c r="MQ103" s="3">
        <f t="shared" si="102"/>
        <v>0</v>
      </c>
      <c r="MR103" s="3">
        <f t="shared" si="102"/>
        <v>1.2236906510034264</v>
      </c>
      <c r="MS103" s="3">
        <f t="shared" si="102"/>
        <v>0</v>
      </c>
      <c r="MT103" s="3">
        <f t="shared" si="102"/>
        <v>2.3314203730272598</v>
      </c>
      <c r="MU103" s="3">
        <f t="shared" si="102"/>
        <v>4.9753133308013675</v>
      </c>
      <c r="MV103" s="3">
        <f t="shared" si="102"/>
        <v>1.6397709526288391</v>
      </c>
      <c r="MW103" s="3">
        <f t="shared" si="102"/>
        <v>6.8294190358467244</v>
      </c>
      <c r="MX103" s="3"/>
      <c r="MY103" s="3"/>
    </row>
    <row r="104" spans="1:363" x14ac:dyDescent="0.3">
      <c r="A104" s="3">
        <v>30</v>
      </c>
      <c r="B104" s="3">
        <f t="shared" si="33"/>
        <v>1.1494252873563218</v>
      </c>
      <c r="C104" s="3">
        <f t="shared" si="95"/>
        <v>0</v>
      </c>
      <c r="D104" s="3">
        <f t="shared" si="95"/>
        <v>0.21186440677966101</v>
      </c>
      <c r="E104" s="3">
        <f t="shared" si="95"/>
        <v>8.0275229357798175</v>
      </c>
      <c r="F104" s="3">
        <f t="shared" si="95"/>
        <v>0</v>
      </c>
      <c r="G104" s="3">
        <f t="shared" si="95"/>
        <v>2.1032504780114722</v>
      </c>
      <c r="H104" s="3">
        <f t="shared" si="95"/>
        <v>0</v>
      </c>
      <c r="I104" s="3">
        <f t="shared" si="95"/>
        <v>0</v>
      </c>
      <c r="J104" s="3">
        <f t="shared" si="95"/>
        <v>0</v>
      </c>
      <c r="K104" s="3">
        <f t="shared" si="95"/>
        <v>0</v>
      </c>
      <c r="L104" s="3">
        <f t="shared" si="95"/>
        <v>0</v>
      </c>
      <c r="M104" s="3">
        <f t="shared" si="95"/>
        <v>0</v>
      </c>
      <c r="N104" s="3">
        <f t="shared" si="95"/>
        <v>1.4678899082568808</v>
      </c>
      <c r="O104" s="3">
        <f t="shared" si="95"/>
        <v>1.0373443983402488</v>
      </c>
      <c r="P104" s="3">
        <f t="shared" si="95"/>
        <v>1.6569200779727096</v>
      </c>
      <c r="Q104" s="3">
        <f t="shared" si="95"/>
        <v>0</v>
      </c>
      <c r="R104" s="3">
        <f t="shared" si="95"/>
        <v>0.48355899419729209</v>
      </c>
      <c r="S104" s="3">
        <f t="shared" si="95"/>
        <v>2.9411764705882351</v>
      </c>
      <c r="T104" s="3">
        <f t="shared" si="95"/>
        <v>0</v>
      </c>
      <c r="U104" s="3">
        <f t="shared" si="95"/>
        <v>0</v>
      </c>
      <c r="V104" s="3">
        <f t="shared" si="95"/>
        <v>0</v>
      </c>
      <c r="W104" s="3">
        <f t="shared" si="95"/>
        <v>3.7962962962962963</v>
      </c>
      <c r="X104" s="3">
        <f t="shared" si="95"/>
        <v>0.15503875968992248</v>
      </c>
      <c r="Y104" s="3">
        <f t="shared" si="95"/>
        <v>8.9130434782608692</v>
      </c>
      <c r="Z104" s="3">
        <f t="shared" si="95"/>
        <v>0.28490028490028491</v>
      </c>
      <c r="AA104" s="3">
        <f t="shared" si="95"/>
        <v>0.66152149944873206</v>
      </c>
      <c r="AB104" s="3">
        <f t="shared" si="95"/>
        <v>1.8103448275862071</v>
      </c>
      <c r="AC104" s="3">
        <f t="shared" si="95"/>
        <v>0.75075075075075071</v>
      </c>
      <c r="AD104" s="3">
        <f t="shared" si="95"/>
        <v>0.49073064340239914</v>
      </c>
      <c r="AE104" s="3">
        <f t="shared" si="95"/>
        <v>0</v>
      </c>
      <c r="AF104" s="3">
        <f t="shared" si="95"/>
        <v>0.46511627906976744</v>
      </c>
      <c r="AG104" s="3">
        <f t="shared" si="95"/>
        <v>3.9814814814814818</v>
      </c>
      <c r="AH104" s="3">
        <f t="shared" si="95"/>
        <v>1.2021857923497268</v>
      </c>
      <c r="AI104" s="3">
        <f t="shared" si="95"/>
        <v>5.4428044280442807</v>
      </c>
      <c r="AJ104" s="3">
        <f t="shared" si="95"/>
        <v>0.69860279441117767</v>
      </c>
      <c r="AK104" s="3">
        <f t="shared" si="95"/>
        <v>5.4471544715447155</v>
      </c>
      <c r="AL104" s="3">
        <f t="shared" si="95"/>
        <v>0</v>
      </c>
      <c r="AM104" s="3">
        <f t="shared" si="95"/>
        <v>0</v>
      </c>
      <c r="AN104" s="3">
        <f t="shared" si="95"/>
        <v>2.5974025974025974</v>
      </c>
      <c r="AO104" s="3">
        <f t="shared" si="95"/>
        <v>0</v>
      </c>
      <c r="AP104" s="3">
        <f t="shared" si="95"/>
        <v>0.145985401459854</v>
      </c>
      <c r="AQ104" s="3">
        <f t="shared" si="95"/>
        <v>0</v>
      </c>
      <c r="AR104" s="3">
        <f t="shared" si="95"/>
        <v>0</v>
      </c>
      <c r="AS104" s="3">
        <f t="shared" si="95"/>
        <v>0</v>
      </c>
      <c r="AT104" s="3">
        <f t="shared" si="95"/>
        <v>0</v>
      </c>
      <c r="AU104" s="3">
        <f t="shared" si="95"/>
        <v>0</v>
      </c>
      <c r="AV104" s="3">
        <f t="shared" si="95"/>
        <v>0</v>
      </c>
      <c r="AW104" s="3">
        <f t="shared" si="95"/>
        <v>0</v>
      </c>
      <c r="AX104" s="3">
        <f t="shared" si="95"/>
        <v>0</v>
      </c>
      <c r="AY104" s="3">
        <f t="shared" si="95"/>
        <v>1.3717421124828533</v>
      </c>
      <c r="AZ104" s="3">
        <f t="shared" si="95"/>
        <v>2.6963657678780772</v>
      </c>
      <c r="BA104" s="3">
        <f t="shared" si="95"/>
        <v>0</v>
      </c>
      <c r="BB104" s="3">
        <f t="shared" si="95"/>
        <v>1.7695783132530123</v>
      </c>
      <c r="BC104" s="3">
        <f t="shared" si="95"/>
        <v>3.0847145488029466</v>
      </c>
      <c r="BD104" s="3">
        <f t="shared" si="95"/>
        <v>0</v>
      </c>
      <c r="BE104" s="3">
        <f t="shared" si="95"/>
        <v>0</v>
      </c>
      <c r="BF104" s="3">
        <f t="shared" si="95"/>
        <v>0</v>
      </c>
      <c r="BG104" s="3">
        <f t="shared" si="95"/>
        <v>0</v>
      </c>
      <c r="BH104" s="3">
        <f t="shared" si="95"/>
        <v>4.269029399919452</v>
      </c>
      <c r="BI104" s="3">
        <f t="shared" si="95"/>
        <v>7.5738125802310652</v>
      </c>
      <c r="BJ104" s="3">
        <f t="shared" si="95"/>
        <v>0.38289725590299939</v>
      </c>
      <c r="BK104" s="3">
        <f t="shared" si="95"/>
        <v>4.5502092050209209</v>
      </c>
      <c r="BL104" s="3">
        <f t="shared" si="95"/>
        <v>0</v>
      </c>
      <c r="BM104" s="3">
        <f t="shared" si="95"/>
        <v>3.7727272727272729</v>
      </c>
      <c r="BN104" s="3">
        <f t="shared" ref="BN104:DY104" si="103">(BN41-BN$11)/BN$11*100</f>
        <v>2.0838828805064624</v>
      </c>
      <c r="BO104" s="3">
        <f t="shared" si="103"/>
        <v>1.9134530468060054</v>
      </c>
      <c r="BP104" s="3">
        <f t="shared" si="103"/>
        <v>1.8849206349206349</v>
      </c>
      <c r="BQ104" s="3">
        <f t="shared" si="103"/>
        <v>0</v>
      </c>
      <c r="BR104" s="3">
        <f t="shared" si="103"/>
        <v>2.4509803921568629</v>
      </c>
      <c r="BS104" s="3">
        <f t="shared" si="103"/>
        <v>5.5863708399366088</v>
      </c>
      <c r="BT104" s="3">
        <f t="shared" si="103"/>
        <v>2.3311416616855944</v>
      </c>
      <c r="BU104" s="3">
        <f t="shared" si="103"/>
        <v>6.4908018049288447</v>
      </c>
      <c r="BV104" s="3">
        <f t="shared" si="103"/>
        <v>1.3297872340425532</v>
      </c>
      <c r="BW104" s="3">
        <f t="shared" si="103"/>
        <v>0</v>
      </c>
      <c r="BX104" s="3">
        <f t="shared" si="103"/>
        <v>1.2254901960784315</v>
      </c>
      <c r="BY104" s="3">
        <f t="shared" si="103"/>
        <v>2.358490566037736</v>
      </c>
      <c r="BZ104" s="3">
        <f t="shared" si="103"/>
        <v>0.16806722689075632</v>
      </c>
      <c r="CA104" s="3">
        <f t="shared" si="103"/>
        <v>4.562043795620438</v>
      </c>
      <c r="CB104" s="3">
        <f t="shared" si="103"/>
        <v>0</v>
      </c>
      <c r="CC104" s="3">
        <f t="shared" si="103"/>
        <v>0</v>
      </c>
      <c r="CD104" s="3">
        <f t="shared" si="103"/>
        <v>0</v>
      </c>
      <c r="CE104" s="3">
        <f t="shared" si="103"/>
        <v>0</v>
      </c>
      <c r="CF104" s="3">
        <f t="shared" si="103"/>
        <v>0</v>
      </c>
      <c r="CG104" s="3">
        <f t="shared" si="103"/>
        <v>0</v>
      </c>
      <c r="CH104" s="3">
        <f t="shared" si="103"/>
        <v>0.76804915514592931</v>
      </c>
      <c r="CI104" s="3">
        <f t="shared" si="103"/>
        <v>0</v>
      </c>
      <c r="CJ104" s="3">
        <f t="shared" si="103"/>
        <v>2.4324324324324325</v>
      </c>
      <c r="CK104" s="3">
        <f t="shared" si="103"/>
        <v>4.7058823529411766</v>
      </c>
      <c r="CL104" s="3">
        <f t="shared" si="103"/>
        <v>0</v>
      </c>
      <c r="CM104" s="3">
        <f t="shared" si="103"/>
        <v>0</v>
      </c>
      <c r="CN104" s="3">
        <f t="shared" si="103"/>
        <v>0</v>
      </c>
      <c r="CO104" s="3">
        <f t="shared" si="103"/>
        <v>0</v>
      </c>
      <c r="CP104" s="3">
        <f t="shared" si="103"/>
        <v>9.0334236675700091E-2</v>
      </c>
      <c r="CQ104" s="3">
        <f t="shared" si="103"/>
        <v>0</v>
      </c>
      <c r="CR104" s="3">
        <f t="shared" si="103"/>
        <v>1.935483870967742</v>
      </c>
      <c r="CS104" s="3">
        <f t="shared" si="103"/>
        <v>5.7728119180633151</v>
      </c>
      <c r="CT104" s="3">
        <f t="shared" si="103"/>
        <v>0</v>
      </c>
      <c r="CU104" s="3">
        <f t="shared" si="103"/>
        <v>0</v>
      </c>
      <c r="CV104" s="3">
        <f t="shared" si="103"/>
        <v>0</v>
      </c>
      <c r="CW104" s="3">
        <f t="shared" si="103"/>
        <v>0</v>
      </c>
      <c r="CX104" s="3">
        <f t="shared" si="103"/>
        <v>0</v>
      </c>
      <c r="CY104" s="3">
        <f t="shared" si="103"/>
        <v>0</v>
      </c>
      <c r="CZ104" s="3">
        <f t="shared" si="103"/>
        <v>0</v>
      </c>
      <c r="DA104" s="3">
        <f t="shared" si="103"/>
        <v>0</v>
      </c>
      <c r="DB104" s="3">
        <f t="shared" si="103"/>
        <v>1.2345679012345678</v>
      </c>
      <c r="DC104" s="3">
        <f t="shared" si="103"/>
        <v>5.5511498810467881</v>
      </c>
      <c r="DD104" s="3">
        <f t="shared" si="103"/>
        <v>0.86206896551724133</v>
      </c>
      <c r="DE104" s="3">
        <f t="shared" si="103"/>
        <v>7.4186222558667678</v>
      </c>
      <c r="DF104" s="3">
        <f t="shared" si="103"/>
        <v>0</v>
      </c>
      <c r="DG104" s="3">
        <f t="shared" si="103"/>
        <v>0.625</v>
      </c>
      <c r="DH104" s="3">
        <f t="shared" si="103"/>
        <v>0</v>
      </c>
      <c r="DI104" s="3">
        <f t="shared" si="103"/>
        <v>0.91996320147194111</v>
      </c>
      <c r="DJ104" s="3">
        <f t="shared" si="103"/>
        <v>0</v>
      </c>
      <c r="DK104" s="3">
        <f t="shared" si="103"/>
        <v>2.2257551669316373</v>
      </c>
      <c r="DL104" s="3">
        <f t="shared" si="103"/>
        <v>0</v>
      </c>
      <c r="DM104" s="3">
        <f t="shared" si="103"/>
        <v>0</v>
      </c>
      <c r="DN104" s="3">
        <f t="shared" si="103"/>
        <v>0</v>
      </c>
      <c r="DO104" s="3">
        <f t="shared" si="103"/>
        <v>0</v>
      </c>
      <c r="DP104" s="3">
        <f t="shared" si="103"/>
        <v>0</v>
      </c>
      <c r="DQ104" s="3">
        <f t="shared" si="103"/>
        <v>0</v>
      </c>
      <c r="DR104" s="3">
        <f t="shared" si="103"/>
        <v>0</v>
      </c>
      <c r="DS104" s="3">
        <f t="shared" si="103"/>
        <v>0</v>
      </c>
      <c r="DT104" s="3">
        <f t="shared" si="103"/>
        <v>1.4412416851441241</v>
      </c>
      <c r="DU104" s="3">
        <f t="shared" si="103"/>
        <v>2.2648941408173315</v>
      </c>
      <c r="DV104" s="3">
        <f t="shared" si="103"/>
        <v>0</v>
      </c>
      <c r="DW104" s="3">
        <f t="shared" si="103"/>
        <v>0</v>
      </c>
      <c r="DX104" s="3">
        <f t="shared" si="103"/>
        <v>0</v>
      </c>
      <c r="DY104" s="3">
        <f t="shared" si="103"/>
        <v>0</v>
      </c>
      <c r="DZ104" s="3">
        <f t="shared" si="101"/>
        <v>4.3878894251864857E-2</v>
      </c>
      <c r="EA104" s="3">
        <f t="shared" si="101"/>
        <v>3.2924107142857144</v>
      </c>
      <c r="EB104" s="3">
        <f t="shared" si="101"/>
        <v>2.925925925925926</v>
      </c>
      <c r="EC104" s="3">
        <f t="shared" si="101"/>
        <v>5.1369863013698627</v>
      </c>
      <c r="ED104" s="3">
        <f t="shared" si="101"/>
        <v>2.0618556701030926</v>
      </c>
      <c r="EE104" s="3">
        <f t="shared" si="101"/>
        <v>0</v>
      </c>
      <c r="EF104" s="3">
        <f t="shared" si="101"/>
        <v>2.9149519890260631</v>
      </c>
      <c r="EG104" s="3">
        <f t="shared" si="101"/>
        <v>2.6957163958641064</v>
      </c>
      <c r="EH104" s="3">
        <f t="shared" si="101"/>
        <v>1.8508725542041249</v>
      </c>
      <c r="EI104" s="3">
        <f t="shared" si="101"/>
        <v>0.26838432635534087</v>
      </c>
      <c r="EJ104" s="3">
        <f t="shared" si="101"/>
        <v>0.54347826086956519</v>
      </c>
      <c r="EK104" s="3">
        <f t="shared" si="101"/>
        <v>2.7045300878972278</v>
      </c>
      <c r="EL104" s="3">
        <f t="shared" si="101"/>
        <v>1.5568862275449102</v>
      </c>
      <c r="EM104" s="3">
        <f t="shared" si="101"/>
        <v>6.6417600664176017</v>
      </c>
      <c r="EN104" s="3">
        <f t="shared" si="101"/>
        <v>1.64021164021164</v>
      </c>
      <c r="EO104" s="3">
        <f t="shared" si="101"/>
        <v>7.2080887149380297</v>
      </c>
      <c r="EP104" s="3">
        <f t="shared" si="101"/>
        <v>2.083333333333333</v>
      </c>
      <c r="EQ104" s="3">
        <f t="shared" si="101"/>
        <v>0</v>
      </c>
      <c r="ER104" s="3">
        <f t="shared" si="101"/>
        <v>1.7391304347826086</v>
      </c>
      <c r="ES104" s="3">
        <f t="shared" si="101"/>
        <v>0</v>
      </c>
      <c r="ET104" s="3">
        <f t="shared" si="101"/>
        <v>1.2658227848101267</v>
      </c>
      <c r="EU104" s="3">
        <f t="shared" si="101"/>
        <v>1.0189228529839884</v>
      </c>
      <c r="EV104" s="3">
        <f t="shared" si="101"/>
        <v>0</v>
      </c>
      <c r="EW104" s="3">
        <f t="shared" si="101"/>
        <v>0</v>
      </c>
      <c r="EX104" s="3">
        <f t="shared" si="101"/>
        <v>0</v>
      </c>
      <c r="EY104" s="3">
        <f t="shared" si="101"/>
        <v>0</v>
      </c>
      <c r="EZ104" s="3">
        <f t="shared" si="101"/>
        <v>0</v>
      </c>
      <c r="FA104" s="3">
        <f t="shared" si="101"/>
        <v>0</v>
      </c>
      <c r="FB104" s="3">
        <f t="shared" si="101"/>
        <v>0</v>
      </c>
      <c r="FC104" s="3">
        <f t="shared" si="101"/>
        <v>3.070175438596491</v>
      </c>
      <c r="FD104" s="3">
        <f t="shared" si="101"/>
        <v>2.1164021164021163</v>
      </c>
      <c r="FE104" s="3">
        <f t="shared" si="101"/>
        <v>0</v>
      </c>
      <c r="FF104" s="3">
        <f t="shared" si="101"/>
        <v>1.7241379310344827</v>
      </c>
      <c r="FG104" s="3">
        <f t="shared" si="101"/>
        <v>1.8621973929236499</v>
      </c>
      <c r="FH104" s="3">
        <f t="shared" si="101"/>
        <v>0</v>
      </c>
      <c r="FI104" s="3">
        <f t="shared" si="101"/>
        <v>0</v>
      </c>
      <c r="FJ104" s="3">
        <f t="shared" si="101"/>
        <v>0</v>
      </c>
      <c r="FK104" s="3">
        <f t="shared" si="101"/>
        <v>0</v>
      </c>
      <c r="FL104" s="3">
        <f t="shared" si="101"/>
        <v>1.9166666666666665</v>
      </c>
      <c r="FM104" s="3">
        <f t="shared" si="101"/>
        <v>3.122432210353328</v>
      </c>
      <c r="FN104" s="3">
        <f t="shared" si="101"/>
        <v>0</v>
      </c>
      <c r="FO104" s="3">
        <f t="shared" si="101"/>
        <v>5.0373134328358207</v>
      </c>
      <c r="FP104" s="3">
        <f t="shared" si="101"/>
        <v>0</v>
      </c>
      <c r="FQ104" s="3">
        <f t="shared" si="101"/>
        <v>0.45385779122541603</v>
      </c>
      <c r="FR104" s="3">
        <f t="shared" si="101"/>
        <v>2.9545454545454546</v>
      </c>
      <c r="FS104" s="3">
        <f t="shared" si="101"/>
        <v>0</v>
      </c>
      <c r="FT104" s="3">
        <f t="shared" si="101"/>
        <v>1.7068273092369479</v>
      </c>
      <c r="FU104" s="3">
        <f t="shared" si="101"/>
        <v>4.6814044213263983</v>
      </c>
      <c r="FV104" s="3">
        <f t="shared" si="101"/>
        <v>1.7557251908396947</v>
      </c>
      <c r="FW104" s="3">
        <f t="shared" si="101"/>
        <v>5.4771784232365146</v>
      </c>
      <c r="FX104" s="3">
        <f t="shared" si="101"/>
        <v>1.7610062893081762</v>
      </c>
      <c r="FY104" s="3">
        <f t="shared" si="101"/>
        <v>7.6236263736263741</v>
      </c>
      <c r="FZ104" s="3">
        <f t="shared" si="101"/>
        <v>1.6304347826086956</v>
      </c>
      <c r="GA104" s="3">
        <f t="shared" si="101"/>
        <v>0</v>
      </c>
      <c r="GB104" s="3">
        <f t="shared" si="101"/>
        <v>1.9281332164767746</v>
      </c>
      <c r="GC104" s="3">
        <f t="shared" si="101"/>
        <v>4.2755344418052257</v>
      </c>
      <c r="GD104" s="3">
        <f t="shared" si="101"/>
        <v>0</v>
      </c>
      <c r="GE104" s="3">
        <f t="shared" si="101"/>
        <v>0</v>
      </c>
      <c r="GF104" s="3">
        <f t="shared" si="101"/>
        <v>0</v>
      </c>
      <c r="GG104" s="3">
        <f t="shared" si="101"/>
        <v>0</v>
      </c>
      <c r="GH104" s="3">
        <f t="shared" si="101"/>
        <v>0</v>
      </c>
      <c r="GI104" s="3">
        <f t="shared" si="101"/>
        <v>0</v>
      </c>
      <c r="GJ104" s="3">
        <f t="shared" si="101"/>
        <v>0</v>
      </c>
      <c r="GK104" s="3">
        <f t="shared" si="101"/>
        <v>0</v>
      </c>
      <c r="GL104" s="3">
        <f t="shared" si="99"/>
        <v>0.33444816053511706</v>
      </c>
      <c r="GM104" s="3">
        <f t="shared" si="99"/>
        <v>3.1758957654723128</v>
      </c>
      <c r="GN104" s="3">
        <f t="shared" si="99"/>
        <v>2.3448949682462139</v>
      </c>
      <c r="GO104" s="3">
        <f t="shared" si="99"/>
        <v>2.4831867563372994</v>
      </c>
      <c r="GP104" s="3">
        <f t="shared" si="99"/>
        <v>0</v>
      </c>
      <c r="GQ104" s="3">
        <f t="shared" si="99"/>
        <v>0</v>
      </c>
      <c r="GR104" s="3">
        <f t="shared" si="99"/>
        <v>0</v>
      </c>
      <c r="GS104" s="3">
        <f t="shared" si="99"/>
        <v>0</v>
      </c>
      <c r="GT104" s="3">
        <f t="shared" si="99"/>
        <v>1.3422818791946309</v>
      </c>
      <c r="GU104" s="3">
        <f t="shared" si="99"/>
        <v>0</v>
      </c>
      <c r="GV104" s="3">
        <f t="shared" si="99"/>
        <v>5.0472040668119096</v>
      </c>
      <c r="GW104" s="3">
        <f t="shared" si="99"/>
        <v>5.8660508083140872</v>
      </c>
      <c r="GX104" s="3">
        <f t="shared" si="99"/>
        <v>0.22831050228310501</v>
      </c>
      <c r="GY104" s="3">
        <f t="shared" si="99"/>
        <v>0</v>
      </c>
      <c r="GZ104" s="3">
        <f t="shared" si="99"/>
        <v>0</v>
      </c>
      <c r="HA104" s="3">
        <f t="shared" si="99"/>
        <v>1.4054813773717498</v>
      </c>
      <c r="HB104" s="3">
        <f t="shared" si="99"/>
        <v>1.4596451058958215</v>
      </c>
      <c r="HC104" s="3">
        <f t="shared" si="99"/>
        <v>0</v>
      </c>
      <c r="HD104" s="3">
        <f t="shared" si="99"/>
        <v>0.69651741293532343</v>
      </c>
      <c r="HE104" s="3">
        <f t="shared" si="99"/>
        <v>5.485232067510549</v>
      </c>
      <c r="HF104" s="3">
        <f t="shared" si="99"/>
        <v>1.680672268907563</v>
      </c>
      <c r="HG104" s="3">
        <f t="shared" si="99"/>
        <v>5.2475979305247593</v>
      </c>
      <c r="HH104" s="3">
        <f t="shared" si="99"/>
        <v>1.1947127605490595</v>
      </c>
      <c r="HI104" s="3">
        <f t="shared" si="99"/>
        <v>5.0733496332518335</v>
      </c>
      <c r="HJ104" s="3">
        <f t="shared" si="99"/>
        <v>1.3953488372093024</v>
      </c>
      <c r="HK104" s="3">
        <f t="shared" si="99"/>
        <v>0.8875739644970414</v>
      </c>
      <c r="HL104" s="3">
        <f t="shared" si="99"/>
        <v>1.7543859649122806</v>
      </c>
      <c r="HM104" s="3">
        <f t="shared" si="99"/>
        <v>0</v>
      </c>
      <c r="HN104" s="3">
        <f t="shared" si="99"/>
        <v>2.2865853658536586</v>
      </c>
      <c r="HO104" s="3">
        <f t="shared" si="99"/>
        <v>0</v>
      </c>
      <c r="HP104" s="3">
        <f t="shared" si="99"/>
        <v>0</v>
      </c>
      <c r="HQ104" s="3">
        <f t="shared" si="99"/>
        <v>0</v>
      </c>
      <c r="HR104" s="3">
        <f t="shared" si="99"/>
        <v>0</v>
      </c>
      <c r="HS104" s="3">
        <f t="shared" si="99"/>
        <v>0</v>
      </c>
      <c r="HT104" s="3">
        <f t="shared" si="99"/>
        <v>0</v>
      </c>
      <c r="HU104" s="3">
        <f t="shared" si="99"/>
        <v>0</v>
      </c>
      <c r="HV104" s="3">
        <f t="shared" si="99"/>
        <v>0</v>
      </c>
      <c r="HW104" s="3">
        <f t="shared" si="99"/>
        <v>2</v>
      </c>
      <c r="HX104" s="3">
        <f t="shared" si="99"/>
        <v>2.147239263803681</v>
      </c>
      <c r="HY104" s="3">
        <f t="shared" si="99"/>
        <v>0</v>
      </c>
      <c r="HZ104" s="3">
        <f t="shared" si="99"/>
        <v>0.57971014492753625</v>
      </c>
      <c r="IA104" s="3">
        <f t="shared" si="99"/>
        <v>0</v>
      </c>
      <c r="IB104" s="3">
        <f t="shared" si="99"/>
        <v>0</v>
      </c>
      <c r="IC104" s="3">
        <f t="shared" si="99"/>
        <v>0</v>
      </c>
      <c r="ID104" s="3">
        <f t="shared" si="99"/>
        <v>0</v>
      </c>
      <c r="IE104" s="3">
        <f t="shared" si="99"/>
        <v>1.3173652694610778</v>
      </c>
      <c r="IF104" s="3">
        <f t="shared" si="99"/>
        <v>2.7126099706744866</v>
      </c>
      <c r="IG104" s="3">
        <f t="shared" si="99"/>
        <v>3.296703296703297</v>
      </c>
      <c r="IH104" s="3">
        <f t="shared" si="99"/>
        <v>0</v>
      </c>
      <c r="II104" s="3">
        <f t="shared" si="99"/>
        <v>3.8596491228070176</v>
      </c>
      <c r="IJ104" s="3">
        <f t="shared" si="99"/>
        <v>0.6294256490952006</v>
      </c>
      <c r="IK104" s="3">
        <f t="shared" si="99"/>
        <v>2.2727272727272729</v>
      </c>
      <c r="IL104" s="3">
        <f t="shared" si="99"/>
        <v>0</v>
      </c>
      <c r="IM104" s="3">
        <f t="shared" si="99"/>
        <v>0</v>
      </c>
      <c r="IN104" s="3">
        <f t="shared" si="99"/>
        <v>0</v>
      </c>
      <c r="IO104" s="3">
        <f t="shared" si="99"/>
        <v>0</v>
      </c>
      <c r="IP104" s="3">
        <f t="shared" si="99"/>
        <v>2.1238938053097343</v>
      </c>
      <c r="IQ104" s="3">
        <f t="shared" si="99"/>
        <v>7.449605609114812</v>
      </c>
      <c r="IR104" s="3">
        <f t="shared" si="99"/>
        <v>1.0416666666666665</v>
      </c>
      <c r="IS104" s="3">
        <f t="shared" si="99"/>
        <v>9.6166341780376854</v>
      </c>
      <c r="IT104" s="3">
        <f t="shared" si="99"/>
        <v>0</v>
      </c>
      <c r="IU104" s="3">
        <f t="shared" si="99"/>
        <v>1.7825311942959003</v>
      </c>
      <c r="IV104" s="3">
        <f t="shared" si="99"/>
        <v>2.5287356321839081</v>
      </c>
      <c r="IW104" s="3">
        <f t="shared" si="96"/>
        <v>0</v>
      </c>
      <c r="IX104" s="3">
        <f t="shared" si="96"/>
        <v>7.9872204472843447E-2</v>
      </c>
      <c r="IY104" s="3">
        <f t="shared" si="96"/>
        <v>0</v>
      </c>
      <c r="IZ104" s="3">
        <f t="shared" si="96"/>
        <v>0</v>
      </c>
      <c r="JA104" s="3">
        <f t="shared" si="96"/>
        <v>0</v>
      </c>
      <c r="JB104" s="3">
        <f t="shared" si="96"/>
        <v>0</v>
      </c>
      <c r="JC104" s="3">
        <f t="shared" si="96"/>
        <v>0</v>
      </c>
      <c r="JD104" s="3">
        <f t="shared" si="96"/>
        <v>0</v>
      </c>
      <c r="JE104" s="3">
        <f t="shared" si="96"/>
        <v>0</v>
      </c>
      <c r="JF104" s="3">
        <f t="shared" si="96"/>
        <v>1.0416666666666665</v>
      </c>
      <c r="JG104" s="3">
        <f t="shared" si="96"/>
        <v>0</v>
      </c>
      <c r="JH104" s="3">
        <f t="shared" si="96"/>
        <v>0</v>
      </c>
      <c r="JI104" s="3">
        <f t="shared" si="96"/>
        <v>0</v>
      </c>
      <c r="JJ104" s="3">
        <f t="shared" si="96"/>
        <v>0</v>
      </c>
      <c r="JK104" s="3">
        <f t="shared" si="96"/>
        <v>0.43687199650502401</v>
      </c>
      <c r="JL104" s="3">
        <f t="shared" si="96"/>
        <v>0</v>
      </c>
      <c r="JM104" s="3">
        <f t="shared" si="96"/>
        <v>0</v>
      </c>
      <c r="JN104" s="3">
        <f t="shared" si="96"/>
        <v>0</v>
      </c>
      <c r="JO104" s="3">
        <f t="shared" si="96"/>
        <v>1.7802644964394709</v>
      </c>
      <c r="JP104" s="3">
        <f t="shared" si="96"/>
        <v>4.8015122873345941</v>
      </c>
      <c r="JQ104" s="3">
        <f t="shared" si="96"/>
        <v>10.568341944574918</v>
      </c>
      <c r="JR104" s="3">
        <f t="shared" si="96"/>
        <v>0</v>
      </c>
      <c r="JS104" s="3">
        <f t="shared" si="96"/>
        <v>3.7711313394018204</v>
      </c>
      <c r="JT104" s="3">
        <f t="shared" si="96"/>
        <v>0.61370610296624617</v>
      </c>
      <c r="JU104" s="3">
        <f t="shared" si="96"/>
        <v>0</v>
      </c>
      <c r="JV104" s="3">
        <f t="shared" si="96"/>
        <v>2.4149571539859775</v>
      </c>
      <c r="JW104" s="3">
        <f t="shared" si="96"/>
        <v>0</v>
      </c>
      <c r="JX104" s="3">
        <f t="shared" si="96"/>
        <v>1.1986301369863013</v>
      </c>
      <c r="JY104" s="3">
        <f t="shared" si="96"/>
        <v>2.3011176857330704</v>
      </c>
      <c r="JZ104" s="3">
        <f t="shared" si="96"/>
        <v>1.6366065464261856</v>
      </c>
      <c r="KA104" s="3">
        <f t="shared" si="96"/>
        <v>5.2395209580838316</v>
      </c>
      <c r="KB104" s="3">
        <f t="shared" si="96"/>
        <v>2.9966703662597114</v>
      </c>
      <c r="KC104" s="3">
        <f t="shared" si="96"/>
        <v>6.124432922877511</v>
      </c>
      <c r="KD104" s="3">
        <f t="shared" si="96"/>
        <v>0</v>
      </c>
      <c r="KE104" s="3">
        <f t="shared" si="96"/>
        <v>5.1428571428571423</v>
      </c>
      <c r="KF104" s="3">
        <f t="shared" si="96"/>
        <v>0</v>
      </c>
      <c r="KG104" s="3">
        <f t="shared" si="96"/>
        <v>4.3378995433789953</v>
      </c>
      <c r="KH104" s="3">
        <f t="shared" si="96"/>
        <v>0.14792899408284024</v>
      </c>
      <c r="KI104" s="3">
        <f t="shared" si="96"/>
        <v>3.8590604026845639</v>
      </c>
      <c r="KJ104" s="3">
        <f t="shared" si="96"/>
        <v>0</v>
      </c>
      <c r="KK104" s="3">
        <f t="shared" si="96"/>
        <v>0</v>
      </c>
      <c r="KL104" s="3">
        <f t="shared" si="96"/>
        <v>0</v>
      </c>
      <c r="KM104" s="3">
        <f t="shared" si="96"/>
        <v>0</v>
      </c>
      <c r="KN104" s="3">
        <f t="shared" si="96"/>
        <v>0</v>
      </c>
      <c r="KO104" s="3">
        <f t="shared" si="96"/>
        <v>0</v>
      </c>
      <c r="KP104" s="3">
        <f t="shared" si="96"/>
        <v>0</v>
      </c>
      <c r="KQ104" s="3">
        <f t="shared" si="96"/>
        <v>5.4545454545454541</v>
      </c>
      <c r="KR104" s="3">
        <f t="shared" si="96"/>
        <v>0.25510204081632654</v>
      </c>
      <c r="KS104" s="3">
        <f t="shared" si="96"/>
        <v>1.6797312430011198</v>
      </c>
      <c r="KT104" s="3">
        <f t="shared" si="96"/>
        <v>0</v>
      </c>
      <c r="KU104" s="3">
        <f t="shared" si="96"/>
        <v>0</v>
      </c>
      <c r="KV104" s="3">
        <f t="shared" si="96"/>
        <v>0</v>
      </c>
      <c r="KW104" s="3">
        <f t="shared" si="96"/>
        <v>0</v>
      </c>
      <c r="KX104" s="3">
        <f t="shared" si="96"/>
        <v>0</v>
      </c>
      <c r="KY104" s="3">
        <f t="shared" si="96"/>
        <v>0</v>
      </c>
      <c r="KZ104" s="3">
        <f t="shared" si="96"/>
        <v>2.0512820512820511</v>
      </c>
      <c r="LA104" s="3">
        <f t="shared" si="96"/>
        <v>6.5170940170940179</v>
      </c>
      <c r="LB104" s="3">
        <f t="shared" si="96"/>
        <v>2.4096385542168677</v>
      </c>
      <c r="LC104" s="3">
        <f t="shared" si="96"/>
        <v>0</v>
      </c>
      <c r="LD104" s="3">
        <f t="shared" si="96"/>
        <v>0.45751633986928109</v>
      </c>
      <c r="LE104" s="3">
        <f t="shared" si="96"/>
        <v>0.33641715727502103</v>
      </c>
      <c r="LF104" s="3">
        <f t="shared" si="96"/>
        <v>0</v>
      </c>
      <c r="LG104" s="3">
        <f t="shared" si="96"/>
        <v>0</v>
      </c>
      <c r="LH104" s="3">
        <f>(LH41-LH$11)/LH$11*100</f>
        <v>0</v>
      </c>
      <c r="LI104" s="3">
        <f t="shared" si="97"/>
        <v>2.7878787878787876</v>
      </c>
      <c r="LJ104" s="3">
        <f t="shared" si="97"/>
        <v>2.1276595744680851</v>
      </c>
      <c r="LK104" s="3">
        <f t="shared" si="97"/>
        <v>4.435483870967742</v>
      </c>
      <c r="LL104" s="3">
        <f t="shared" si="97"/>
        <v>1.6064257028112447</v>
      </c>
      <c r="LM104" s="3">
        <f t="shared" si="97"/>
        <v>5.9071729957805905</v>
      </c>
      <c r="LN104" s="3">
        <f t="shared" si="72"/>
        <v>0</v>
      </c>
      <c r="LO104" s="3">
        <f t="shared" si="72"/>
        <v>0</v>
      </c>
      <c r="LP104" s="3">
        <f t="shared" ref="LP104:MW104" si="104">(LP41-LP$11)/LP$11*100</f>
        <v>2.9835390946502058</v>
      </c>
      <c r="LQ104" s="3">
        <f t="shared" si="104"/>
        <v>0.10235414534288639</v>
      </c>
      <c r="LR104" s="3">
        <f t="shared" si="104"/>
        <v>0.92905405405405406</v>
      </c>
      <c r="LS104" s="3">
        <f t="shared" si="104"/>
        <v>4.5794392523364484</v>
      </c>
      <c r="LT104" s="3">
        <f t="shared" si="104"/>
        <v>0</v>
      </c>
      <c r="LU104" s="3">
        <f t="shared" si="104"/>
        <v>0</v>
      </c>
      <c r="LV104" s="3">
        <f t="shared" si="104"/>
        <v>0</v>
      </c>
      <c r="LW104" s="3">
        <f t="shared" si="104"/>
        <v>0</v>
      </c>
      <c r="LX104" s="3">
        <f t="shared" si="104"/>
        <v>0</v>
      </c>
      <c r="LY104" s="3">
        <f t="shared" si="104"/>
        <v>0</v>
      </c>
      <c r="LZ104" s="3">
        <f t="shared" si="104"/>
        <v>1.7746228926353149</v>
      </c>
      <c r="MA104" s="3">
        <f t="shared" si="104"/>
        <v>0</v>
      </c>
      <c r="MB104" s="3">
        <f t="shared" si="104"/>
        <v>1.9931939718035974</v>
      </c>
      <c r="MC104" s="3">
        <f t="shared" si="104"/>
        <v>0</v>
      </c>
      <c r="MD104" s="3">
        <f t="shared" si="104"/>
        <v>1.1627906976744187</v>
      </c>
      <c r="ME104" s="3">
        <f t="shared" si="104"/>
        <v>0</v>
      </c>
      <c r="MF104" s="3">
        <f t="shared" si="104"/>
        <v>0</v>
      </c>
      <c r="MG104" s="3">
        <f t="shared" si="104"/>
        <v>0</v>
      </c>
      <c r="MH104" s="3">
        <f t="shared" si="104"/>
        <v>1.7982456140350878</v>
      </c>
      <c r="MI104" s="3">
        <f t="shared" si="104"/>
        <v>0</v>
      </c>
      <c r="MJ104" s="3">
        <f t="shared" si="104"/>
        <v>4.9939098660170522</v>
      </c>
      <c r="MK104" s="3">
        <f t="shared" si="104"/>
        <v>3.4064212999216914</v>
      </c>
      <c r="ML104" s="3">
        <f t="shared" si="104"/>
        <v>1.3303769401330376</v>
      </c>
      <c r="MM104" s="3">
        <f t="shared" si="104"/>
        <v>0</v>
      </c>
      <c r="MN104" s="3">
        <f t="shared" si="104"/>
        <v>0.63249001331557919</v>
      </c>
      <c r="MO104" s="3">
        <f t="shared" si="104"/>
        <v>4.1291291291291294</v>
      </c>
      <c r="MP104" s="3">
        <f t="shared" si="104"/>
        <v>0</v>
      </c>
      <c r="MQ104" s="3">
        <f t="shared" si="104"/>
        <v>0</v>
      </c>
      <c r="MR104" s="3">
        <f t="shared" si="104"/>
        <v>1.2236906510034264</v>
      </c>
      <c r="MS104" s="3">
        <f t="shared" si="104"/>
        <v>0</v>
      </c>
      <c r="MT104" s="3">
        <f t="shared" si="104"/>
        <v>2.1520803443328553</v>
      </c>
      <c r="MU104" s="3">
        <f t="shared" si="104"/>
        <v>4.633497911127991</v>
      </c>
      <c r="MV104" s="3">
        <f t="shared" si="104"/>
        <v>1.6137428422696511</v>
      </c>
      <c r="MW104" s="3">
        <f t="shared" si="104"/>
        <v>6.3967861557478374</v>
      </c>
      <c r="MX104" s="3"/>
      <c r="MY10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CC40-0E03-471E-B3F9-1EA0D71F25CE}">
  <dimension ref="A1:Q61"/>
  <sheetViews>
    <sheetView workbookViewId="0">
      <selection activeCell="Q1" sqref="A1:Q1"/>
    </sheetView>
  </sheetViews>
  <sheetFormatPr defaultRowHeight="14.4" x14ac:dyDescent="0.3"/>
  <cols>
    <col min="1" max="1" width="7.77734375" style="3" customWidth="1"/>
    <col min="2" max="2" width="6.88671875" style="3" customWidth="1"/>
    <col min="3" max="4" width="8.88671875" style="3"/>
    <col min="5" max="5" width="12.6640625" style="3" customWidth="1"/>
    <col min="6" max="6" width="15.44140625" style="3" customWidth="1"/>
    <col min="7" max="7" width="15.21875" style="3" customWidth="1"/>
    <col min="8" max="8" width="13.88671875" style="3" customWidth="1"/>
    <col min="9" max="9" width="12.109375" style="3" customWidth="1"/>
    <col min="10" max="12" width="8.88671875" style="3"/>
    <col min="13" max="13" width="15.109375" style="3" customWidth="1"/>
    <col min="14" max="14" width="11.77734375" style="3" customWidth="1"/>
    <col min="15" max="15" width="11.88671875" style="3" customWidth="1"/>
    <col min="16" max="16" width="11.5546875" style="3" customWidth="1"/>
    <col min="17" max="17" width="8.88671875" style="3"/>
  </cols>
  <sheetData>
    <row r="1" spans="1:17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7</v>
      </c>
      <c r="G1" s="3" t="s">
        <v>33</v>
      </c>
      <c r="H1" s="3" t="s">
        <v>8</v>
      </c>
      <c r="I1" s="3" t="s">
        <v>0</v>
      </c>
      <c r="J1" s="3" t="s">
        <v>5</v>
      </c>
      <c r="K1" s="3" t="s">
        <v>35</v>
      </c>
      <c r="L1" s="3" t="s">
        <v>36</v>
      </c>
      <c r="M1" s="3" t="s">
        <v>34</v>
      </c>
      <c r="N1" s="3" t="s">
        <v>37</v>
      </c>
      <c r="O1" s="3" t="s">
        <v>38</v>
      </c>
      <c r="P1" s="3" t="s">
        <v>39</v>
      </c>
      <c r="Q1" s="3" t="s">
        <v>40</v>
      </c>
    </row>
    <row r="2" spans="1:17" x14ac:dyDescent="0.3">
      <c r="A2" s="15">
        <v>6</v>
      </c>
      <c r="B2" s="15">
        <v>2</v>
      </c>
      <c r="C2" s="15" t="s">
        <v>1</v>
      </c>
      <c r="D2" s="15">
        <v>0.4</v>
      </c>
      <c r="E2" s="15" t="s">
        <v>2</v>
      </c>
      <c r="F2" s="15">
        <v>1.1494252873563218</v>
      </c>
      <c r="G2" s="15">
        <v>1.1494252873563218</v>
      </c>
      <c r="H2" s="15">
        <v>1.1494252873563224</v>
      </c>
      <c r="I2" s="16">
        <v>0.44420000000000009</v>
      </c>
      <c r="J2" s="15">
        <v>435</v>
      </c>
      <c r="K2" s="15">
        <v>440</v>
      </c>
      <c r="L2" s="15">
        <v>440</v>
      </c>
      <c r="M2" s="15">
        <v>3.91</v>
      </c>
      <c r="N2" s="15">
        <f>$J2+F2*$J2/100</f>
        <v>440</v>
      </c>
      <c r="O2" s="15">
        <f t="shared" ref="O2:P2" si="0">$J2+G2*$J2/100</f>
        <v>440</v>
      </c>
      <c r="P2" s="15">
        <f t="shared" si="0"/>
        <v>440</v>
      </c>
      <c r="Q2" s="15">
        <f>I2*30</f>
        <v>13.326000000000002</v>
      </c>
    </row>
    <row r="3" spans="1:17" x14ac:dyDescent="0.3">
      <c r="A3" s="15">
        <v>6</v>
      </c>
      <c r="B3" s="15">
        <v>2</v>
      </c>
      <c r="C3" s="15" t="s">
        <v>1</v>
      </c>
      <c r="D3" s="15">
        <v>0.4</v>
      </c>
      <c r="E3" s="15" t="s">
        <v>3</v>
      </c>
      <c r="F3" s="15">
        <v>0</v>
      </c>
      <c r="G3" s="15">
        <v>0</v>
      </c>
      <c r="H3" s="15">
        <v>0</v>
      </c>
      <c r="I3" s="16">
        <v>6.666666666666667E-5</v>
      </c>
      <c r="J3" s="15">
        <v>283</v>
      </c>
      <c r="K3" s="15">
        <v>283</v>
      </c>
      <c r="L3" s="15">
        <v>283</v>
      </c>
      <c r="M3" s="15">
        <v>1</v>
      </c>
      <c r="N3" s="15">
        <f t="shared" ref="N3:N61" si="1">$J3+F3*$J3/100</f>
        <v>283</v>
      </c>
      <c r="O3" s="15">
        <f t="shared" ref="O3:O61" si="2">$J3+G3*$J3/100</f>
        <v>283</v>
      </c>
      <c r="P3" s="15">
        <f t="shared" ref="P3:P61" si="3">$J3+H3*$J3/100</f>
        <v>283</v>
      </c>
      <c r="Q3" s="15">
        <f t="shared" ref="Q3:Q61" si="4">I3*30</f>
        <v>2E-3</v>
      </c>
    </row>
    <row r="4" spans="1:17" x14ac:dyDescent="0.3">
      <c r="A4" s="15">
        <v>6</v>
      </c>
      <c r="B4" s="15">
        <v>2</v>
      </c>
      <c r="C4" s="15" t="s">
        <v>1</v>
      </c>
      <c r="D4" s="15">
        <v>0.7</v>
      </c>
      <c r="E4" s="15" t="s">
        <v>2</v>
      </c>
      <c r="F4" s="15">
        <v>0.21186440677966101</v>
      </c>
      <c r="G4" s="15">
        <v>0.21186440677966101</v>
      </c>
      <c r="H4" s="15">
        <v>0.21186440677966092</v>
      </c>
      <c r="I4" s="16">
        <v>0.75183333333333346</v>
      </c>
      <c r="J4" s="15">
        <v>472</v>
      </c>
      <c r="K4" s="15">
        <v>473</v>
      </c>
      <c r="L4" s="15">
        <v>268.5</v>
      </c>
      <c r="M4" s="15">
        <v>3600</v>
      </c>
      <c r="N4" s="15">
        <f t="shared" si="1"/>
        <v>473</v>
      </c>
      <c r="O4" s="15">
        <f t="shared" si="2"/>
        <v>473</v>
      </c>
      <c r="P4" s="15">
        <f t="shared" si="3"/>
        <v>473</v>
      </c>
      <c r="Q4" s="15">
        <f t="shared" si="4"/>
        <v>22.555000000000003</v>
      </c>
    </row>
    <row r="5" spans="1:17" x14ac:dyDescent="0.3">
      <c r="A5" s="15">
        <v>6</v>
      </c>
      <c r="B5" s="15">
        <v>2</v>
      </c>
      <c r="C5" s="15" t="s">
        <v>1</v>
      </c>
      <c r="D5" s="15">
        <v>0.7</v>
      </c>
      <c r="E5" s="15" t="s">
        <v>3</v>
      </c>
      <c r="F5" s="15">
        <v>6.192660550458716</v>
      </c>
      <c r="G5" s="15">
        <v>8.2568807339449553</v>
      </c>
      <c r="H5" s="15">
        <v>7.064220183486241</v>
      </c>
      <c r="I5" s="16">
        <v>1.0213333333333334</v>
      </c>
      <c r="J5" s="15">
        <v>436</v>
      </c>
      <c r="K5" s="15">
        <v>459</v>
      </c>
      <c r="L5" s="15">
        <v>311</v>
      </c>
      <c r="M5" s="15">
        <v>3600</v>
      </c>
      <c r="N5" s="15">
        <f t="shared" si="1"/>
        <v>463</v>
      </c>
      <c r="O5" s="15">
        <f t="shared" si="2"/>
        <v>472</v>
      </c>
      <c r="P5" s="15">
        <f t="shared" si="3"/>
        <v>466.8</v>
      </c>
      <c r="Q5" s="15">
        <f t="shared" si="4"/>
        <v>30.640000000000004</v>
      </c>
    </row>
    <row r="6" spans="1:17" x14ac:dyDescent="0.3">
      <c r="A6" s="15">
        <v>6</v>
      </c>
      <c r="B6" s="15">
        <v>2</v>
      </c>
      <c r="C6" s="15" t="s">
        <v>1</v>
      </c>
      <c r="D6" s="15">
        <v>0.9</v>
      </c>
      <c r="E6" s="15" t="s">
        <v>2</v>
      </c>
      <c r="F6" s="15">
        <v>0</v>
      </c>
      <c r="G6" s="15">
        <v>0</v>
      </c>
      <c r="H6" s="15">
        <v>0</v>
      </c>
      <c r="I6" s="16">
        <v>2.2333333333333341E-3</v>
      </c>
      <c r="J6" s="15">
        <v>591</v>
      </c>
      <c r="K6" s="15">
        <v>591</v>
      </c>
      <c r="L6" s="15">
        <v>481</v>
      </c>
      <c r="M6" s="15">
        <v>3600</v>
      </c>
      <c r="N6" s="15">
        <f t="shared" si="1"/>
        <v>591</v>
      </c>
      <c r="O6" s="15">
        <f t="shared" si="2"/>
        <v>591</v>
      </c>
      <c r="P6" s="15">
        <f t="shared" si="3"/>
        <v>591</v>
      </c>
      <c r="Q6" s="15">
        <f t="shared" si="4"/>
        <v>6.7000000000000018E-2</v>
      </c>
    </row>
    <row r="7" spans="1:17" x14ac:dyDescent="0.3">
      <c r="A7" s="15">
        <v>6</v>
      </c>
      <c r="B7" s="15">
        <v>2</v>
      </c>
      <c r="C7" s="15" t="s">
        <v>1</v>
      </c>
      <c r="D7" s="15">
        <v>0.9</v>
      </c>
      <c r="E7" s="15" t="s">
        <v>3</v>
      </c>
      <c r="F7" s="15">
        <v>2.1032504780114722</v>
      </c>
      <c r="G7" s="15">
        <v>2.1032504780114722</v>
      </c>
      <c r="H7" s="15">
        <v>2.1032504780114731</v>
      </c>
      <c r="I7" s="16">
        <v>1.5164666666666664</v>
      </c>
      <c r="J7" s="15">
        <v>523</v>
      </c>
      <c r="K7" s="15">
        <v>534</v>
      </c>
      <c r="L7" s="15">
        <v>269</v>
      </c>
      <c r="M7" s="15">
        <v>3600</v>
      </c>
      <c r="N7" s="15">
        <f t="shared" si="1"/>
        <v>534</v>
      </c>
      <c r="O7" s="15">
        <f t="shared" si="2"/>
        <v>534</v>
      </c>
      <c r="P7" s="15">
        <f t="shared" si="3"/>
        <v>534</v>
      </c>
      <c r="Q7" s="15">
        <f t="shared" si="4"/>
        <v>45.493999999999993</v>
      </c>
    </row>
    <row r="8" spans="1:17" x14ac:dyDescent="0.3">
      <c r="A8" s="15">
        <v>6</v>
      </c>
      <c r="B8" s="15">
        <v>2</v>
      </c>
      <c r="C8" s="15" t="s">
        <v>4</v>
      </c>
      <c r="D8" s="15">
        <v>0.4</v>
      </c>
      <c r="E8" s="15" t="s">
        <v>2</v>
      </c>
      <c r="F8" s="15">
        <v>0</v>
      </c>
      <c r="G8" s="15">
        <v>0</v>
      </c>
      <c r="H8" s="15">
        <v>0</v>
      </c>
      <c r="I8" s="16">
        <v>1.6000000000000007E-3</v>
      </c>
      <c r="J8" s="15">
        <v>1006</v>
      </c>
      <c r="K8" s="15">
        <v>1006</v>
      </c>
      <c r="L8" s="15">
        <v>1006</v>
      </c>
      <c r="M8" s="15">
        <v>3.38</v>
      </c>
      <c r="N8" s="15">
        <f t="shared" si="1"/>
        <v>1006</v>
      </c>
      <c r="O8" s="15">
        <f t="shared" si="2"/>
        <v>1006</v>
      </c>
      <c r="P8" s="15">
        <f t="shared" si="3"/>
        <v>1006</v>
      </c>
      <c r="Q8" s="15">
        <f t="shared" si="4"/>
        <v>4.8000000000000022E-2</v>
      </c>
    </row>
    <row r="9" spans="1:17" x14ac:dyDescent="0.3">
      <c r="A9" s="15">
        <v>6</v>
      </c>
      <c r="B9" s="15">
        <v>2</v>
      </c>
      <c r="C9" s="15" t="s">
        <v>4</v>
      </c>
      <c r="D9" s="15">
        <v>0.4</v>
      </c>
      <c r="E9" s="15" t="s">
        <v>3</v>
      </c>
      <c r="F9" s="15">
        <v>0</v>
      </c>
      <c r="G9" s="15">
        <v>0</v>
      </c>
      <c r="H9" s="15">
        <v>0</v>
      </c>
      <c r="I9" s="16">
        <v>2.066666666666668E-3</v>
      </c>
      <c r="J9" s="15">
        <v>973</v>
      </c>
      <c r="K9" s="15">
        <v>973</v>
      </c>
      <c r="L9" s="15">
        <v>973</v>
      </c>
      <c r="M9" s="15">
        <v>0.91</v>
      </c>
      <c r="N9" s="15">
        <f t="shared" si="1"/>
        <v>973</v>
      </c>
      <c r="O9" s="15">
        <f t="shared" si="2"/>
        <v>973</v>
      </c>
      <c r="P9" s="15">
        <f t="shared" si="3"/>
        <v>973</v>
      </c>
      <c r="Q9" s="15">
        <f t="shared" si="4"/>
        <v>6.2000000000000041E-2</v>
      </c>
    </row>
    <row r="10" spans="1:17" x14ac:dyDescent="0.3">
      <c r="A10" s="15">
        <v>6</v>
      </c>
      <c r="B10" s="15">
        <v>2</v>
      </c>
      <c r="C10" s="15" t="s">
        <v>4</v>
      </c>
      <c r="D10" s="15">
        <v>0.7</v>
      </c>
      <c r="E10" s="15" t="s">
        <v>2</v>
      </c>
      <c r="F10" s="15">
        <v>0</v>
      </c>
      <c r="G10" s="15">
        <v>0</v>
      </c>
      <c r="H10" s="15">
        <v>0</v>
      </c>
      <c r="I10" s="16">
        <v>6.8000000000000022E-3</v>
      </c>
      <c r="J10" s="15">
        <v>1067</v>
      </c>
      <c r="K10" s="15">
        <v>1067</v>
      </c>
      <c r="L10" s="15">
        <v>1067</v>
      </c>
      <c r="M10" s="15">
        <v>9.92</v>
      </c>
      <c r="N10" s="15">
        <f t="shared" si="1"/>
        <v>1067</v>
      </c>
      <c r="O10" s="15">
        <f t="shared" si="2"/>
        <v>1067</v>
      </c>
      <c r="P10" s="15">
        <f t="shared" si="3"/>
        <v>1067</v>
      </c>
      <c r="Q10" s="15">
        <f t="shared" si="4"/>
        <v>0.20400000000000007</v>
      </c>
    </row>
    <row r="11" spans="1:17" x14ac:dyDescent="0.3">
      <c r="A11" s="15">
        <v>6</v>
      </c>
      <c r="B11" s="15">
        <v>2</v>
      </c>
      <c r="C11" s="15" t="s">
        <v>4</v>
      </c>
      <c r="D11" s="15">
        <v>0.7</v>
      </c>
      <c r="E11" s="15" t="s">
        <v>3</v>
      </c>
      <c r="F11" s="15">
        <v>0</v>
      </c>
      <c r="G11" s="15">
        <v>0</v>
      </c>
      <c r="H11" s="15">
        <v>0</v>
      </c>
      <c r="I11" s="16">
        <v>1.0133333333333336E-2</v>
      </c>
      <c r="J11" s="15">
        <v>800</v>
      </c>
      <c r="K11" s="15">
        <v>800</v>
      </c>
      <c r="L11" s="15">
        <v>800</v>
      </c>
      <c r="M11" s="15">
        <v>2698.22</v>
      </c>
      <c r="N11" s="15">
        <f t="shared" si="1"/>
        <v>800</v>
      </c>
      <c r="O11" s="15">
        <f t="shared" si="2"/>
        <v>800</v>
      </c>
      <c r="P11" s="15">
        <f t="shared" si="3"/>
        <v>800</v>
      </c>
      <c r="Q11" s="15">
        <f t="shared" si="4"/>
        <v>0.3040000000000001</v>
      </c>
    </row>
    <row r="12" spans="1:17" x14ac:dyDescent="0.3">
      <c r="A12" s="15">
        <v>6</v>
      </c>
      <c r="B12" s="15">
        <v>2</v>
      </c>
      <c r="C12" s="15" t="s">
        <v>4</v>
      </c>
      <c r="D12" s="15">
        <v>0.9</v>
      </c>
      <c r="E12" s="15" t="s">
        <v>2</v>
      </c>
      <c r="F12" s="15">
        <v>0</v>
      </c>
      <c r="G12" s="15">
        <v>0</v>
      </c>
      <c r="H12" s="15">
        <v>0</v>
      </c>
      <c r="I12" s="16">
        <v>2.1866666666666677E-2</v>
      </c>
      <c r="J12" s="15">
        <v>1429</v>
      </c>
      <c r="K12" s="15">
        <v>1429</v>
      </c>
      <c r="L12" s="15">
        <v>1014</v>
      </c>
      <c r="M12" s="15">
        <v>3600</v>
      </c>
      <c r="N12" s="15">
        <f t="shared" si="1"/>
        <v>1429</v>
      </c>
      <c r="O12" s="15">
        <f t="shared" si="2"/>
        <v>1429</v>
      </c>
      <c r="P12" s="15">
        <f t="shared" si="3"/>
        <v>1429</v>
      </c>
      <c r="Q12" s="15">
        <f t="shared" si="4"/>
        <v>0.65600000000000025</v>
      </c>
    </row>
    <row r="13" spans="1:17" x14ac:dyDescent="0.3">
      <c r="A13" s="15">
        <v>6</v>
      </c>
      <c r="B13" s="15">
        <v>2</v>
      </c>
      <c r="C13" s="15" t="s">
        <v>4</v>
      </c>
      <c r="D13" s="15">
        <v>0.9</v>
      </c>
      <c r="E13" s="15" t="s">
        <v>3</v>
      </c>
      <c r="F13" s="15">
        <v>0</v>
      </c>
      <c r="G13" s="15">
        <v>0</v>
      </c>
      <c r="H13" s="15">
        <v>0</v>
      </c>
      <c r="I13" s="16">
        <v>3.6633333333333337E-2</v>
      </c>
      <c r="J13" s="15">
        <v>900</v>
      </c>
      <c r="K13" s="15">
        <v>900</v>
      </c>
      <c r="L13" s="15">
        <v>900</v>
      </c>
      <c r="M13" s="15">
        <v>177.02</v>
      </c>
      <c r="N13" s="15">
        <f t="shared" si="1"/>
        <v>900</v>
      </c>
      <c r="O13" s="15">
        <f t="shared" si="2"/>
        <v>900</v>
      </c>
      <c r="P13" s="15">
        <f t="shared" si="3"/>
        <v>900</v>
      </c>
      <c r="Q13" s="15">
        <f t="shared" si="4"/>
        <v>1.0990000000000002</v>
      </c>
    </row>
    <row r="14" spans="1:17" x14ac:dyDescent="0.3">
      <c r="A14" s="11">
        <v>6</v>
      </c>
      <c r="B14" s="11">
        <v>2</v>
      </c>
      <c r="C14" s="11" t="s">
        <v>1</v>
      </c>
      <c r="D14" s="11">
        <v>0.4</v>
      </c>
      <c r="E14" s="11" t="s">
        <v>2</v>
      </c>
      <c r="F14" s="11">
        <v>1.3297872340425532</v>
      </c>
      <c r="G14" s="11">
        <v>1.3297872340425532</v>
      </c>
      <c r="H14" s="11">
        <v>1.3297872340425532</v>
      </c>
      <c r="I14" s="17">
        <v>0.12316666666666667</v>
      </c>
      <c r="J14" s="11">
        <v>376</v>
      </c>
      <c r="K14" s="11">
        <v>381</v>
      </c>
      <c r="L14" s="11">
        <v>381</v>
      </c>
      <c r="M14" s="11">
        <v>10.23</v>
      </c>
      <c r="N14" s="11">
        <f t="shared" si="1"/>
        <v>381</v>
      </c>
      <c r="O14" s="11">
        <f t="shared" si="2"/>
        <v>381</v>
      </c>
      <c r="P14" s="11">
        <f t="shared" si="3"/>
        <v>381</v>
      </c>
      <c r="Q14" s="11">
        <f t="shared" si="4"/>
        <v>3.6950000000000003</v>
      </c>
    </row>
    <row r="15" spans="1:17" x14ac:dyDescent="0.3">
      <c r="A15" s="11">
        <v>6</v>
      </c>
      <c r="B15" s="11">
        <v>2</v>
      </c>
      <c r="C15" s="11" t="s">
        <v>1</v>
      </c>
      <c r="D15" s="11">
        <v>0.4</v>
      </c>
      <c r="E15" s="11" t="s">
        <v>3</v>
      </c>
      <c r="F15" s="11">
        <v>0</v>
      </c>
      <c r="G15" s="11">
        <v>0</v>
      </c>
      <c r="H15" s="11">
        <v>0</v>
      </c>
      <c r="I15" s="17">
        <v>2.3333333333333333E-4</v>
      </c>
      <c r="J15" s="11">
        <v>261</v>
      </c>
      <c r="K15" s="11">
        <v>261</v>
      </c>
      <c r="L15" s="11">
        <v>261</v>
      </c>
      <c r="M15" s="11">
        <v>0.25</v>
      </c>
      <c r="N15" s="11">
        <f t="shared" si="1"/>
        <v>261</v>
      </c>
      <c r="O15" s="11">
        <f t="shared" si="2"/>
        <v>261</v>
      </c>
      <c r="P15" s="11">
        <f t="shared" si="3"/>
        <v>261</v>
      </c>
      <c r="Q15" s="11">
        <f t="shared" si="4"/>
        <v>7.0000000000000001E-3</v>
      </c>
    </row>
    <row r="16" spans="1:17" x14ac:dyDescent="0.3">
      <c r="A16" s="11">
        <v>6</v>
      </c>
      <c r="B16" s="11">
        <v>2</v>
      </c>
      <c r="C16" s="11" t="s">
        <v>1</v>
      </c>
      <c r="D16" s="11">
        <v>0.7</v>
      </c>
      <c r="E16" s="11" t="s">
        <v>2</v>
      </c>
      <c r="F16" s="11">
        <v>1.2254901960784315</v>
      </c>
      <c r="G16" s="11">
        <v>1.2254901960784315</v>
      </c>
      <c r="H16" s="11">
        <v>1.2254901960784321</v>
      </c>
      <c r="I16" s="17">
        <v>0.68736666666666657</v>
      </c>
      <c r="J16" s="11">
        <v>408</v>
      </c>
      <c r="K16" s="11">
        <v>413</v>
      </c>
      <c r="L16" s="11">
        <v>413</v>
      </c>
      <c r="M16" s="11">
        <v>146.88</v>
      </c>
      <c r="N16" s="11">
        <f t="shared" si="1"/>
        <v>413</v>
      </c>
      <c r="O16" s="11">
        <f t="shared" si="2"/>
        <v>413</v>
      </c>
      <c r="P16" s="11">
        <f t="shared" si="3"/>
        <v>413</v>
      </c>
      <c r="Q16" s="11">
        <f t="shared" si="4"/>
        <v>20.620999999999999</v>
      </c>
    </row>
    <row r="17" spans="1:17" x14ac:dyDescent="0.3">
      <c r="A17" s="11">
        <v>6</v>
      </c>
      <c r="B17" s="11">
        <v>2</v>
      </c>
      <c r="C17" s="11" t="s">
        <v>1</v>
      </c>
      <c r="D17" s="11">
        <v>0.7</v>
      </c>
      <c r="E17" s="11" t="s">
        <v>3</v>
      </c>
      <c r="F17" s="11">
        <v>2.1226415094339623</v>
      </c>
      <c r="G17" s="11">
        <v>2.358490566037736</v>
      </c>
      <c r="H17" s="11">
        <v>2.3427672955974845</v>
      </c>
      <c r="I17" s="17">
        <v>1.0079999999999998</v>
      </c>
      <c r="J17" s="11">
        <v>424</v>
      </c>
      <c r="K17" s="11">
        <v>433</v>
      </c>
      <c r="L17" s="11">
        <v>422</v>
      </c>
      <c r="M17" s="11">
        <v>3600</v>
      </c>
      <c r="N17" s="11">
        <f t="shared" si="1"/>
        <v>433</v>
      </c>
      <c r="O17" s="11">
        <f t="shared" si="2"/>
        <v>434</v>
      </c>
      <c r="P17" s="11">
        <f t="shared" si="3"/>
        <v>433.93333333333334</v>
      </c>
      <c r="Q17" s="11">
        <f t="shared" si="4"/>
        <v>30.239999999999995</v>
      </c>
    </row>
    <row r="18" spans="1:17" x14ac:dyDescent="0.3">
      <c r="A18" s="11">
        <v>6</v>
      </c>
      <c r="B18" s="11">
        <v>2</v>
      </c>
      <c r="C18" s="11" t="s">
        <v>1</v>
      </c>
      <c r="D18" s="11">
        <v>0.9</v>
      </c>
      <c r="E18" s="11" t="s">
        <v>2</v>
      </c>
      <c r="F18" s="11">
        <v>0</v>
      </c>
      <c r="G18" s="11">
        <v>0.50420168067226889</v>
      </c>
      <c r="H18" s="11">
        <v>0.25770308123249303</v>
      </c>
      <c r="I18" s="17">
        <v>0.99769999999999992</v>
      </c>
      <c r="J18" s="11">
        <v>595</v>
      </c>
      <c r="K18" s="11">
        <v>597</v>
      </c>
      <c r="L18" s="11">
        <v>442.08420000000001</v>
      </c>
      <c r="M18" s="11">
        <v>3600</v>
      </c>
      <c r="N18" s="11">
        <f t="shared" si="1"/>
        <v>595</v>
      </c>
      <c r="O18" s="11">
        <f t="shared" si="2"/>
        <v>598</v>
      </c>
      <c r="P18" s="11">
        <f t="shared" si="3"/>
        <v>596.5333333333333</v>
      </c>
      <c r="Q18" s="11">
        <f t="shared" si="4"/>
        <v>29.930999999999997</v>
      </c>
    </row>
    <row r="19" spans="1:17" x14ac:dyDescent="0.3">
      <c r="A19" s="11">
        <v>6</v>
      </c>
      <c r="B19" s="11">
        <v>2</v>
      </c>
      <c r="C19" s="11" t="s">
        <v>1</v>
      </c>
      <c r="D19" s="11">
        <v>0.9</v>
      </c>
      <c r="E19" s="11" t="s">
        <v>3</v>
      </c>
      <c r="F19" s="11">
        <v>4.562043795620438</v>
      </c>
      <c r="G19" s="11">
        <v>4.562043795620438</v>
      </c>
      <c r="H19" s="11">
        <v>4.5620437956204389</v>
      </c>
      <c r="I19" s="17">
        <v>1.0696333333333334</v>
      </c>
      <c r="J19" s="11">
        <v>548</v>
      </c>
      <c r="K19" s="11">
        <v>573</v>
      </c>
      <c r="L19" s="11">
        <v>360</v>
      </c>
      <c r="M19" s="11">
        <v>3600</v>
      </c>
      <c r="N19" s="11">
        <f t="shared" si="1"/>
        <v>573</v>
      </c>
      <c r="O19" s="11">
        <f t="shared" si="2"/>
        <v>573</v>
      </c>
      <c r="P19" s="11">
        <f t="shared" si="3"/>
        <v>573</v>
      </c>
      <c r="Q19" s="11">
        <f t="shared" si="4"/>
        <v>32.089000000000006</v>
      </c>
    </row>
    <row r="20" spans="1:17" x14ac:dyDescent="0.3">
      <c r="A20" s="11">
        <v>6</v>
      </c>
      <c r="B20" s="11">
        <v>2</v>
      </c>
      <c r="C20" s="11" t="s">
        <v>4</v>
      </c>
      <c r="D20" s="11">
        <v>0.4</v>
      </c>
      <c r="E20" s="11" t="s">
        <v>2</v>
      </c>
      <c r="F20" s="11">
        <v>0</v>
      </c>
      <c r="G20" s="11">
        <v>0</v>
      </c>
      <c r="H20" s="11">
        <v>0</v>
      </c>
      <c r="I20" s="17">
        <v>2.4333333333333342E-3</v>
      </c>
      <c r="J20" s="11">
        <v>553</v>
      </c>
      <c r="K20" s="11">
        <v>553</v>
      </c>
      <c r="L20" s="11">
        <v>553</v>
      </c>
      <c r="M20" s="11">
        <v>0.7</v>
      </c>
      <c r="N20" s="11">
        <f t="shared" si="1"/>
        <v>553</v>
      </c>
      <c r="O20" s="11">
        <f t="shared" si="2"/>
        <v>553</v>
      </c>
      <c r="P20" s="11">
        <f t="shared" si="3"/>
        <v>553</v>
      </c>
      <c r="Q20" s="11">
        <f t="shared" si="4"/>
        <v>7.3000000000000023E-2</v>
      </c>
    </row>
    <row r="21" spans="1:17" x14ac:dyDescent="0.3">
      <c r="A21" s="11">
        <v>6</v>
      </c>
      <c r="B21" s="11">
        <v>2</v>
      </c>
      <c r="C21" s="11" t="s">
        <v>4</v>
      </c>
      <c r="D21" s="11">
        <v>0.4</v>
      </c>
      <c r="E21" s="11" t="s">
        <v>3</v>
      </c>
      <c r="F21" s="11">
        <v>0</v>
      </c>
      <c r="G21" s="11">
        <v>0</v>
      </c>
      <c r="H21" s="11">
        <v>0</v>
      </c>
      <c r="I21" s="17">
        <v>3.2333333333333355E-3</v>
      </c>
      <c r="J21" s="11">
        <v>682</v>
      </c>
      <c r="K21" s="11">
        <v>682</v>
      </c>
      <c r="L21" s="11">
        <v>682</v>
      </c>
      <c r="M21" s="11">
        <v>0.61</v>
      </c>
      <c r="N21" s="11">
        <f t="shared" si="1"/>
        <v>682</v>
      </c>
      <c r="O21" s="11">
        <f t="shared" si="2"/>
        <v>682</v>
      </c>
      <c r="P21" s="11">
        <f t="shared" si="3"/>
        <v>682</v>
      </c>
      <c r="Q21" s="11">
        <f t="shared" si="4"/>
        <v>9.7000000000000058E-2</v>
      </c>
    </row>
    <row r="22" spans="1:17" x14ac:dyDescent="0.3">
      <c r="A22" s="11">
        <v>6</v>
      </c>
      <c r="B22" s="11">
        <v>2</v>
      </c>
      <c r="C22" s="11" t="s">
        <v>4</v>
      </c>
      <c r="D22" s="11">
        <v>0.7</v>
      </c>
      <c r="E22" s="11" t="s">
        <v>2</v>
      </c>
      <c r="F22" s="11">
        <v>0</v>
      </c>
      <c r="G22" s="11">
        <v>0</v>
      </c>
      <c r="H22" s="11">
        <v>0</v>
      </c>
      <c r="I22" s="17">
        <v>1.6000000000000007E-3</v>
      </c>
      <c r="J22" s="11">
        <v>1122</v>
      </c>
      <c r="K22" s="11">
        <v>1122</v>
      </c>
      <c r="L22" s="11">
        <v>1122</v>
      </c>
      <c r="M22" s="11">
        <v>6.17</v>
      </c>
      <c r="N22" s="11">
        <f t="shared" si="1"/>
        <v>1122</v>
      </c>
      <c r="O22" s="11">
        <f t="shared" si="2"/>
        <v>1122</v>
      </c>
      <c r="P22" s="11">
        <f t="shared" si="3"/>
        <v>1122</v>
      </c>
      <c r="Q22" s="11">
        <f t="shared" si="4"/>
        <v>4.8000000000000022E-2</v>
      </c>
    </row>
    <row r="23" spans="1:17" x14ac:dyDescent="0.3">
      <c r="A23" s="11">
        <v>6</v>
      </c>
      <c r="B23" s="11">
        <v>2</v>
      </c>
      <c r="C23" s="11" t="s">
        <v>4</v>
      </c>
      <c r="D23" s="11">
        <v>0.7</v>
      </c>
      <c r="E23" s="11" t="s">
        <v>3</v>
      </c>
      <c r="F23" s="11">
        <v>0</v>
      </c>
      <c r="G23" s="11">
        <v>0</v>
      </c>
      <c r="H23" s="11">
        <v>0</v>
      </c>
      <c r="I23" s="17">
        <v>1.4666666666666676E-3</v>
      </c>
      <c r="J23" s="11">
        <v>1098</v>
      </c>
      <c r="K23" s="11">
        <v>1098</v>
      </c>
      <c r="L23" s="11">
        <v>1098</v>
      </c>
      <c r="M23" s="11">
        <v>10.41</v>
      </c>
      <c r="N23" s="11">
        <f t="shared" si="1"/>
        <v>1098</v>
      </c>
      <c r="O23" s="11">
        <f t="shared" si="2"/>
        <v>1098</v>
      </c>
      <c r="P23" s="11">
        <f t="shared" si="3"/>
        <v>1098</v>
      </c>
      <c r="Q23" s="11">
        <f t="shared" si="4"/>
        <v>4.4000000000000025E-2</v>
      </c>
    </row>
    <row r="24" spans="1:17" x14ac:dyDescent="0.3">
      <c r="A24" s="11">
        <v>6</v>
      </c>
      <c r="B24" s="11">
        <v>2</v>
      </c>
      <c r="C24" s="11" t="s">
        <v>4</v>
      </c>
      <c r="D24" s="11">
        <v>0.9</v>
      </c>
      <c r="E24" s="11" t="s">
        <v>2</v>
      </c>
      <c r="F24" s="11">
        <v>0</v>
      </c>
      <c r="G24" s="11">
        <v>0</v>
      </c>
      <c r="H24" s="11">
        <v>0</v>
      </c>
      <c r="I24" s="17">
        <v>4.3333333333333342E-2</v>
      </c>
      <c r="J24" s="11">
        <v>915</v>
      </c>
      <c r="K24" s="11">
        <v>915</v>
      </c>
      <c r="L24" s="11">
        <v>811</v>
      </c>
      <c r="M24" s="11">
        <v>3600</v>
      </c>
      <c r="N24" s="11">
        <f t="shared" si="1"/>
        <v>915</v>
      </c>
      <c r="O24" s="11">
        <f t="shared" si="2"/>
        <v>915</v>
      </c>
      <c r="P24" s="11">
        <f t="shared" si="3"/>
        <v>915</v>
      </c>
      <c r="Q24" s="11">
        <f t="shared" si="4"/>
        <v>1.3000000000000003</v>
      </c>
    </row>
    <row r="25" spans="1:17" x14ac:dyDescent="0.3">
      <c r="A25" s="11">
        <v>6</v>
      </c>
      <c r="B25" s="11">
        <v>2</v>
      </c>
      <c r="C25" s="11" t="s">
        <v>4</v>
      </c>
      <c r="D25" s="11">
        <v>0.9</v>
      </c>
      <c r="E25" s="11" t="s">
        <v>3</v>
      </c>
      <c r="F25" s="11">
        <v>0</v>
      </c>
      <c r="G25" s="11">
        <v>0</v>
      </c>
      <c r="H25" s="11">
        <v>0</v>
      </c>
      <c r="I25" s="17">
        <v>7.5666666666666703E-3</v>
      </c>
      <c r="J25" s="11">
        <v>1027</v>
      </c>
      <c r="K25" s="11">
        <v>1027</v>
      </c>
      <c r="L25" s="11">
        <v>1027</v>
      </c>
      <c r="M25" s="11">
        <v>156.16999999999999</v>
      </c>
      <c r="N25" s="11">
        <f t="shared" si="1"/>
        <v>1027</v>
      </c>
      <c r="O25" s="11">
        <f t="shared" si="2"/>
        <v>1027</v>
      </c>
      <c r="P25" s="11">
        <f t="shared" si="3"/>
        <v>1027</v>
      </c>
      <c r="Q25" s="11">
        <f t="shared" si="4"/>
        <v>0.22700000000000012</v>
      </c>
    </row>
    <row r="26" spans="1:17" x14ac:dyDescent="0.3">
      <c r="A26" s="14">
        <v>6</v>
      </c>
      <c r="B26" s="14">
        <v>2</v>
      </c>
      <c r="C26" s="14" t="s">
        <v>1</v>
      </c>
      <c r="D26" s="14">
        <v>0.4</v>
      </c>
      <c r="E26" s="14" t="s">
        <v>2</v>
      </c>
      <c r="F26" s="14">
        <v>2.083333333333333</v>
      </c>
      <c r="G26" s="14">
        <v>2.083333333333333</v>
      </c>
      <c r="H26" s="14">
        <v>2.0833333333333339</v>
      </c>
      <c r="I26" s="18">
        <v>0.21046666666666666</v>
      </c>
      <c r="J26" s="14">
        <v>432</v>
      </c>
      <c r="K26" s="14">
        <v>441</v>
      </c>
      <c r="L26" s="14">
        <v>441</v>
      </c>
      <c r="M26" s="14">
        <v>6.59</v>
      </c>
      <c r="N26" s="14">
        <f t="shared" si="1"/>
        <v>441</v>
      </c>
      <c r="O26" s="14">
        <f t="shared" si="2"/>
        <v>441</v>
      </c>
      <c r="P26" s="14">
        <f t="shared" si="3"/>
        <v>441</v>
      </c>
      <c r="Q26" s="14">
        <f t="shared" si="4"/>
        <v>6.3140000000000001</v>
      </c>
    </row>
    <row r="27" spans="1:17" x14ac:dyDescent="0.3">
      <c r="A27" s="14">
        <v>6</v>
      </c>
      <c r="B27" s="14">
        <v>2</v>
      </c>
      <c r="C27" s="14" t="s">
        <v>1</v>
      </c>
      <c r="D27" s="14">
        <v>0.4</v>
      </c>
      <c r="E27" s="14" t="s">
        <v>3</v>
      </c>
      <c r="F27" s="14">
        <v>0</v>
      </c>
      <c r="G27" s="14">
        <v>0</v>
      </c>
      <c r="H27" s="14">
        <v>0</v>
      </c>
      <c r="I27" s="18">
        <v>1.0033333333333337E-2</v>
      </c>
      <c r="J27" s="14">
        <v>304</v>
      </c>
      <c r="K27" s="14">
        <v>304</v>
      </c>
      <c r="L27" s="14">
        <v>304</v>
      </c>
      <c r="M27" s="14">
        <v>0.73</v>
      </c>
      <c r="N27" s="14">
        <f t="shared" si="1"/>
        <v>304</v>
      </c>
      <c r="O27" s="14">
        <f t="shared" si="2"/>
        <v>304</v>
      </c>
      <c r="P27" s="14">
        <f t="shared" si="3"/>
        <v>304</v>
      </c>
      <c r="Q27" s="14">
        <f t="shared" si="4"/>
        <v>0.3010000000000001</v>
      </c>
    </row>
    <row r="28" spans="1:17" x14ac:dyDescent="0.3">
      <c r="A28" s="14">
        <v>6</v>
      </c>
      <c r="B28" s="14">
        <v>2</v>
      </c>
      <c r="C28" s="14" t="s">
        <v>1</v>
      </c>
      <c r="D28" s="14">
        <v>0.7</v>
      </c>
      <c r="E28" s="14" t="s">
        <v>2</v>
      </c>
      <c r="F28" s="14">
        <v>1.7391304347826086</v>
      </c>
      <c r="G28" s="14">
        <v>1.7391304347826086</v>
      </c>
      <c r="H28" s="14">
        <v>1.7391304347826091</v>
      </c>
      <c r="I28" s="18">
        <v>0.66216666666666657</v>
      </c>
      <c r="J28" s="14">
        <v>575</v>
      </c>
      <c r="K28" s="14">
        <v>585</v>
      </c>
      <c r="L28" s="14">
        <v>352.31020000000001</v>
      </c>
      <c r="M28" s="14">
        <v>3600</v>
      </c>
      <c r="N28" s="14">
        <f t="shared" si="1"/>
        <v>585</v>
      </c>
      <c r="O28" s="14">
        <f t="shared" si="2"/>
        <v>585</v>
      </c>
      <c r="P28" s="14">
        <f t="shared" si="3"/>
        <v>585</v>
      </c>
      <c r="Q28" s="14">
        <f t="shared" si="4"/>
        <v>19.864999999999998</v>
      </c>
    </row>
    <row r="29" spans="1:17" x14ac:dyDescent="0.3">
      <c r="A29" s="14">
        <v>6</v>
      </c>
      <c r="B29" s="14">
        <v>2</v>
      </c>
      <c r="C29" s="14" t="s">
        <v>1</v>
      </c>
      <c r="D29" s="14">
        <v>0.7</v>
      </c>
      <c r="E29" s="14" t="s">
        <v>3</v>
      </c>
      <c r="F29" s="14">
        <v>0</v>
      </c>
      <c r="G29" s="14">
        <v>0</v>
      </c>
      <c r="H29" s="14">
        <v>0</v>
      </c>
      <c r="I29" s="18">
        <v>3.2933333333333342E-2</v>
      </c>
      <c r="J29" s="14">
        <v>471</v>
      </c>
      <c r="K29" s="14">
        <v>471</v>
      </c>
      <c r="L29" s="14">
        <v>471</v>
      </c>
      <c r="M29" s="14">
        <v>3380.83</v>
      </c>
      <c r="N29" s="14">
        <f t="shared" si="1"/>
        <v>471</v>
      </c>
      <c r="O29" s="14">
        <f t="shared" si="2"/>
        <v>471</v>
      </c>
      <c r="P29" s="14">
        <f t="shared" si="3"/>
        <v>471</v>
      </c>
      <c r="Q29" s="14">
        <f t="shared" si="4"/>
        <v>0.98800000000000021</v>
      </c>
    </row>
    <row r="30" spans="1:17" x14ac:dyDescent="0.3">
      <c r="A30" s="14">
        <v>6</v>
      </c>
      <c r="B30" s="14">
        <v>2</v>
      </c>
      <c r="C30" s="14" t="s">
        <v>1</v>
      </c>
      <c r="D30" s="14">
        <v>0.9</v>
      </c>
      <c r="E30" s="14" t="s">
        <v>2</v>
      </c>
      <c r="F30" s="14">
        <v>1.2658227848101267</v>
      </c>
      <c r="G30" s="14">
        <v>1.2658227848101267</v>
      </c>
      <c r="H30" s="14">
        <v>1.2658227848101264</v>
      </c>
      <c r="I30" s="18">
        <v>1.0676999999999999</v>
      </c>
      <c r="J30" s="14">
        <v>632</v>
      </c>
      <c r="K30" s="14">
        <v>640</v>
      </c>
      <c r="L30" s="14">
        <v>333.87599999999998</v>
      </c>
      <c r="M30" s="14">
        <v>3600</v>
      </c>
      <c r="N30" s="14">
        <f t="shared" si="1"/>
        <v>640</v>
      </c>
      <c r="O30" s="14">
        <f t="shared" si="2"/>
        <v>640</v>
      </c>
      <c r="P30" s="14">
        <f t="shared" si="3"/>
        <v>640</v>
      </c>
      <c r="Q30" s="14">
        <f t="shared" si="4"/>
        <v>32.030999999999999</v>
      </c>
    </row>
    <row r="31" spans="1:17" x14ac:dyDescent="0.3">
      <c r="A31" s="14">
        <v>6</v>
      </c>
      <c r="B31" s="14">
        <v>2</v>
      </c>
      <c r="C31" s="14" t="s">
        <v>1</v>
      </c>
      <c r="D31" s="14">
        <v>0.9</v>
      </c>
      <c r="E31" s="14" t="s">
        <v>3</v>
      </c>
      <c r="F31" s="14">
        <v>1.0189228529839884</v>
      </c>
      <c r="G31" s="14">
        <v>1.8922852983988356</v>
      </c>
      <c r="H31" s="14">
        <v>1.3100436681222714</v>
      </c>
      <c r="I31" s="18">
        <v>1.2543</v>
      </c>
      <c r="J31" s="14">
        <v>687</v>
      </c>
      <c r="K31" s="14">
        <v>694</v>
      </c>
      <c r="L31" s="14">
        <v>331</v>
      </c>
      <c r="M31" s="14">
        <v>3600</v>
      </c>
      <c r="N31" s="14">
        <f t="shared" si="1"/>
        <v>694</v>
      </c>
      <c r="O31" s="14">
        <f t="shared" si="2"/>
        <v>700</v>
      </c>
      <c r="P31" s="14">
        <f t="shared" si="3"/>
        <v>696</v>
      </c>
      <c r="Q31" s="14">
        <f t="shared" si="4"/>
        <v>37.628999999999998</v>
      </c>
    </row>
    <row r="32" spans="1:17" x14ac:dyDescent="0.3">
      <c r="A32" s="14">
        <v>6</v>
      </c>
      <c r="B32" s="14">
        <v>2</v>
      </c>
      <c r="C32" s="14" t="s">
        <v>4</v>
      </c>
      <c r="D32" s="14">
        <v>0.4</v>
      </c>
      <c r="E32" s="14" t="s">
        <v>2</v>
      </c>
      <c r="F32" s="14">
        <v>0</v>
      </c>
      <c r="G32" s="14">
        <v>0</v>
      </c>
      <c r="H32" s="14">
        <v>0</v>
      </c>
      <c r="I32" s="18">
        <v>1.0000000000000005E-3</v>
      </c>
      <c r="J32" s="14">
        <v>784</v>
      </c>
      <c r="K32" s="14">
        <v>784</v>
      </c>
      <c r="L32" s="14">
        <v>784</v>
      </c>
      <c r="M32" s="14">
        <v>0.34</v>
      </c>
      <c r="N32" s="14">
        <f t="shared" si="1"/>
        <v>784</v>
      </c>
      <c r="O32" s="14">
        <f t="shared" si="2"/>
        <v>784</v>
      </c>
      <c r="P32" s="14">
        <f t="shared" si="3"/>
        <v>784</v>
      </c>
      <c r="Q32" s="14">
        <f t="shared" si="4"/>
        <v>3.0000000000000013E-2</v>
      </c>
    </row>
    <row r="33" spans="1:17" x14ac:dyDescent="0.3">
      <c r="A33" s="14">
        <v>6</v>
      </c>
      <c r="B33" s="14">
        <v>2</v>
      </c>
      <c r="C33" s="14" t="s">
        <v>4</v>
      </c>
      <c r="D33" s="14">
        <v>0.4</v>
      </c>
      <c r="E33" s="14" t="s">
        <v>3</v>
      </c>
      <c r="F33" s="14">
        <v>0</v>
      </c>
      <c r="G33" s="14">
        <v>0</v>
      </c>
      <c r="H33" s="14">
        <v>0</v>
      </c>
      <c r="I33" s="18">
        <v>1.6000000000000009E-3</v>
      </c>
      <c r="J33" s="14">
        <v>952</v>
      </c>
      <c r="K33" s="14">
        <v>952</v>
      </c>
      <c r="L33" s="14">
        <v>952</v>
      </c>
      <c r="M33" s="14">
        <v>2.2000000000000002</v>
      </c>
      <c r="N33" s="14">
        <f t="shared" si="1"/>
        <v>952</v>
      </c>
      <c r="O33" s="14">
        <f t="shared" si="2"/>
        <v>952</v>
      </c>
      <c r="P33" s="14">
        <f t="shared" si="3"/>
        <v>952</v>
      </c>
      <c r="Q33" s="14">
        <f t="shared" si="4"/>
        <v>4.8000000000000029E-2</v>
      </c>
    </row>
    <row r="34" spans="1:17" x14ac:dyDescent="0.3">
      <c r="A34" s="14">
        <v>6</v>
      </c>
      <c r="B34" s="14">
        <v>2</v>
      </c>
      <c r="C34" s="14" t="s">
        <v>4</v>
      </c>
      <c r="D34" s="14">
        <v>0.7</v>
      </c>
      <c r="E34" s="14" t="s">
        <v>2</v>
      </c>
      <c r="F34" s="14">
        <v>0</v>
      </c>
      <c r="G34" s="14">
        <v>0</v>
      </c>
      <c r="H34" s="14">
        <v>0</v>
      </c>
      <c r="I34" s="18">
        <v>1.800000000000001E-3</v>
      </c>
      <c r="J34" s="14">
        <v>1171</v>
      </c>
      <c r="K34" s="14">
        <v>1171</v>
      </c>
      <c r="L34" s="14">
        <v>1171</v>
      </c>
      <c r="M34" s="14">
        <v>6.55</v>
      </c>
      <c r="N34" s="14">
        <f t="shared" si="1"/>
        <v>1171</v>
      </c>
      <c r="O34" s="14">
        <f t="shared" si="2"/>
        <v>1171</v>
      </c>
      <c r="P34" s="14">
        <f t="shared" si="3"/>
        <v>1171</v>
      </c>
      <c r="Q34" s="14">
        <f t="shared" si="4"/>
        <v>5.4000000000000034E-2</v>
      </c>
    </row>
    <row r="35" spans="1:17" x14ac:dyDescent="0.3">
      <c r="A35" s="14">
        <v>6</v>
      </c>
      <c r="B35" s="14">
        <v>2</v>
      </c>
      <c r="C35" s="14" t="s">
        <v>4</v>
      </c>
      <c r="D35" s="14">
        <v>0.7</v>
      </c>
      <c r="E35" s="14" t="s">
        <v>3</v>
      </c>
      <c r="F35" s="14">
        <v>0</v>
      </c>
      <c r="G35" s="14">
        <v>0</v>
      </c>
      <c r="H35" s="14">
        <v>0</v>
      </c>
      <c r="I35" s="18">
        <v>2.5333333333333345E-3</v>
      </c>
      <c r="J35" s="14">
        <v>826</v>
      </c>
      <c r="K35" s="14">
        <v>826</v>
      </c>
      <c r="L35" s="14">
        <v>826</v>
      </c>
      <c r="M35" s="14">
        <v>32.979999999999997</v>
      </c>
      <c r="N35" s="14">
        <f t="shared" si="1"/>
        <v>826</v>
      </c>
      <c r="O35" s="14">
        <f t="shared" si="2"/>
        <v>826</v>
      </c>
      <c r="P35" s="14">
        <f t="shared" si="3"/>
        <v>826</v>
      </c>
      <c r="Q35" s="14">
        <f t="shared" si="4"/>
        <v>7.600000000000004E-2</v>
      </c>
    </row>
    <row r="36" spans="1:17" x14ac:dyDescent="0.3">
      <c r="A36" s="14">
        <v>6</v>
      </c>
      <c r="B36" s="14">
        <v>2</v>
      </c>
      <c r="C36" s="14" t="s">
        <v>4</v>
      </c>
      <c r="D36" s="14">
        <v>0.9</v>
      </c>
      <c r="E36" s="14" t="s">
        <v>2</v>
      </c>
      <c r="F36" s="14">
        <v>0</v>
      </c>
      <c r="G36" s="14">
        <v>0</v>
      </c>
      <c r="H36" s="14">
        <v>0</v>
      </c>
      <c r="I36" s="18">
        <v>9.7633333333333322E-2</v>
      </c>
      <c r="J36" s="14">
        <v>1061</v>
      </c>
      <c r="K36" s="14">
        <v>1061</v>
      </c>
      <c r="L36" s="14">
        <v>676.98239999999998</v>
      </c>
      <c r="M36" s="14">
        <v>3600</v>
      </c>
      <c r="N36" s="14">
        <f t="shared" si="1"/>
        <v>1061</v>
      </c>
      <c r="O36" s="14">
        <f t="shared" si="2"/>
        <v>1061</v>
      </c>
      <c r="P36" s="14">
        <f t="shared" si="3"/>
        <v>1061</v>
      </c>
      <c r="Q36" s="14">
        <f t="shared" si="4"/>
        <v>2.9289999999999998</v>
      </c>
    </row>
    <row r="37" spans="1:17" x14ac:dyDescent="0.3">
      <c r="A37" s="14">
        <v>6</v>
      </c>
      <c r="B37" s="14">
        <v>2</v>
      </c>
      <c r="C37" s="14" t="s">
        <v>4</v>
      </c>
      <c r="D37" s="14">
        <v>0.9</v>
      </c>
      <c r="E37" s="14" t="s">
        <v>3</v>
      </c>
      <c r="F37" s="14">
        <v>0</v>
      </c>
      <c r="G37" s="14">
        <v>0</v>
      </c>
      <c r="H37" s="14">
        <v>0</v>
      </c>
      <c r="I37" s="18">
        <v>6.333333333333334E-3</v>
      </c>
      <c r="J37" s="14">
        <v>1256</v>
      </c>
      <c r="K37" s="14">
        <v>1256</v>
      </c>
      <c r="L37" s="14">
        <v>743</v>
      </c>
      <c r="M37" s="14">
        <v>3600</v>
      </c>
      <c r="N37" s="14">
        <f t="shared" si="1"/>
        <v>1256</v>
      </c>
      <c r="O37" s="14">
        <f t="shared" si="2"/>
        <v>1256</v>
      </c>
      <c r="P37" s="14">
        <f t="shared" si="3"/>
        <v>1256</v>
      </c>
      <c r="Q37" s="14">
        <f t="shared" si="4"/>
        <v>0.19000000000000003</v>
      </c>
    </row>
    <row r="38" spans="1:17" x14ac:dyDescent="0.3">
      <c r="A38" s="12">
        <v>6</v>
      </c>
      <c r="B38" s="12">
        <v>2</v>
      </c>
      <c r="C38" s="12" t="s">
        <v>1</v>
      </c>
      <c r="D38" s="12">
        <v>0.4</v>
      </c>
      <c r="E38" s="12" t="s">
        <v>2</v>
      </c>
      <c r="F38" s="12">
        <v>1.3953488372093024</v>
      </c>
      <c r="G38" s="12">
        <v>1.3953488372093024</v>
      </c>
      <c r="H38" s="12">
        <v>1.3953488372093026</v>
      </c>
      <c r="I38" s="19">
        <v>2.5366666666666683E-2</v>
      </c>
      <c r="J38" s="12">
        <v>215</v>
      </c>
      <c r="K38" s="12">
        <v>218</v>
      </c>
      <c r="L38" s="12">
        <v>218</v>
      </c>
      <c r="M38" s="12">
        <v>0.09</v>
      </c>
      <c r="N38" s="12">
        <f t="shared" si="1"/>
        <v>218</v>
      </c>
      <c r="O38" s="12">
        <f t="shared" si="2"/>
        <v>218</v>
      </c>
      <c r="P38" s="12">
        <f t="shared" si="3"/>
        <v>218</v>
      </c>
      <c r="Q38" s="12">
        <f t="shared" si="4"/>
        <v>0.76100000000000045</v>
      </c>
    </row>
    <row r="39" spans="1:17" x14ac:dyDescent="0.3">
      <c r="A39" s="12">
        <v>6</v>
      </c>
      <c r="B39" s="12">
        <v>2</v>
      </c>
      <c r="C39" s="12" t="s">
        <v>1</v>
      </c>
      <c r="D39" s="12">
        <v>0.4</v>
      </c>
      <c r="E39" s="12" t="s">
        <v>3</v>
      </c>
      <c r="F39" s="12">
        <v>0.8875739644970414</v>
      </c>
      <c r="G39" s="12">
        <v>0.8875739644970414</v>
      </c>
      <c r="H39" s="12">
        <v>0.88757396449704096</v>
      </c>
      <c r="I39" s="19">
        <v>0.12796666666666667</v>
      </c>
      <c r="J39" s="12">
        <v>338</v>
      </c>
      <c r="K39" s="12">
        <v>341</v>
      </c>
      <c r="L39" s="12">
        <v>341</v>
      </c>
      <c r="M39" s="12">
        <v>1.41</v>
      </c>
      <c r="N39" s="12">
        <f t="shared" si="1"/>
        <v>341</v>
      </c>
      <c r="O39" s="12">
        <f t="shared" si="2"/>
        <v>341</v>
      </c>
      <c r="P39" s="12">
        <f t="shared" si="3"/>
        <v>341</v>
      </c>
      <c r="Q39" s="12">
        <f t="shared" si="4"/>
        <v>3.8390000000000004</v>
      </c>
    </row>
    <row r="40" spans="1:17" x14ac:dyDescent="0.3">
      <c r="A40" s="12">
        <v>6</v>
      </c>
      <c r="B40" s="12">
        <v>2</v>
      </c>
      <c r="C40" s="12" t="s">
        <v>1</v>
      </c>
      <c r="D40" s="12">
        <v>0.7</v>
      </c>
      <c r="E40" s="12" t="s">
        <v>2</v>
      </c>
      <c r="F40" s="12">
        <v>1.7543859649122806</v>
      </c>
      <c r="G40" s="12">
        <v>1.7543859649122806</v>
      </c>
      <c r="H40" s="12">
        <v>1.7543859649122806</v>
      </c>
      <c r="I40" s="19">
        <v>0.85306666666666675</v>
      </c>
      <c r="J40" s="12">
        <v>456</v>
      </c>
      <c r="K40" s="12">
        <v>464</v>
      </c>
      <c r="L40" s="12">
        <v>464</v>
      </c>
      <c r="M40" s="12">
        <v>45.92</v>
      </c>
      <c r="N40" s="12">
        <f t="shared" si="1"/>
        <v>464</v>
      </c>
      <c r="O40" s="12">
        <f t="shared" si="2"/>
        <v>464</v>
      </c>
      <c r="P40" s="12">
        <f t="shared" si="3"/>
        <v>464</v>
      </c>
      <c r="Q40" s="12">
        <f t="shared" si="4"/>
        <v>25.592000000000002</v>
      </c>
    </row>
    <row r="41" spans="1:17" x14ac:dyDescent="0.3">
      <c r="A41" s="12">
        <v>6</v>
      </c>
      <c r="B41" s="12">
        <v>2</v>
      </c>
      <c r="C41" s="12" t="s">
        <v>1</v>
      </c>
      <c r="D41" s="12">
        <v>0.7</v>
      </c>
      <c r="E41" s="12" t="s">
        <v>3</v>
      </c>
      <c r="F41" s="12">
        <v>0</v>
      </c>
      <c r="G41" s="12">
        <v>1.4732965009208103</v>
      </c>
      <c r="H41" s="12">
        <v>0.39287906691221602</v>
      </c>
      <c r="I41" s="19">
        <v>0.75593333333333335</v>
      </c>
      <c r="J41" s="12">
        <v>543</v>
      </c>
      <c r="K41" s="12">
        <v>543</v>
      </c>
      <c r="L41" s="12">
        <v>509</v>
      </c>
      <c r="M41" s="12">
        <v>3600</v>
      </c>
      <c r="N41" s="12">
        <f t="shared" si="1"/>
        <v>543</v>
      </c>
      <c r="O41" s="12">
        <f t="shared" si="2"/>
        <v>551</v>
      </c>
      <c r="P41" s="12">
        <f t="shared" si="3"/>
        <v>545.13333333333333</v>
      </c>
      <c r="Q41" s="12">
        <f t="shared" si="4"/>
        <v>22.678000000000001</v>
      </c>
    </row>
    <row r="42" spans="1:17" x14ac:dyDescent="0.3">
      <c r="A42" s="12">
        <v>6</v>
      </c>
      <c r="B42" s="12">
        <v>2</v>
      </c>
      <c r="C42" s="12" t="s">
        <v>1</v>
      </c>
      <c r="D42" s="12">
        <v>0.9</v>
      </c>
      <c r="E42" s="12" t="s">
        <v>2</v>
      </c>
      <c r="F42" s="12">
        <v>2.2865853658536586</v>
      </c>
      <c r="G42" s="12">
        <v>2.2865853658536586</v>
      </c>
      <c r="H42" s="12">
        <v>2.286585365853659</v>
      </c>
      <c r="I42" s="19">
        <v>0.97576666666666667</v>
      </c>
      <c r="J42" s="12">
        <v>656</v>
      </c>
      <c r="K42" s="12">
        <v>671</v>
      </c>
      <c r="L42" s="12">
        <v>339</v>
      </c>
      <c r="M42" s="12">
        <v>3600</v>
      </c>
      <c r="N42" s="12">
        <f t="shared" si="1"/>
        <v>671</v>
      </c>
      <c r="O42" s="12">
        <f t="shared" si="2"/>
        <v>671</v>
      </c>
      <c r="P42" s="12">
        <f t="shared" si="3"/>
        <v>671</v>
      </c>
      <c r="Q42" s="12">
        <f t="shared" si="4"/>
        <v>29.273</v>
      </c>
    </row>
    <row r="43" spans="1:17" x14ac:dyDescent="0.3">
      <c r="A43" s="12">
        <v>6</v>
      </c>
      <c r="B43" s="12">
        <v>2</v>
      </c>
      <c r="C43" s="12" t="s">
        <v>1</v>
      </c>
      <c r="D43" s="12">
        <v>0.9</v>
      </c>
      <c r="E43" s="12" t="s">
        <v>3</v>
      </c>
      <c r="F43" s="12">
        <v>0</v>
      </c>
      <c r="G43" s="12">
        <v>0</v>
      </c>
      <c r="H43" s="12">
        <v>0</v>
      </c>
      <c r="I43" s="19">
        <v>3.4666666666666678E-3</v>
      </c>
      <c r="J43" s="12">
        <v>607</v>
      </c>
      <c r="K43" s="12">
        <v>607</v>
      </c>
      <c r="L43" s="12">
        <v>502</v>
      </c>
      <c r="M43" s="12">
        <v>3600</v>
      </c>
      <c r="N43" s="12">
        <f t="shared" si="1"/>
        <v>607</v>
      </c>
      <c r="O43" s="12">
        <f t="shared" si="2"/>
        <v>607</v>
      </c>
      <c r="P43" s="12">
        <f t="shared" si="3"/>
        <v>607</v>
      </c>
      <c r="Q43" s="12">
        <f t="shared" si="4"/>
        <v>0.10400000000000004</v>
      </c>
    </row>
    <row r="44" spans="1:17" x14ac:dyDescent="0.3">
      <c r="A44" s="12">
        <v>6</v>
      </c>
      <c r="B44" s="12">
        <v>2</v>
      </c>
      <c r="C44" s="12" t="s">
        <v>4</v>
      </c>
      <c r="D44" s="12">
        <v>0.4</v>
      </c>
      <c r="E44" s="12" t="s">
        <v>2</v>
      </c>
      <c r="F44" s="12">
        <v>0</v>
      </c>
      <c r="G44" s="12">
        <v>0</v>
      </c>
      <c r="H44" s="12">
        <v>0</v>
      </c>
      <c r="I44" s="19">
        <v>1.0000000000000005E-3</v>
      </c>
      <c r="J44" s="12">
        <v>664</v>
      </c>
      <c r="K44" s="12">
        <v>664</v>
      </c>
      <c r="L44" s="12">
        <v>664</v>
      </c>
      <c r="M44" s="12">
        <v>0.5</v>
      </c>
      <c r="N44" s="12">
        <f t="shared" si="1"/>
        <v>664</v>
      </c>
      <c r="O44" s="12">
        <f t="shared" si="2"/>
        <v>664</v>
      </c>
      <c r="P44" s="12">
        <f t="shared" si="3"/>
        <v>664</v>
      </c>
      <c r="Q44" s="12">
        <f t="shared" si="4"/>
        <v>3.0000000000000013E-2</v>
      </c>
    </row>
    <row r="45" spans="1:17" x14ac:dyDescent="0.3">
      <c r="A45" s="12">
        <v>6</v>
      </c>
      <c r="B45" s="12">
        <v>2</v>
      </c>
      <c r="C45" s="12" t="s">
        <v>4</v>
      </c>
      <c r="D45" s="12">
        <v>0.4</v>
      </c>
      <c r="E45" s="12" t="s">
        <v>3</v>
      </c>
      <c r="F45" s="12">
        <v>0</v>
      </c>
      <c r="G45" s="12">
        <v>0</v>
      </c>
      <c r="H45" s="12">
        <v>0</v>
      </c>
      <c r="I45" s="19">
        <v>2.7666666666666681E-3</v>
      </c>
      <c r="J45" s="12">
        <v>740</v>
      </c>
      <c r="K45" s="12">
        <v>740</v>
      </c>
      <c r="L45" s="12">
        <v>740</v>
      </c>
      <c r="M45" s="12">
        <v>2.48</v>
      </c>
      <c r="N45" s="12">
        <f t="shared" si="1"/>
        <v>740</v>
      </c>
      <c r="O45" s="12">
        <f t="shared" si="2"/>
        <v>740</v>
      </c>
      <c r="P45" s="12">
        <f t="shared" si="3"/>
        <v>740</v>
      </c>
      <c r="Q45" s="12">
        <f t="shared" si="4"/>
        <v>8.3000000000000046E-2</v>
      </c>
    </row>
    <row r="46" spans="1:17" x14ac:dyDescent="0.3">
      <c r="A46" s="12">
        <v>6</v>
      </c>
      <c r="B46" s="12">
        <v>2</v>
      </c>
      <c r="C46" s="12" t="s">
        <v>4</v>
      </c>
      <c r="D46" s="12">
        <v>0.7</v>
      </c>
      <c r="E46" s="12" t="s">
        <v>2</v>
      </c>
      <c r="F46" s="12">
        <v>0</v>
      </c>
      <c r="G46" s="12">
        <v>0</v>
      </c>
      <c r="H46" s="12">
        <v>0</v>
      </c>
      <c r="I46" s="19">
        <v>4.2666666666666669E-3</v>
      </c>
      <c r="J46" s="12">
        <v>1154</v>
      </c>
      <c r="K46" s="12">
        <v>1154</v>
      </c>
      <c r="L46" s="12">
        <v>1154</v>
      </c>
      <c r="M46" s="12">
        <v>7.8</v>
      </c>
      <c r="N46" s="12">
        <f t="shared" si="1"/>
        <v>1154</v>
      </c>
      <c r="O46" s="12">
        <f t="shared" si="2"/>
        <v>1154</v>
      </c>
      <c r="P46" s="12">
        <f t="shared" si="3"/>
        <v>1154</v>
      </c>
      <c r="Q46" s="12">
        <f t="shared" si="4"/>
        <v>0.128</v>
      </c>
    </row>
    <row r="47" spans="1:17" x14ac:dyDescent="0.3">
      <c r="A47" s="12">
        <v>6</v>
      </c>
      <c r="B47" s="12">
        <v>2</v>
      </c>
      <c r="C47" s="12" t="s">
        <v>4</v>
      </c>
      <c r="D47" s="12">
        <v>0.7</v>
      </c>
      <c r="E47" s="12" t="s">
        <v>3</v>
      </c>
      <c r="F47" s="12">
        <v>0</v>
      </c>
      <c r="G47" s="12">
        <v>0</v>
      </c>
      <c r="H47" s="12">
        <v>0</v>
      </c>
      <c r="I47" s="19">
        <v>1.0033333333333339E-2</v>
      </c>
      <c r="J47" s="12">
        <v>1027</v>
      </c>
      <c r="K47" s="12">
        <v>1027</v>
      </c>
      <c r="L47" s="12">
        <v>1027</v>
      </c>
      <c r="M47" s="12">
        <v>27.67</v>
      </c>
      <c r="N47" s="12">
        <f t="shared" si="1"/>
        <v>1027</v>
      </c>
      <c r="O47" s="12">
        <f t="shared" si="2"/>
        <v>1027</v>
      </c>
      <c r="P47" s="12">
        <f t="shared" si="3"/>
        <v>1027</v>
      </c>
      <c r="Q47" s="12">
        <f t="shared" si="4"/>
        <v>0.30100000000000016</v>
      </c>
    </row>
    <row r="48" spans="1:17" x14ac:dyDescent="0.3">
      <c r="A48" s="12">
        <v>6</v>
      </c>
      <c r="B48" s="12">
        <v>2</v>
      </c>
      <c r="C48" s="12" t="s">
        <v>4</v>
      </c>
      <c r="D48" s="12">
        <v>0.9</v>
      </c>
      <c r="E48" s="12" t="s">
        <v>2</v>
      </c>
      <c r="F48" s="12">
        <v>0</v>
      </c>
      <c r="G48" s="12">
        <v>0</v>
      </c>
      <c r="H48" s="12">
        <v>0</v>
      </c>
      <c r="I48" s="19">
        <v>8.2333333333333338E-3</v>
      </c>
      <c r="J48" s="12">
        <v>1242</v>
      </c>
      <c r="K48" s="12">
        <v>1242</v>
      </c>
      <c r="L48" s="12">
        <v>1013</v>
      </c>
      <c r="M48" s="12">
        <v>3600</v>
      </c>
      <c r="N48" s="12">
        <f t="shared" si="1"/>
        <v>1242</v>
      </c>
      <c r="O48" s="12">
        <f t="shared" si="2"/>
        <v>1242</v>
      </c>
      <c r="P48" s="12">
        <f t="shared" si="3"/>
        <v>1242</v>
      </c>
      <c r="Q48" s="12">
        <f t="shared" si="4"/>
        <v>0.24700000000000003</v>
      </c>
    </row>
    <row r="49" spans="1:17" x14ac:dyDescent="0.3">
      <c r="A49" s="12">
        <v>6</v>
      </c>
      <c r="B49" s="12">
        <v>2</v>
      </c>
      <c r="C49" s="12" t="s">
        <v>4</v>
      </c>
      <c r="D49" s="12">
        <v>0.9</v>
      </c>
      <c r="E49" s="12" t="s">
        <v>3</v>
      </c>
      <c r="F49" s="12">
        <v>0</v>
      </c>
      <c r="G49" s="12">
        <v>0</v>
      </c>
      <c r="H49" s="12">
        <v>0</v>
      </c>
      <c r="I49" s="19">
        <v>4.4666666666666683E-3</v>
      </c>
      <c r="J49" s="12">
        <v>927</v>
      </c>
      <c r="K49" s="12">
        <v>927</v>
      </c>
      <c r="L49" s="12">
        <v>927</v>
      </c>
      <c r="M49" s="12">
        <v>23.11</v>
      </c>
      <c r="N49" s="12">
        <f t="shared" si="1"/>
        <v>927</v>
      </c>
      <c r="O49" s="12">
        <f t="shared" si="2"/>
        <v>927</v>
      </c>
      <c r="P49" s="12">
        <f t="shared" si="3"/>
        <v>927</v>
      </c>
      <c r="Q49" s="12">
        <f t="shared" si="4"/>
        <v>0.13400000000000004</v>
      </c>
    </row>
    <row r="50" spans="1:17" x14ac:dyDescent="0.3">
      <c r="A50" s="13">
        <v>6</v>
      </c>
      <c r="B50" s="13">
        <v>2</v>
      </c>
      <c r="C50" s="13" t="s">
        <v>1</v>
      </c>
      <c r="D50" s="13">
        <v>0.4</v>
      </c>
      <c r="E50" s="13" t="s">
        <v>2</v>
      </c>
      <c r="F50" s="13">
        <v>0</v>
      </c>
      <c r="G50" s="13">
        <v>0</v>
      </c>
      <c r="H50" s="13">
        <v>0</v>
      </c>
      <c r="I50" s="20">
        <v>7.6666666666666691E-4</v>
      </c>
      <c r="J50" s="13">
        <v>289</v>
      </c>
      <c r="K50" s="13">
        <v>289</v>
      </c>
      <c r="L50" s="13">
        <v>289</v>
      </c>
      <c r="M50" s="13">
        <v>2.11</v>
      </c>
      <c r="N50" s="13">
        <f t="shared" si="1"/>
        <v>289</v>
      </c>
      <c r="O50" s="13">
        <f t="shared" si="2"/>
        <v>289</v>
      </c>
      <c r="P50" s="13">
        <f t="shared" si="3"/>
        <v>289</v>
      </c>
      <c r="Q50" s="13">
        <f t="shared" si="4"/>
        <v>2.3000000000000007E-2</v>
      </c>
    </row>
    <row r="51" spans="1:17" x14ac:dyDescent="0.3">
      <c r="A51" s="13">
        <v>6</v>
      </c>
      <c r="B51" s="13">
        <v>2</v>
      </c>
      <c r="C51" s="13" t="s">
        <v>1</v>
      </c>
      <c r="D51" s="13">
        <v>0.4</v>
      </c>
      <c r="E51" s="13" t="s">
        <v>3</v>
      </c>
      <c r="F51" s="13">
        <v>5.1428571428571423</v>
      </c>
      <c r="G51" s="13">
        <v>5.1428571428571423</v>
      </c>
      <c r="H51" s="13">
        <v>5.1428571428571397</v>
      </c>
      <c r="I51" s="20">
        <v>0.51053333333333328</v>
      </c>
      <c r="J51" s="13">
        <v>350</v>
      </c>
      <c r="K51" s="13">
        <v>368</v>
      </c>
      <c r="L51" s="13">
        <v>368</v>
      </c>
      <c r="M51" s="13">
        <v>29.96</v>
      </c>
      <c r="N51" s="13">
        <f t="shared" si="1"/>
        <v>368</v>
      </c>
      <c r="O51" s="13">
        <f t="shared" si="2"/>
        <v>368</v>
      </c>
      <c r="P51" s="13">
        <f t="shared" si="3"/>
        <v>368</v>
      </c>
      <c r="Q51" s="13">
        <f t="shared" si="4"/>
        <v>15.315999999999999</v>
      </c>
    </row>
    <row r="52" spans="1:17" x14ac:dyDescent="0.3">
      <c r="A52" s="13">
        <v>6</v>
      </c>
      <c r="B52" s="13">
        <v>2</v>
      </c>
      <c r="C52" s="13" t="s">
        <v>1</v>
      </c>
      <c r="D52" s="13">
        <v>0.7</v>
      </c>
      <c r="E52" s="13" t="s">
        <v>2</v>
      </c>
      <c r="F52" s="13">
        <v>0</v>
      </c>
      <c r="G52" s="13">
        <v>0</v>
      </c>
      <c r="H52" s="13">
        <v>0</v>
      </c>
      <c r="I52" s="20">
        <v>2.8466666666666675E-2</v>
      </c>
      <c r="J52" s="13">
        <v>485</v>
      </c>
      <c r="K52" s="13">
        <v>485</v>
      </c>
      <c r="L52" s="13">
        <v>485</v>
      </c>
      <c r="M52" s="13">
        <v>15.92</v>
      </c>
      <c r="N52" s="13">
        <f t="shared" si="1"/>
        <v>485</v>
      </c>
      <c r="O52" s="13">
        <f t="shared" si="2"/>
        <v>485</v>
      </c>
      <c r="P52" s="13">
        <f t="shared" si="3"/>
        <v>485</v>
      </c>
      <c r="Q52" s="13">
        <f t="shared" si="4"/>
        <v>0.8540000000000002</v>
      </c>
    </row>
    <row r="53" spans="1:17" x14ac:dyDescent="0.3">
      <c r="A53" s="13">
        <v>6</v>
      </c>
      <c r="B53" s="13">
        <v>2</v>
      </c>
      <c r="C53" s="13" t="s">
        <v>1</v>
      </c>
      <c r="D53" s="13">
        <v>0.7</v>
      </c>
      <c r="E53" s="13" t="s">
        <v>3</v>
      </c>
      <c r="F53" s="13">
        <v>3.1963470319634704</v>
      </c>
      <c r="G53" s="13">
        <v>5.93607305936073</v>
      </c>
      <c r="H53" s="13">
        <v>4.3226788432267877</v>
      </c>
      <c r="I53" s="20">
        <v>0.78433333333333333</v>
      </c>
      <c r="J53" s="13">
        <v>438</v>
      </c>
      <c r="K53" s="13">
        <v>438</v>
      </c>
      <c r="L53" s="13">
        <v>438</v>
      </c>
      <c r="M53" s="13">
        <v>153.63</v>
      </c>
      <c r="N53" s="13">
        <f t="shared" si="1"/>
        <v>452</v>
      </c>
      <c r="O53" s="13">
        <f t="shared" si="2"/>
        <v>464</v>
      </c>
      <c r="P53" s="13">
        <f t="shared" si="3"/>
        <v>456.93333333333334</v>
      </c>
      <c r="Q53" s="13">
        <f t="shared" si="4"/>
        <v>23.53</v>
      </c>
    </row>
    <row r="54" spans="1:17" x14ac:dyDescent="0.3">
      <c r="A54" s="13">
        <v>6</v>
      </c>
      <c r="B54" s="13">
        <v>2</v>
      </c>
      <c r="C54" s="13" t="s">
        <v>1</v>
      </c>
      <c r="D54" s="13">
        <v>0.9</v>
      </c>
      <c r="E54" s="13" t="s">
        <v>2</v>
      </c>
      <c r="F54" s="13">
        <v>0</v>
      </c>
      <c r="G54" s="13">
        <v>0.14792899408284024</v>
      </c>
      <c r="H54" s="13">
        <v>8.8757396449704165E-2</v>
      </c>
      <c r="I54" s="20">
        <v>1.2096000000000002</v>
      </c>
      <c r="J54" s="13">
        <v>676</v>
      </c>
      <c r="K54" s="13">
        <v>679</v>
      </c>
      <c r="L54" s="13">
        <v>399</v>
      </c>
      <c r="M54" s="13">
        <v>3600</v>
      </c>
      <c r="N54" s="13">
        <f t="shared" si="1"/>
        <v>676</v>
      </c>
      <c r="O54" s="13">
        <f t="shared" si="2"/>
        <v>677</v>
      </c>
      <c r="P54" s="13">
        <f t="shared" si="3"/>
        <v>676.6</v>
      </c>
      <c r="Q54" s="13">
        <f t="shared" si="4"/>
        <v>36.288000000000004</v>
      </c>
    </row>
    <row r="55" spans="1:17" x14ac:dyDescent="0.3">
      <c r="A55" s="13">
        <v>6</v>
      </c>
      <c r="B55" s="13">
        <v>2</v>
      </c>
      <c r="C55" s="13" t="s">
        <v>1</v>
      </c>
      <c r="D55" s="13">
        <v>0.9</v>
      </c>
      <c r="E55" s="13" t="s">
        <v>3</v>
      </c>
      <c r="F55" s="13">
        <v>2.1812080536912752</v>
      </c>
      <c r="G55" s="13">
        <v>5.5369127516778525</v>
      </c>
      <c r="H55" s="13">
        <v>4.1778523489932882</v>
      </c>
      <c r="I55" s="20">
        <v>1.6392333333333335</v>
      </c>
      <c r="J55" s="13">
        <v>596</v>
      </c>
      <c r="K55" s="13">
        <v>607</v>
      </c>
      <c r="L55" s="13">
        <v>303</v>
      </c>
      <c r="M55" s="13">
        <v>3600</v>
      </c>
      <c r="N55" s="13">
        <f t="shared" si="1"/>
        <v>609</v>
      </c>
      <c r="O55" s="13">
        <f t="shared" si="2"/>
        <v>629</v>
      </c>
      <c r="P55" s="13">
        <f t="shared" si="3"/>
        <v>620.9</v>
      </c>
      <c r="Q55" s="13">
        <f t="shared" si="4"/>
        <v>49.177000000000007</v>
      </c>
    </row>
    <row r="56" spans="1:17" x14ac:dyDescent="0.3">
      <c r="A56" s="13">
        <v>6</v>
      </c>
      <c r="B56" s="13">
        <v>2</v>
      </c>
      <c r="C56" s="13" t="s">
        <v>4</v>
      </c>
      <c r="D56" s="13">
        <v>0.4</v>
      </c>
      <c r="E56" s="13" t="s">
        <v>2</v>
      </c>
      <c r="F56" s="13">
        <v>0</v>
      </c>
      <c r="G56" s="13">
        <v>0</v>
      </c>
      <c r="H56" s="13">
        <v>0</v>
      </c>
      <c r="I56" s="20">
        <v>3.9666666666666678E-3</v>
      </c>
      <c r="J56" s="13">
        <v>810</v>
      </c>
      <c r="K56" s="13">
        <v>810</v>
      </c>
      <c r="L56" s="13">
        <v>810</v>
      </c>
      <c r="M56" s="13">
        <v>1.88</v>
      </c>
      <c r="N56" s="13">
        <f t="shared" si="1"/>
        <v>810</v>
      </c>
      <c r="O56" s="13">
        <f t="shared" si="2"/>
        <v>810</v>
      </c>
      <c r="P56" s="13">
        <f t="shared" si="3"/>
        <v>810</v>
      </c>
      <c r="Q56" s="13">
        <f t="shared" si="4"/>
        <v>0.11900000000000004</v>
      </c>
    </row>
    <row r="57" spans="1:17" x14ac:dyDescent="0.3">
      <c r="A57" s="13">
        <v>6</v>
      </c>
      <c r="B57" s="13">
        <v>2</v>
      </c>
      <c r="C57" s="13" t="s">
        <v>4</v>
      </c>
      <c r="D57" s="13">
        <v>0.4</v>
      </c>
      <c r="E57" s="13" t="s">
        <v>3</v>
      </c>
      <c r="F57" s="13">
        <v>0</v>
      </c>
      <c r="G57" s="13">
        <v>0</v>
      </c>
      <c r="H57" s="13">
        <v>0</v>
      </c>
      <c r="I57" s="20">
        <v>1.5000000000000007E-3</v>
      </c>
      <c r="J57" s="13">
        <v>862</v>
      </c>
      <c r="K57" s="13">
        <v>862</v>
      </c>
      <c r="L57" s="13">
        <v>862</v>
      </c>
      <c r="M57" s="13">
        <v>0.66</v>
      </c>
      <c r="N57" s="13">
        <f t="shared" si="1"/>
        <v>862</v>
      </c>
      <c r="O57" s="13">
        <f t="shared" si="2"/>
        <v>862</v>
      </c>
      <c r="P57" s="13">
        <f t="shared" si="3"/>
        <v>862</v>
      </c>
      <c r="Q57" s="13">
        <f t="shared" si="4"/>
        <v>4.5000000000000019E-2</v>
      </c>
    </row>
    <row r="58" spans="1:17" x14ac:dyDescent="0.3">
      <c r="A58" s="13">
        <v>6</v>
      </c>
      <c r="B58" s="13">
        <v>2</v>
      </c>
      <c r="C58" s="13" t="s">
        <v>4</v>
      </c>
      <c r="D58" s="13">
        <v>0.7</v>
      </c>
      <c r="E58" s="13" t="s">
        <v>2</v>
      </c>
      <c r="F58" s="13">
        <v>0</v>
      </c>
      <c r="G58" s="13">
        <v>0</v>
      </c>
      <c r="H58" s="13">
        <v>0</v>
      </c>
      <c r="I58" s="20">
        <v>2.333333333333334E-3</v>
      </c>
      <c r="J58" s="13">
        <v>1211</v>
      </c>
      <c r="K58" s="13">
        <v>1211</v>
      </c>
      <c r="L58" s="13">
        <v>1211</v>
      </c>
      <c r="M58" s="13">
        <v>14.47</v>
      </c>
      <c r="N58" s="13">
        <f t="shared" si="1"/>
        <v>1211</v>
      </c>
      <c r="O58" s="13">
        <f t="shared" si="2"/>
        <v>1211</v>
      </c>
      <c r="P58" s="13">
        <f t="shared" si="3"/>
        <v>1211</v>
      </c>
      <c r="Q58" s="13">
        <f t="shared" si="4"/>
        <v>7.0000000000000021E-2</v>
      </c>
    </row>
    <row r="59" spans="1:17" x14ac:dyDescent="0.3">
      <c r="A59" s="13">
        <v>6</v>
      </c>
      <c r="B59" s="13">
        <v>2</v>
      </c>
      <c r="C59" s="13" t="s">
        <v>4</v>
      </c>
      <c r="D59" s="13">
        <v>0.7</v>
      </c>
      <c r="E59" s="13" t="s">
        <v>3</v>
      </c>
      <c r="F59" s="13">
        <v>0</v>
      </c>
      <c r="G59" s="13">
        <v>0</v>
      </c>
      <c r="H59" s="13">
        <v>0</v>
      </c>
      <c r="I59" s="20">
        <v>5.7666666666666691E-3</v>
      </c>
      <c r="J59" s="13">
        <v>1021</v>
      </c>
      <c r="K59" s="13">
        <v>1021</v>
      </c>
      <c r="L59" s="13">
        <v>1021</v>
      </c>
      <c r="M59" s="13">
        <v>58.91</v>
      </c>
      <c r="N59" s="13">
        <f t="shared" si="1"/>
        <v>1021</v>
      </c>
      <c r="O59" s="13">
        <f t="shared" si="2"/>
        <v>1021</v>
      </c>
      <c r="P59" s="13">
        <f t="shared" si="3"/>
        <v>1021</v>
      </c>
      <c r="Q59" s="13">
        <f t="shared" si="4"/>
        <v>0.17300000000000007</v>
      </c>
    </row>
    <row r="60" spans="1:17" x14ac:dyDescent="0.3">
      <c r="A60" s="13">
        <v>6</v>
      </c>
      <c r="B60" s="13">
        <v>2</v>
      </c>
      <c r="C60" s="13" t="s">
        <v>4</v>
      </c>
      <c r="D60" s="13">
        <v>0.9</v>
      </c>
      <c r="E60" s="13" t="s">
        <v>2</v>
      </c>
      <c r="F60" s="13">
        <v>0</v>
      </c>
      <c r="G60" s="13">
        <v>0</v>
      </c>
      <c r="H60" s="13">
        <v>0</v>
      </c>
      <c r="I60" s="20">
        <v>2.1133333333333337E-2</v>
      </c>
      <c r="J60" s="13">
        <v>1112</v>
      </c>
      <c r="K60" s="13">
        <v>1112</v>
      </c>
      <c r="L60" s="13">
        <v>878</v>
      </c>
      <c r="M60" s="13">
        <v>3600</v>
      </c>
      <c r="N60" s="13">
        <f t="shared" si="1"/>
        <v>1112</v>
      </c>
      <c r="O60" s="13">
        <f t="shared" si="2"/>
        <v>1112</v>
      </c>
      <c r="P60" s="13">
        <f t="shared" si="3"/>
        <v>1112</v>
      </c>
      <c r="Q60" s="13">
        <f t="shared" si="4"/>
        <v>0.63400000000000012</v>
      </c>
    </row>
    <row r="61" spans="1:17" x14ac:dyDescent="0.3">
      <c r="A61" s="13">
        <v>6</v>
      </c>
      <c r="B61" s="13">
        <v>2</v>
      </c>
      <c r="C61" s="13" t="s">
        <v>4</v>
      </c>
      <c r="D61" s="13">
        <v>0.9</v>
      </c>
      <c r="E61" s="13" t="s">
        <v>3</v>
      </c>
      <c r="F61" s="13">
        <v>0</v>
      </c>
      <c r="G61" s="13">
        <v>0</v>
      </c>
      <c r="H61" s="13">
        <v>0</v>
      </c>
      <c r="I61" s="20">
        <v>8.2666666666666704E-3</v>
      </c>
      <c r="J61" s="13">
        <v>1291</v>
      </c>
      <c r="K61" s="13">
        <v>1291</v>
      </c>
      <c r="L61" s="13">
        <v>1291</v>
      </c>
      <c r="M61" s="13">
        <v>35.409999999999997</v>
      </c>
      <c r="N61" s="13">
        <f t="shared" si="1"/>
        <v>1291</v>
      </c>
      <c r="O61" s="13">
        <f t="shared" si="2"/>
        <v>1291</v>
      </c>
      <c r="P61" s="13">
        <f t="shared" si="3"/>
        <v>1291</v>
      </c>
      <c r="Q61" s="13">
        <f t="shared" si="4"/>
        <v>0.24800000000000011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36FB-6033-47F3-8C3E-7F252840D6DD}">
  <dimension ref="A1:S63"/>
  <sheetViews>
    <sheetView workbookViewId="0">
      <selection activeCell="D38" sqref="D38"/>
    </sheetView>
  </sheetViews>
  <sheetFormatPr defaultRowHeight="14.4" x14ac:dyDescent="0.3"/>
  <cols>
    <col min="1" max="1" width="8.88671875" style="3"/>
    <col min="2" max="2" width="7.21875" style="3" customWidth="1"/>
    <col min="3" max="4" width="14.33203125" style="3" customWidth="1"/>
    <col min="5" max="5" width="8.88671875" style="3"/>
    <col min="6" max="6" width="9.33203125" style="3" customWidth="1"/>
    <col min="7" max="7" width="9.21875" style="3" customWidth="1"/>
    <col min="8" max="8" width="10.77734375" style="3" customWidth="1"/>
    <col min="9" max="12" width="8.88671875" style="3"/>
  </cols>
  <sheetData>
    <row r="1" spans="1:19" x14ac:dyDescent="0.3">
      <c r="A1" s="21" t="s">
        <v>18</v>
      </c>
      <c r="B1" s="21" t="s">
        <v>19</v>
      </c>
      <c r="C1" s="21" t="s">
        <v>20</v>
      </c>
      <c r="D1" s="21" t="s">
        <v>41</v>
      </c>
      <c r="E1" s="21" t="s">
        <v>5</v>
      </c>
      <c r="F1" s="21" t="s">
        <v>36</v>
      </c>
      <c r="G1" s="21" t="s">
        <v>35</v>
      </c>
      <c r="H1" s="21" t="s">
        <v>34</v>
      </c>
      <c r="I1" s="21" t="s">
        <v>37</v>
      </c>
      <c r="J1" s="21" t="s">
        <v>38</v>
      </c>
      <c r="K1" s="21" t="s">
        <v>39</v>
      </c>
      <c r="L1" s="21" t="s">
        <v>40</v>
      </c>
    </row>
    <row r="2" spans="1:19" x14ac:dyDescent="0.3">
      <c r="A2" s="27" t="s">
        <v>1</v>
      </c>
      <c r="B2" s="27">
        <v>0.4</v>
      </c>
      <c r="C2" s="27" t="s">
        <v>2</v>
      </c>
      <c r="D2" s="28">
        <v>1</v>
      </c>
      <c r="E2" s="28">
        <f>'Small instances'!J2</f>
        <v>435</v>
      </c>
      <c r="F2" s="28">
        <f>'Small instances'!K2</f>
        <v>440</v>
      </c>
      <c r="G2" s="28">
        <f>'Small instances'!L2</f>
        <v>440</v>
      </c>
      <c r="H2" s="28">
        <f>'Small instances'!M2</f>
        <v>3.91</v>
      </c>
      <c r="I2" s="28">
        <f>'Small instances'!N2</f>
        <v>440</v>
      </c>
      <c r="J2" s="28">
        <f>'Small instances'!O2</f>
        <v>440</v>
      </c>
      <c r="K2" s="28">
        <f>'Small instances'!P2</f>
        <v>440</v>
      </c>
      <c r="L2" s="29">
        <f>'Small instances'!Q2</f>
        <v>13.326000000000002</v>
      </c>
      <c r="N2">
        <f>IF(I2&lt;&gt;J2,1,0)</f>
        <v>0</v>
      </c>
      <c r="P2">
        <f>IF(F2=G2,0,1)</f>
        <v>0</v>
      </c>
      <c r="R2">
        <f>IF(F2=G2,1,0)</f>
        <v>1</v>
      </c>
      <c r="S2">
        <f>R2*(F2-E2)/F2*100</f>
        <v>1.1363636363636365</v>
      </c>
    </row>
    <row r="3" spans="1:19" x14ac:dyDescent="0.3">
      <c r="A3" s="25"/>
      <c r="B3" s="25"/>
      <c r="C3" s="25"/>
      <c r="D3" s="22">
        <v>2</v>
      </c>
      <c r="E3" s="22">
        <f>'Small instances'!J14</f>
        <v>376</v>
      </c>
      <c r="F3" s="22">
        <f>'Small instances'!K14</f>
        <v>381</v>
      </c>
      <c r="G3" s="22">
        <f>'Small instances'!L14</f>
        <v>381</v>
      </c>
      <c r="H3" s="22">
        <f>'Small instances'!M14</f>
        <v>10.23</v>
      </c>
      <c r="I3" s="22">
        <f>'Small instances'!N14</f>
        <v>381</v>
      </c>
      <c r="J3" s="22">
        <f>'Small instances'!O14</f>
        <v>381</v>
      </c>
      <c r="K3" s="22">
        <f>'Small instances'!P14</f>
        <v>381</v>
      </c>
      <c r="L3" s="23">
        <f>'Small instances'!Q14</f>
        <v>3.6950000000000003</v>
      </c>
      <c r="N3">
        <f t="shared" ref="N3:N61" si="0">IF(I3&lt;&gt;J3,1,0)</f>
        <v>0</v>
      </c>
      <c r="P3">
        <f t="shared" ref="P3:P61" si="1">IF(F3=G3,0,1)</f>
        <v>0</v>
      </c>
      <c r="R3">
        <f t="shared" ref="R3:R61" si="2">IF(F3=G3,1,0)</f>
        <v>1</v>
      </c>
      <c r="S3">
        <f t="shared" ref="S3:S61" si="3">R3*(F3-E3)/F3*100</f>
        <v>1.3123359580052494</v>
      </c>
    </row>
    <row r="4" spans="1:19" x14ac:dyDescent="0.3">
      <c r="A4" s="25"/>
      <c r="B4" s="25"/>
      <c r="C4" s="25"/>
      <c r="D4" s="22">
        <v>3</v>
      </c>
      <c r="E4" s="22">
        <f>'Small instances'!J26</f>
        <v>432</v>
      </c>
      <c r="F4" s="22">
        <f>'Small instances'!K26</f>
        <v>441</v>
      </c>
      <c r="G4" s="22">
        <f>'Small instances'!L26</f>
        <v>441</v>
      </c>
      <c r="H4" s="22">
        <f>'Small instances'!M26</f>
        <v>6.59</v>
      </c>
      <c r="I4" s="22">
        <f>'Small instances'!N26</f>
        <v>441</v>
      </c>
      <c r="J4" s="22">
        <f>'Small instances'!O26</f>
        <v>441</v>
      </c>
      <c r="K4" s="22">
        <f>'Small instances'!P26</f>
        <v>441</v>
      </c>
      <c r="L4" s="23">
        <f>'Small instances'!Q26</f>
        <v>6.3140000000000001</v>
      </c>
      <c r="N4">
        <f t="shared" si="0"/>
        <v>0</v>
      </c>
      <c r="P4">
        <f t="shared" si="1"/>
        <v>0</v>
      </c>
      <c r="R4">
        <f t="shared" si="2"/>
        <v>1</v>
      </c>
      <c r="S4">
        <f t="shared" si="3"/>
        <v>2.0408163265306123</v>
      </c>
    </row>
    <row r="5" spans="1:19" x14ac:dyDescent="0.3">
      <c r="A5" s="25"/>
      <c r="B5" s="25"/>
      <c r="C5" s="25"/>
      <c r="D5" s="22">
        <v>4</v>
      </c>
      <c r="E5" s="22">
        <f>'Small instances'!J38</f>
        <v>215</v>
      </c>
      <c r="F5" s="22">
        <f>'Small instances'!K38</f>
        <v>218</v>
      </c>
      <c r="G5" s="22">
        <f>'Small instances'!L38</f>
        <v>218</v>
      </c>
      <c r="H5" s="22">
        <f>'Small instances'!M38</f>
        <v>0.09</v>
      </c>
      <c r="I5" s="22">
        <f>'Small instances'!N38</f>
        <v>218</v>
      </c>
      <c r="J5" s="22">
        <f>'Small instances'!O38</f>
        <v>218</v>
      </c>
      <c r="K5" s="22">
        <f>'Small instances'!P38</f>
        <v>218</v>
      </c>
      <c r="L5" s="23">
        <f>'Small instances'!Q38</f>
        <v>0.76100000000000045</v>
      </c>
      <c r="N5">
        <f t="shared" si="0"/>
        <v>0</v>
      </c>
      <c r="P5">
        <f t="shared" si="1"/>
        <v>0</v>
      </c>
      <c r="R5">
        <f t="shared" si="2"/>
        <v>1</v>
      </c>
      <c r="S5">
        <f t="shared" si="3"/>
        <v>1.3761467889908259</v>
      </c>
    </row>
    <row r="6" spans="1:19" x14ac:dyDescent="0.3">
      <c r="A6" s="25"/>
      <c r="B6" s="25"/>
      <c r="C6" s="26"/>
      <c r="D6" s="21">
        <v>5</v>
      </c>
      <c r="E6" s="21">
        <f>'Small instances'!J50</f>
        <v>289</v>
      </c>
      <c r="F6" s="21">
        <f>'Small instances'!K50</f>
        <v>289</v>
      </c>
      <c r="G6" s="21">
        <f>'Small instances'!L50</f>
        <v>289</v>
      </c>
      <c r="H6" s="21">
        <f>'Small instances'!M50</f>
        <v>2.11</v>
      </c>
      <c r="I6" s="21">
        <f>'Small instances'!N50</f>
        <v>289</v>
      </c>
      <c r="J6" s="21">
        <f>'Small instances'!O50</f>
        <v>289</v>
      </c>
      <c r="K6" s="21">
        <f>'Small instances'!P50</f>
        <v>289</v>
      </c>
      <c r="L6" s="24">
        <f>'Small instances'!Q50</f>
        <v>2.3000000000000007E-2</v>
      </c>
      <c r="N6">
        <f t="shared" si="0"/>
        <v>0</v>
      </c>
      <c r="P6">
        <f t="shared" si="1"/>
        <v>0</v>
      </c>
      <c r="R6">
        <f t="shared" si="2"/>
        <v>1</v>
      </c>
      <c r="S6">
        <f t="shared" si="3"/>
        <v>0</v>
      </c>
    </row>
    <row r="7" spans="1:19" x14ac:dyDescent="0.3">
      <c r="A7" s="25"/>
      <c r="B7" s="25"/>
      <c r="C7" s="25" t="s">
        <v>3</v>
      </c>
      <c r="D7" s="22">
        <v>1</v>
      </c>
      <c r="E7" s="22">
        <f>'Small instances'!J3</f>
        <v>283</v>
      </c>
      <c r="F7" s="22">
        <f>'Small instances'!K3</f>
        <v>283</v>
      </c>
      <c r="G7" s="22">
        <f>'Small instances'!L3</f>
        <v>283</v>
      </c>
      <c r="H7" s="22">
        <f>'Small instances'!M3</f>
        <v>1</v>
      </c>
      <c r="I7" s="22">
        <f>'Small instances'!N3</f>
        <v>283</v>
      </c>
      <c r="J7" s="22">
        <f>'Small instances'!O3</f>
        <v>283</v>
      </c>
      <c r="K7" s="22">
        <f>'Small instances'!P3</f>
        <v>283</v>
      </c>
      <c r="L7" s="23">
        <f>'Small instances'!Q3</f>
        <v>2E-3</v>
      </c>
      <c r="N7">
        <f t="shared" si="0"/>
        <v>0</v>
      </c>
      <c r="P7">
        <f t="shared" si="1"/>
        <v>0</v>
      </c>
      <c r="R7">
        <f t="shared" si="2"/>
        <v>1</v>
      </c>
      <c r="S7">
        <f t="shared" si="3"/>
        <v>0</v>
      </c>
    </row>
    <row r="8" spans="1:19" x14ac:dyDescent="0.3">
      <c r="A8" s="25"/>
      <c r="B8" s="25"/>
      <c r="C8" s="25"/>
      <c r="D8" s="22">
        <v>2</v>
      </c>
      <c r="E8" s="22">
        <f>'Small instances'!J15</f>
        <v>261</v>
      </c>
      <c r="F8" s="22">
        <f>'Small instances'!K15</f>
        <v>261</v>
      </c>
      <c r="G8" s="22">
        <f>'Small instances'!L15</f>
        <v>261</v>
      </c>
      <c r="H8" s="22">
        <f>'Small instances'!M15</f>
        <v>0.25</v>
      </c>
      <c r="I8" s="22">
        <f>'Small instances'!N15</f>
        <v>261</v>
      </c>
      <c r="J8" s="22">
        <f>'Small instances'!O15</f>
        <v>261</v>
      </c>
      <c r="K8" s="22">
        <f>'Small instances'!P15</f>
        <v>261</v>
      </c>
      <c r="L8" s="23">
        <f>'Small instances'!Q15</f>
        <v>7.0000000000000001E-3</v>
      </c>
      <c r="N8">
        <f t="shared" si="0"/>
        <v>0</v>
      </c>
      <c r="P8">
        <f t="shared" si="1"/>
        <v>0</v>
      </c>
      <c r="R8">
        <f t="shared" si="2"/>
        <v>1</v>
      </c>
      <c r="S8">
        <f t="shared" si="3"/>
        <v>0</v>
      </c>
    </row>
    <row r="9" spans="1:19" x14ac:dyDescent="0.3">
      <c r="A9" s="25"/>
      <c r="B9" s="25"/>
      <c r="C9" s="25"/>
      <c r="D9" s="22">
        <v>3</v>
      </c>
      <c r="E9" s="22">
        <f>'Small instances'!J27</f>
        <v>304</v>
      </c>
      <c r="F9" s="22">
        <f>'Small instances'!K27</f>
        <v>304</v>
      </c>
      <c r="G9" s="22">
        <f>'Small instances'!L27</f>
        <v>304</v>
      </c>
      <c r="H9" s="22">
        <f>'Small instances'!M27</f>
        <v>0.73</v>
      </c>
      <c r="I9" s="22">
        <f>'Small instances'!N27</f>
        <v>304</v>
      </c>
      <c r="J9" s="22">
        <f>'Small instances'!O27</f>
        <v>304</v>
      </c>
      <c r="K9" s="22">
        <f>'Small instances'!P27</f>
        <v>304</v>
      </c>
      <c r="L9" s="23">
        <f>'Small instances'!Q27</f>
        <v>0.3010000000000001</v>
      </c>
      <c r="N9">
        <f t="shared" si="0"/>
        <v>0</v>
      </c>
      <c r="P9">
        <f t="shared" si="1"/>
        <v>0</v>
      </c>
      <c r="R9">
        <f t="shared" si="2"/>
        <v>1</v>
      </c>
      <c r="S9">
        <f t="shared" si="3"/>
        <v>0</v>
      </c>
    </row>
    <row r="10" spans="1:19" x14ac:dyDescent="0.3">
      <c r="A10" s="25"/>
      <c r="B10" s="25"/>
      <c r="C10" s="25"/>
      <c r="D10" s="22">
        <v>4</v>
      </c>
      <c r="E10" s="22">
        <f>'Small instances'!J39</f>
        <v>338</v>
      </c>
      <c r="F10" s="22">
        <f>'Small instances'!K39</f>
        <v>341</v>
      </c>
      <c r="G10" s="22">
        <f>'Small instances'!L39</f>
        <v>341</v>
      </c>
      <c r="H10" s="22">
        <f>'Small instances'!M39</f>
        <v>1.41</v>
      </c>
      <c r="I10" s="22">
        <f>'Small instances'!N39</f>
        <v>341</v>
      </c>
      <c r="J10" s="22">
        <f>'Small instances'!O39</f>
        <v>341</v>
      </c>
      <c r="K10" s="22">
        <f>'Small instances'!P39</f>
        <v>341</v>
      </c>
      <c r="L10" s="23">
        <f>'Small instances'!Q39</f>
        <v>3.8390000000000004</v>
      </c>
      <c r="N10">
        <f t="shared" si="0"/>
        <v>0</v>
      </c>
      <c r="P10">
        <f t="shared" si="1"/>
        <v>0</v>
      </c>
      <c r="R10">
        <f t="shared" si="2"/>
        <v>1</v>
      </c>
      <c r="S10">
        <f t="shared" si="3"/>
        <v>0.87976539589442826</v>
      </c>
    </row>
    <row r="11" spans="1:19" x14ac:dyDescent="0.3">
      <c r="A11" s="25"/>
      <c r="B11" s="26"/>
      <c r="C11" s="26"/>
      <c r="D11" s="21">
        <v>5</v>
      </c>
      <c r="E11" s="21">
        <f>'Small instances'!J51</f>
        <v>350</v>
      </c>
      <c r="F11" s="21">
        <f>'Small instances'!K51</f>
        <v>368</v>
      </c>
      <c r="G11" s="21">
        <f>'Small instances'!L51</f>
        <v>368</v>
      </c>
      <c r="H11" s="21">
        <f>'Small instances'!M51</f>
        <v>29.96</v>
      </c>
      <c r="I11" s="21">
        <f>'Small instances'!N51</f>
        <v>368</v>
      </c>
      <c r="J11" s="21">
        <f>'Small instances'!O51</f>
        <v>368</v>
      </c>
      <c r="K11" s="21">
        <f>'Small instances'!P51</f>
        <v>368</v>
      </c>
      <c r="L11" s="24">
        <f>'Small instances'!Q51</f>
        <v>15.315999999999999</v>
      </c>
      <c r="N11">
        <f t="shared" si="0"/>
        <v>0</v>
      </c>
      <c r="P11">
        <f t="shared" si="1"/>
        <v>0</v>
      </c>
      <c r="R11">
        <f t="shared" si="2"/>
        <v>1</v>
      </c>
      <c r="S11">
        <f t="shared" si="3"/>
        <v>4.8913043478260869</v>
      </c>
    </row>
    <row r="12" spans="1:19" x14ac:dyDescent="0.3">
      <c r="A12" s="25"/>
      <c r="B12" s="27">
        <v>0.7</v>
      </c>
      <c r="C12" s="27" t="s">
        <v>2</v>
      </c>
      <c r="D12" s="28">
        <v>1</v>
      </c>
      <c r="E12" s="28">
        <f>'Small instances'!J4</f>
        <v>472</v>
      </c>
      <c r="F12" s="28">
        <f>'Small instances'!K4</f>
        <v>473</v>
      </c>
      <c r="G12" s="28">
        <f>'Small instances'!L4</f>
        <v>268.5</v>
      </c>
      <c r="H12" s="28">
        <f>'Small instances'!M4</f>
        <v>3600</v>
      </c>
      <c r="I12" s="28">
        <f>'Small instances'!N4</f>
        <v>473</v>
      </c>
      <c r="J12" s="28">
        <f>'Small instances'!O4</f>
        <v>473</v>
      </c>
      <c r="K12" s="28">
        <f>'Small instances'!P4</f>
        <v>473</v>
      </c>
      <c r="L12" s="29">
        <f>'Small instances'!Q4</f>
        <v>22.555000000000003</v>
      </c>
      <c r="N12">
        <f t="shared" si="0"/>
        <v>0</v>
      </c>
      <c r="P12">
        <f t="shared" si="1"/>
        <v>1</v>
      </c>
      <c r="R12">
        <f t="shared" si="2"/>
        <v>0</v>
      </c>
      <c r="S12">
        <f t="shared" si="3"/>
        <v>0</v>
      </c>
    </row>
    <row r="13" spans="1:19" x14ac:dyDescent="0.3">
      <c r="A13" s="25"/>
      <c r="B13" s="25"/>
      <c r="C13" s="25"/>
      <c r="D13" s="22">
        <v>2</v>
      </c>
      <c r="E13" s="22">
        <f>'Small instances'!J16</f>
        <v>408</v>
      </c>
      <c r="F13" s="22">
        <f>'Small instances'!K16</f>
        <v>413</v>
      </c>
      <c r="G13" s="22">
        <f>'Small instances'!L16</f>
        <v>413</v>
      </c>
      <c r="H13" s="22">
        <f>'Small instances'!M16</f>
        <v>146.88</v>
      </c>
      <c r="I13" s="22">
        <f>'Small instances'!N16</f>
        <v>413</v>
      </c>
      <c r="J13" s="22">
        <f>'Small instances'!O16</f>
        <v>413</v>
      </c>
      <c r="K13" s="22">
        <f>'Small instances'!P16</f>
        <v>413</v>
      </c>
      <c r="L13" s="23">
        <f>'Small instances'!Q16</f>
        <v>20.620999999999999</v>
      </c>
      <c r="N13">
        <f t="shared" si="0"/>
        <v>0</v>
      </c>
      <c r="P13">
        <f t="shared" si="1"/>
        <v>0</v>
      </c>
      <c r="R13">
        <f t="shared" si="2"/>
        <v>1</v>
      </c>
      <c r="S13">
        <f t="shared" si="3"/>
        <v>1.2106537530266344</v>
      </c>
    </row>
    <row r="14" spans="1:19" x14ac:dyDescent="0.3">
      <c r="A14" s="25"/>
      <c r="B14" s="25"/>
      <c r="C14" s="25"/>
      <c r="D14" s="22">
        <v>3</v>
      </c>
      <c r="E14" s="22">
        <f>'Small instances'!J28</f>
        <v>575</v>
      </c>
      <c r="F14" s="22">
        <f>'Small instances'!K28</f>
        <v>585</v>
      </c>
      <c r="G14" s="23">
        <f>'Small instances'!L28</f>
        <v>352.31020000000001</v>
      </c>
      <c r="H14" s="22">
        <f>'Small instances'!M28</f>
        <v>3600</v>
      </c>
      <c r="I14" s="22">
        <f>'Small instances'!N28</f>
        <v>585</v>
      </c>
      <c r="J14" s="22">
        <f>'Small instances'!O28</f>
        <v>585</v>
      </c>
      <c r="K14" s="22">
        <f>'Small instances'!P28</f>
        <v>585</v>
      </c>
      <c r="L14" s="23">
        <f>'Small instances'!Q28</f>
        <v>19.864999999999998</v>
      </c>
      <c r="N14">
        <f t="shared" si="0"/>
        <v>0</v>
      </c>
      <c r="P14">
        <f t="shared" si="1"/>
        <v>1</v>
      </c>
      <c r="R14">
        <f t="shared" si="2"/>
        <v>0</v>
      </c>
      <c r="S14">
        <f t="shared" si="3"/>
        <v>0</v>
      </c>
    </row>
    <row r="15" spans="1:19" x14ac:dyDescent="0.3">
      <c r="A15" s="25"/>
      <c r="B15" s="25"/>
      <c r="C15" s="25"/>
      <c r="D15" s="22">
        <v>4</v>
      </c>
      <c r="E15" s="22">
        <f>'Small instances'!J40</f>
        <v>456</v>
      </c>
      <c r="F15" s="22">
        <f>'Small instances'!K40</f>
        <v>464</v>
      </c>
      <c r="G15" s="22">
        <f>'Small instances'!L40</f>
        <v>464</v>
      </c>
      <c r="H15" s="22">
        <f>'Small instances'!M40</f>
        <v>45.92</v>
      </c>
      <c r="I15" s="22">
        <f>'Small instances'!N40</f>
        <v>464</v>
      </c>
      <c r="J15" s="22">
        <f>'Small instances'!O40</f>
        <v>464</v>
      </c>
      <c r="K15" s="22">
        <f>'Small instances'!P40</f>
        <v>464</v>
      </c>
      <c r="L15" s="23">
        <f>'Small instances'!Q40</f>
        <v>25.592000000000002</v>
      </c>
      <c r="N15">
        <f t="shared" si="0"/>
        <v>0</v>
      </c>
      <c r="P15">
        <f t="shared" si="1"/>
        <v>0</v>
      </c>
      <c r="R15">
        <f t="shared" si="2"/>
        <v>1</v>
      </c>
      <c r="S15">
        <f t="shared" si="3"/>
        <v>1.7241379310344827</v>
      </c>
    </row>
    <row r="16" spans="1:19" x14ac:dyDescent="0.3">
      <c r="A16" s="25"/>
      <c r="B16" s="25"/>
      <c r="C16" s="26"/>
      <c r="D16" s="21">
        <v>5</v>
      </c>
      <c r="E16" s="21">
        <f>'Small instances'!J52</f>
        <v>485</v>
      </c>
      <c r="F16" s="21">
        <f>'Small instances'!K52</f>
        <v>485</v>
      </c>
      <c r="G16" s="21">
        <f>'Small instances'!L52</f>
        <v>485</v>
      </c>
      <c r="H16" s="21">
        <f>'Small instances'!M52</f>
        <v>15.92</v>
      </c>
      <c r="I16" s="21">
        <f>'Small instances'!N52</f>
        <v>485</v>
      </c>
      <c r="J16" s="21">
        <f>'Small instances'!O52</f>
        <v>485</v>
      </c>
      <c r="K16" s="21">
        <f>'Small instances'!P52</f>
        <v>485</v>
      </c>
      <c r="L16" s="24">
        <f>'Small instances'!Q52</f>
        <v>0.8540000000000002</v>
      </c>
      <c r="N16">
        <f t="shared" si="0"/>
        <v>0</v>
      </c>
      <c r="P16">
        <f t="shared" si="1"/>
        <v>0</v>
      </c>
      <c r="R16">
        <f t="shared" si="2"/>
        <v>1</v>
      </c>
      <c r="S16">
        <f t="shared" si="3"/>
        <v>0</v>
      </c>
    </row>
    <row r="17" spans="1:19" x14ac:dyDescent="0.3">
      <c r="A17" s="25"/>
      <c r="B17" s="25"/>
      <c r="C17" s="25" t="s">
        <v>3</v>
      </c>
      <c r="D17" s="22">
        <v>1</v>
      </c>
      <c r="E17" s="22">
        <f>'Small instances'!J5</f>
        <v>436</v>
      </c>
      <c r="F17" s="22">
        <f>'Small instances'!K5</f>
        <v>459</v>
      </c>
      <c r="G17" s="22">
        <f>'Small instances'!L5</f>
        <v>311</v>
      </c>
      <c r="H17" s="22">
        <f>'Small instances'!M5</f>
        <v>3600</v>
      </c>
      <c r="I17" s="22">
        <f>'Small instances'!N5</f>
        <v>463</v>
      </c>
      <c r="J17" s="22">
        <f>'Small instances'!O5</f>
        <v>472</v>
      </c>
      <c r="K17" s="22">
        <f>'Small instances'!P5</f>
        <v>466.8</v>
      </c>
      <c r="L17" s="23">
        <f>'Small instances'!Q5</f>
        <v>30.640000000000004</v>
      </c>
      <c r="N17">
        <f t="shared" si="0"/>
        <v>1</v>
      </c>
      <c r="P17">
        <f t="shared" si="1"/>
        <v>1</v>
      </c>
      <c r="R17">
        <f t="shared" si="2"/>
        <v>0</v>
      </c>
      <c r="S17">
        <f t="shared" si="3"/>
        <v>0</v>
      </c>
    </row>
    <row r="18" spans="1:19" x14ac:dyDescent="0.3">
      <c r="A18" s="25"/>
      <c r="B18" s="25"/>
      <c r="C18" s="25"/>
      <c r="D18" s="22">
        <v>2</v>
      </c>
      <c r="E18" s="22">
        <f>'Small instances'!J17</f>
        <v>424</v>
      </c>
      <c r="F18" s="22">
        <f>'Small instances'!K17</f>
        <v>433</v>
      </c>
      <c r="G18" s="22">
        <f>'Small instances'!L17</f>
        <v>422</v>
      </c>
      <c r="H18" s="22">
        <f>'Small instances'!M17</f>
        <v>3600</v>
      </c>
      <c r="I18" s="22">
        <f>'Small instances'!N17</f>
        <v>433</v>
      </c>
      <c r="J18" s="22">
        <f>'Small instances'!O17</f>
        <v>434</v>
      </c>
      <c r="K18" s="23">
        <f>'Small instances'!P17</f>
        <v>433.93333333333334</v>
      </c>
      <c r="L18" s="23">
        <f>'Small instances'!Q17</f>
        <v>30.239999999999995</v>
      </c>
      <c r="N18">
        <f t="shared" si="0"/>
        <v>1</v>
      </c>
      <c r="P18">
        <f t="shared" si="1"/>
        <v>1</v>
      </c>
      <c r="R18">
        <f t="shared" si="2"/>
        <v>0</v>
      </c>
      <c r="S18">
        <f t="shared" si="3"/>
        <v>0</v>
      </c>
    </row>
    <row r="19" spans="1:19" x14ac:dyDescent="0.3">
      <c r="A19" s="25"/>
      <c r="B19" s="25"/>
      <c r="C19" s="25"/>
      <c r="D19" s="22">
        <v>3</v>
      </c>
      <c r="E19" s="22">
        <f>'Small instances'!J29</f>
        <v>471</v>
      </c>
      <c r="F19" s="22">
        <f>'Small instances'!K29</f>
        <v>471</v>
      </c>
      <c r="G19" s="22">
        <f>'Small instances'!L29</f>
        <v>471</v>
      </c>
      <c r="H19" s="22">
        <f>'Small instances'!M29</f>
        <v>3380.83</v>
      </c>
      <c r="I19" s="22">
        <f>'Small instances'!N29</f>
        <v>471</v>
      </c>
      <c r="J19" s="22">
        <f>'Small instances'!O29</f>
        <v>471</v>
      </c>
      <c r="K19" s="22">
        <f>'Small instances'!P29</f>
        <v>471</v>
      </c>
      <c r="L19" s="23">
        <f>'Small instances'!Q29</f>
        <v>0.98800000000000021</v>
      </c>
      <c r="N19">
        <f t="shared" si="0"/>
        <v>0</v>
      </c>
      <c r="P19">
        <f t="shared" si="1"/>
        <v>0</v>
      </c>
      <c r="R19">
        <f t="shared" si="2"/>
        <v>1</v>
      </c>
      <c r="S19">
        <f t="shared" si="3"/>
        <v>0</v>
      </c>
    </row>
    <row r="20" spans="1:19" x14ac:dyDescent="0.3">
      <c r="A20" s="25"/>
      <c r="B20" s="25"/>
      <c r="C20" s="25"/>
      <c r="D20" s="22">
        <v>4</v>
      </c>
      <c r="E20" s="22">
        <f>'Small instances'!J41</f>
        <v>543</v>
      </c>
      <c r="F20" s="22">
        <f>'Small instances'!K41</f>
        <v>543</v>
      </c>
      <c r="G20" s="22">
        <f>'Small instances'!L41</f>
        <v>509</v>
      </c>
      <c r="H20" s="22">
        <f>'Small instances'!M41</f>
        <v>3600</v>
      </c>
      <c r="I20" s="22">
        <f>'Small instances'!N41</f>
        <v>543</v>
      </c>
      <c r="J20" s="22">
        <f>'Small instances'!O41</f>
        <v>551</v>
      </c>
      <c r="K20" s="23">
        <f>'Small instances'!P41</f>
        <v>545.13333333333333</v>
      </c>
      <c r="L20" s="23">
        <f>'Small instances'!Q41</f>
        <v>22.678000000000001</v>
      </c>
      <c r="N20">
        <f t="shared" si="0"/>
        <v>1</v>
      </c>
      <c r="P20">
        <f t="shared" si="1"/>
        <v>1</v>
      </c>
      <c r="R20">
        <f t="shared" si="2"/>
        <v>0</v>
      </c>
      <c r="S20">
        <f t="shared" si="3"/>
        <v>0</v>
      </c>
    </row>
    <row r="21" spans="1:19" x14ac:dyDescent="0.3">
      <c r="A21" s="25"/>
      <c r="B21" s="26"/>
      <c r="C21" s="26"/>
      <c r="D21" s="21">
        <v>5</v>
      </c>
      <c r="E21" s="21">
        <f>'Small instances'!J53</f>
        <v>438</v>
      </c>
      <c r="F21" s="21">
        <f>'Small instances'!K53</f>
        <v>438</v>
      </c>
      <c r="G21" s="21">
        <f>'Small instances'!L53</f>
        <v>438</v>
      </c>
      <c r="H21" s="21">
        <f>'Small instances'!M53</f>
        <v>153.63</v>
      </c>
      <c r="I21" s="21">
        <f>'Small instances'!N53</f>
        <v>452</v>
      </c>
      <c r="J21" s="21">
        <f>'Small instances'!O53</f>
        <v>464</v>
      </c>
      <c r="K21" s="24">
        <f>'Small instances'!P53</f>
        <v>456.93333333333334</v>
      </c>
      <c r="L21" s="24">
        <f>'Small instances'!Q53</f>
        <v>23.53</v>
      </c>
      <c r="N21">
        <f t="shared" si="0"/>
        <v>1</v>
      </c>
      <c r="P21">
        <f t="shared" si="1"/>
        <v>0</v>
      </c>
      <c r="R21">
        <f t="shared" si="2"/>
        <v>1</v>
      </c>
      <c r="S21">
        <f t="shared" si="3"/>
        <v>0</v>
      </c>
    </row>
    <row r="22" spans="1:19" x14ac:dyDescent="0.3">
      <c r="A22" s="25"/>
      <c r="B22" s="25">
        <v>0.9</v>
      </c>
      <c r="C22" s="27" t="s">
        <v>2</v>
      </c>
      <c r="D22" s="28">
        <v>1</v>
      </c>
      <c r="E22" s="28">
        <f>'Small instances'!J6</f>
        <v>591</v>
      </c>
      <c r="F22" s="28">
        <f>'Small instances'!K6</f>
        <v>591</v>
      </c>
      <c r="G22" s="28">
        <f>'Small instances'!L6</f>
        <v>481</v>
      </c>
      <c r="H22" s="28">
        <f>'Small instances'!M6</f>
        <v>3600</v>
      </c>
      <c r="I22" s="28">
        <f>'Small instances'!N6</f>
        <v>591</v>
      </c>
      <c r="J22" s="28">
        <f>'Small instances'!O6</f>
        <v>591</v>
      </c>
      <c r="K22" s="28">
        <f>'Small instances'!P6</f>
        <v>591</v>
      </c>
      <c r="L22" s="29">
        <f>'Small instances'!Q6</f>
        <v>6.7000000000000018E-2</v>
      </c>
      <c r="N22">
        <f t="shared" si="0"/>
        <v>0</v>
      </c>
      <c r="P22">
        <f t="shared" si="1"/>
        <v>1</v>
      </c>
      <c r="R22">
        <f t="shared" si="2"/>
        <v>0</v>
      </c>
      <c r="S22">
        <f t="shared" si="3"/>
        <v>0</v>
      </c>
    </row>
    <row r="23" spans="1:19" x14ac:dyDescent="0.3">
      <c r="A23" s="25"/>
      <c r="B23" s="25"/>
      <c r="C23" s="25"/>
      <c r="D23" s="22">
        <v>2</v>
      </c>
      <c r="E23" s="22">
        <f>'Small instances'!J18</f>
        <v>595</v>
      </c>
      <c r="F23" s="22">
        <f>'Small instances'!K18</f>
        <v>597</v>
      </c>
      <c r="G23" s="23">
        <f>'Small instances'!L18</f>
        <v>442.08420000000001</v>
      </c>
      <c r="H23" s="22">
        <f>'Small instances'!M18</f>
        <v>3600</v>
      </c>
      <c r="I23" s="22">
        <f>'Small instances'!N18</f>
        <v>595</v>
      </c>
      <c r="J23" s="22">
        <f>'Small instances'!O18</f>
        <v>598</v>
      </c>
      <c r="K23" s="23">
        <f>'Small instances'!P18</f>
        <v>596.5333333333333</v>
      </c>
      <c r="L23" s="23">
        <f>'Small instances'!Q18</f>
        <v>29.930999999999997</v>
      </c>
      <c r="N23">
        <f t="shared" si="0"/>
        <v>1</v>
      </c>
      <c r="P23">
        <f t="shared" si="1"/>
        <v>1</v>
      </c>
      <c r="R23">
        <f t="shared" si="2"/>
        <v>0</v>
      </c>
      <c r="S23">
        <f t="shared" si="3"/>
        <v>0</v>
      </c>
    </row>
    <row r="24" spans="1:19" x14ac:dyDescent="0.3">
      <c r="A24" s="25"/>
      <c r="B24" s="25"/>
      <c r="C24" s="25"/>
      <c r="D24" s="22">
        <v>3</v>
      </c>
      <c r="E24" s="22">
        <f>'Small instances'!J30</f>
        <v>632</v>
      </c>
      <c r="F24" s="22">
        <f>'Small instances'!K30</f>
        <v>640</v>
      </c>
      <c r="G24" s="23">
        <f>'Small instances'!L30</f>
        <v>333.87599999999998</v>
      </c>
      <c r="H24" s="22">
        <f>'Small instances'!M30</f>
        <v>3600</v>
      </c>
      <c r="I24" s="22">
        <f>'Small instances'!N30</f>
        <v>640</v>
      </c>
      <c r="J24" s="22">
        <f>'Small instances'!O30</f>
        <v>640</v>
      </c>
      <c r="K24" s="22">
        <f>'Small instances'!P30</f>
        <v>640</v>
      </c>
      <c r="L24" s="23">
        <f>'Small instances'!Q30</f>
        <v>32.030999999999999</v>
      </c>
      <c r="N24">
        <f t="shared" si="0"/>
        <v>0</v>
      </c>
      <c r="P24">
        <f t="shared" si="1"/>
        <v>1</v>
      </c>
      <c r="R24">
        <f t="shared" si="2"/>
        <v>0</v>
      </c>
      <c r="S24">
        <f t="shared" si="3"/>
        <v>0</v>
      </c>
    </row>
    <row r="25" spans="1:19" x14ac:dyDescent="0.3">
      <c r="A25" s="25"/>
      <c r="B25" s="25"/>
      <c r="C25" s="25"/>
      <c r="D25" s="22">
        <v>4</v>
      </c>
      <c r="E25" s="22">
        <f>'Small instances'!J42</f>
        <v>656</v>
      </c>
      <c r="F25" s="22">
        <f>'Small instances'!K42</f>
        <v>671</v>
      </c>
      <c r="G25" s="22">
        <f>'Small instances'!L42</f>
        <v>339</v>
      </c>
      <c r="H25" s="22">
        <f>'Small instances'!M42</f>
        <v>3600</v>
      </c>
      <c r="I25" s="22">
        <f>'Small instances'!N42</f>
        <v>671</v>
      </c>
      <c r="J25" s="22">
        <f>'Small instances'!O42</f>
        <v>671</v>
      </c>
      <c r="K25" s="22">
        <f>'Small instances'!P42</f>
        <v>671</v>
      </c>
      <c r="L25" s="23">
        <f>'Small instances'!Q42</f>
        <v>29.273</v>
      </c>
      <c r="N25">
        <f t="shared" si="0"/>
        <v>0</v>
      </c>
      <c r="P25">
        <f t="shared" si="1"/>
        <v>1</v>
      </c>
      <c r="R25">
        <f t="shared" si="2"/>
        <v>0</v>
      </c>
      <c r="S25">
        <f t="shared" si="3"/>
        <v>0</v>
      </c>
    </row>
    <row r="26" spans="1:19" x14ac:dyDescent="0.3">
      <c r="A26" s="25"/>
      <c r="B26" s="25"/>
      <c r="C26" s="26"/>
      <c r="D26" s="21">
        <v>5</v>
      </c>
      <c r="E26" s="21">
        <f>'Small instances'!J54</f>
        <v>676</v>
      </c>
      <c r="F26" s="21">
        <f>'Small instances'!K54</f>
        <v>679</v>
      </c>
      <c r="G26" s="21">
        <f>'Small instances'!L54</f>
        <v>399</v>
      </c>
      <c r="H26" s="21">
        <f>'Small instances'!M54</f>
        <v>3600</v>
      </c>
      <c r="I26" s="21">
        <f>'Small instances'!N54</f>
        <v>676</v>
      </c>
      <c r="J26" s="21">
        <f>'Small instances'!O54</f>
        <v>677</v>
      </c>
      <c r="K26" s="21">
        <f>'Small instances'!P54</f>
        <v>676.6</v>
      </c>
      <c r="L26" s="24">
        <f>'Small instances'!Q54</f>
        <v>36.288000000000004</v>
      </c>
      <c r="N26">
        <f t="shared" si="0"/>
        <v>1</v>
      </c>
      <c r="P26">
        <f t="shared" si="1"/>
        <v>1</v>
      </c>
      <c r="R26">
        <f t="shared" si="2"/>
        <v>0</v>
      </c>
      <c r="S26">
        <f t="shared" si="3"/>
        <v>0</v>
      </c>
    </row>
    <row r="27" spans="1:19" x14ac:dyDescent="0.3">
      <c r="A27" s="25"/>
      <c r="B27" s="25"/>
      <c r="C27" s="25" t="s">
        <v>3</v>
      </c>
      <c r="D27" s="22">
        <v>1</v>
      </c>
      <c r="E27" s="22">
        <f>'Small instances'!J7</f>
        <v>523</v>
      </c>
      <c r="F27" s="22">
        <f>'Small instances'!K7</f>
        <v>534</v>
      </c>
      <c r="G27" s="22">
        <f>'Small instances'!L7</f>
        <v>269</v>
      </c>
      <c r="H27" s="22">
        <f>'Small instances'!M7</f>
        <v>3600</v>
      </c>
      <c r="I27" s="22">
        <f>'Small instances'!N7</f>
        <v>534</v>
      </c>
      <c r="J27" s="22">
        <f>'Small instances'!O7</f>
        <v>534</v>
      </c>
      <c r="K27" s="22">
        <f>'Small instances'!P7</f>
        <v>534</v>
      </c>
      <c r="L27" s="23">
        <f>'Small instances'!Q7</f>
        <v>45.493999999999993</v>
      </c>
      <c r="N27">
        <f t="shared" si="0"/>
        <v>0</v>
      </c>
      <c r="P27">
        <f t="shared" si="1"/>
        <v>1</v>
      </c>
      <c r="R27">
        <f t="shared" si="2"/>
        <v>0</v>
      </c>
      <c r="S27">
        <f t="shared" si="3"/>
        <v>0</v>
      </c>
    </row>
    <row r="28" spans="1:19" x14ac:dyDescent="0.3">
      <c r="A28" s="25"/>
      <c r="B28" s="25"/>
      <c r="C28" s="25"/>
      <c r="D28" s="22">
        <v>2</v>
      </c>
      <c r="E28" s="22">
        <f>'Small instances'!J19</f>
        <v>548</v>
      </c>
      <c r="F28" s="22">
        <f>'Small instances'!K19</f>
        <v>573</v>
      </c>
      <c r="G28" s="22">
        <f>'Small instances'!L19</f>
        <v>360</v>
      </c>
      <c r="H28" s="22">
        <f>'Small instances'!M19</f>
        <v>3600</v>
      </c>
      <c r="I28" s="22">
        <f>'Small instances'!N19</f>
        <v>573</v>
      </c>
      <c r="J28" s="22">
        <f>'Small instances'!O19</f>
        <v>573</v>
      </c>
      <c r="K28" s="22">
        <f>'Small instances'!P19</f>
        <v>573</v>
      </c>
      <c r="L28" s="23">
        <f>'Small instances'!Q19</f>
        <v>32.089000000000006</v>
      </c>
      <c r="N28">
        <f t="shared" si="0"/>
        <v>0</v>
      </c>
      <c r="P28">
        <f t="shared" si="1"/>
        <v>1</v>
      </c>
      <c r="R28">
        <f t="shared" si="2"/>
        <v>0</v>
      </c>
      <c r="S28">
        <f t="shared" si="3"/>
        <v>0</v>
      </c>
    </row>
    <row r="29" spans="1:19" x14ac:dyDescent="0.3">
      <c r="A29" s="25"/>
      <c r="B29" s="25"/>
      <c r="C29" s="25"/>
      <c r="D29" s="22">
        <v>3</v>
      </c>
      <c r="E29" s="22">
        <f>'Small instances'!J31</f>
        <v>687</v>
      </c>
      <c r="F29" s="22">
        <f>'Small instances'!K31</f>
        <v>694</v>
      </c>
      <c r="G29" s="22">
        <f>'Small instances'!L31</f>
        <v>331</v>
      </c>
      <c r="H29" s="22">
        <f>'Small instances'!M31</f>
        <v>3600</v>
      </c>
      <c r="I29" s="22">
        <f>'Small instances'!N31</f>
        <v>694</v>
      </c>
      <c r="J29" s="22">
        <f>'Small instances'!O31</f>
        <v>700</v>
      </c>
      <c r="K29" s="22">
        <f>'Small instances'!P31</f>
        <v>696</v>
      </c>
      <c r="L29" s="23">
        <f>'Small instances'!Q31</f>
        <v>37.628999999999998</v>
      </c>
      <c r="N29">
        <f t="shared" si="0"/>
        <v>1</v>
      </c>
      <c r="P29">
        <f t="shared" si="1"/>
        <v>1</v>
      </c>
      <c r="R29">
        <f t="shared" si="2"/>
        <v>0</v>
      </c>
      <c r="S29">
        <f t="shared" si="3"/>
        <v>0</v>
      </c>
    </row>
    <row r="30" spans="1:19" x14ac:dyDescent="0.3">
      <c r="A30" s="25"/>
      <c r="B30" s="25"/>
      <c r="C30" s="25"/>
      <c r="D30" s="22">
        <v>4</v>
      </c>
      <c r="E30" s="22">
        <f>'Small instances'!J43</f>
        <v>607</v>
      </c>
      <c r="F30" s="22">
        <f>'Small instances'!K43</f>
        <v>607</v>
      </c>
      <c r="G30" s="22">
        <f>'Small instances'!L43</f>
        <v>502</v>
      </c>
      <c r="H30" s="22">
        <f>'Small instances'!M43</f>
        <v>3600</v>
      </c>
      <c r="I30" s="22">
        <f>'Small instances'!N43</f>
        <v>607</v>
      </c>
      <c r="J30" s="22">
        <f>'Small instances'!O43</f>
        <v>607</v>
      </c>
      <c r="K30" s="22">
        <f>'Small instances'!P43</f>
        <v>607</v>
      </c>
      <c r="L30" s="23">
        <f>'Small instances'!Q43</f>
        <v>0.10400000000000004</v>
      </c>
      <c r="N30">
        <f t="shared" si="0"/>
        <v>0</v>
      </c>
      <c r="P30">
        <f t="shared" si="1"/>
        <v>1</v>
      </c>
      <c r="R30">
        <f t="shared" si="2"/>
        <v>0</v>
      </c>
      <c r="S30">
        <f t="shared" si="3"/>
        <v>0</v>
      </c>
    </row>
    <row r="31" spans="1:19" x14ac:dyDescent="0.3">
      <c r="A31" s="26"/>
      <c r="B31" s="26"/>
      <c r="C31" s="26"/>
      <c r="D31" s="21">
        <v>5</v>
      </c>
      <c r="E31" s="21">
        <f>'Small instances'!J55</f>
        <v>596</v>
      </c>
      <c r="F31" s="21">
        <f>'Small instances'!K55</f>
        <v>607</v>
      </c>
      <c r="G31" s="21">
        <f>'Small instances'!L55</f>
        <v>303</v>
      </c>
      <c r="H31" s="21">
        <f>'Small instances'!M55</f>
        <v>3600</v>
      </c>
      <c r="I31" s="21">
        <f>'Small instances'!N55</f>
        <v>609</v>
      </c>
      <c r="J31" s="21">
        <f>'Small instances'!O55</f>
        <v>629</v>
      </c>
      <c r="K31" s="21">
        <f>'Small instances'!P55</f>
        <v>620.9</v>
      </c>
      <c r="L31" s="24">
        <f>'Small instances'!Q55</f>
        <v>49.177000000000007</v>
      </c>
      <c r="N31">
        <f t="shared" si="0"/>
        <v>1</v>
      </c>
      <c r="P31">
        <f t="shared" si="1"/>
        <v>1</v>
      </c>
      <c r="R31">
        <f t="shared" si="2"/>
        <v>0</v>
      </c>
      <c r="S31">
        <f t="shared" si="3"/>
        <v>0</v>
      </c>
    </row>
    <row r="32" spans="1:19" x14ac:dyDescent="0.3">
      <c r="A32" s="27" t="s">
        <v>4</v>
      </c>
      <c r="B32" s="27">
        <v>0.4</v>
      </c>
      <c r="C32" s="27" t="s">
        <v>2</v>
      </c>
      <c r="D32" s="28">
        <v>1</v>
      </c>
      <c r="E32" s="28">
        <f>'Small instances'!J8</f>
        <v>1006</v>
      </c>
      <c r="F32" s="28">
        <f>'Small instances'!K8</f>
        <v>1006</v>
      </c>
      <c r="G32" s="28">
        <f>'Small instances'!L8</f>
        <v>1006</v>
      </c>
      <c r="H32" s="28">
        <f>'Small instances'!M8</f>
        <v>3.38</v>
      </c>
      <c r="I32" s="28">
        <f>'Small instances'!N8</f>
        <v>1006</v>
      </c>
      <c r="J32" s="28">
        <f>'Small instances'!O8</f>
        <v>1006</v>
      </c>
      <c r="K32" s="28">
        <f>'Small instances'!P8</f>
        <v>1006</v>
      </c>
      <c r="L32" s="29">
        <f>'Small instances'!Q8</f>
        <v>4.8000000000000022E-2</v>
      </c>
      <c r="N32">
        <f t="shared" si="0"/>
        <v>0</v>
      </c>
      <c r="P32">
        <f t="shared" si="1"/>
        <v>0</v>
      </c>
      <c r="R32">
        <f t="shared" si="2"/>
        <v>1</v>
      </c>
      <c r="S32">
        <f t="shared" si="3"/>
        <v>0</v>
      </c>
    </row>
    <row r="33" spans="1:19" x14ac:dyDescent="0.3">
      <c r="A33" s="25"/>
      <c r="B33" s="25"/>
      <c r="C33" s="25"/>
      <c r="D33" s="22">
        <v>2</v>
      </c>
      <c r="E33" s="22">
        <f>'Small instances'!J20</f>
        <v>553</v>
      </c>
      <c r="F33" s="22">
        <f>'Small instances'!K20</f>
        <v>553</v>
      </c>
      <c r="G33" s="22">
        <f>'Small instances'!L20</f>
        <v>553</v>
      </c>
      <c r="H33" s="22">
        <f>'Small instances'!M20</f>
        <v>0.7</v>
      </c>
      <c r="I33" s="22">
        <f>'Small instances'!N20</f>
        <v>553</v>
      </c>
      <c r="J33" s="22">
        <f>'Small instances'!O20</f>
        <v>553</v>
      </c>
      <c r="K33" s="22">
        <f>'Small instances'!P20</f>
        <v>553</v>
      </c>
      <c r="L33" s="23">
        <f>'Small instances'!Q20</f>
        <v>7.3000000000000023E-2</v>
      </c>
      <c r="N33">
        <f t="shared" si="0"/>
        <v>0</v>
      </c>
      <c r="P33">
        <f t="shared" si="1"/>
        <v>0</v>
      </c>
      <c r="R33">
        <f t="shared" si="2"/>
        <v>1</v>
      </c>
      <c r="S33">
        <f t="shared" si="3"/>
        <v>0</v>
      </c>
    </row>
    <row r="34" spans="1:19" x14ac:dyDescent="0.3">
      <c r="A34" s="25"/>
      <c r="B34" s="25"/>
      <c r="C34" s="25"/>
      <c r="D34" s="22">
        <v>3</v>
      </c>
      <c r="E34" s="22">
        <f>'Small instances'!J32</f>
        <v>784</v>
      </c>
      <c r="F34" s="22">
        <f>'Small instances'!K32</f>
        <v>784</v>
      </c>
      <c r="G34" s="22">
        <f>'Small instances'!L32</f>
        <v>784</v>
      </c>
      <c r="H34" s="22">
        <f>'Small instances'!M32</f>
        <v>0.34</v>
      </c>
      <c r="I34" s="22">
        <f>'Small instances'!N32</f>
        <v>784</v>
      </c>
      <c r="J34" s="22">
        <f>'Small instances'!O32</f>
        <v>784</v>
      </c>
      <c r="K34" s="22">
        <f>'Small instances'!P32</f>
        <v>784</v>
      </c>
      <c r="L34" s="23">
        <f>'Small instances'!Q32</f>
        <v>3.0000000000000013E-2</v>
      </c>
      <c r="N34">
        <f t="shared" si="0"/>
        <v>0</v>
      </c>
      <c r="P34">
        <f t="shared" si="1"/>
        <v>0</v>
      </c>
      <c r="R34">
        <f t="shared" si="2"/>
        <v>1</v>
      </c>
      <c r="S34">
        <f t="shared" si="3"/>
        <v>0</v>
      </c>
    </row>
    <row r="35" spans="1:19" x14ac:dyDescent="0.3">
      <c r="A35" s="25"/>
      <c r="B35" s="25"/>
      <c r="C35" s="25"/>
      <c r="D35" s="22">
        <v>4</v>
      </c>
      <c r="E35" s="22">
        <f>'Small instances'!J44</f>
        <v>664</v>
      </c>
      <c r="F35" s="22">
        <f>'Small instances'!K44</f>
        <v>664</v>
      </c>
      <c r="G35" s="22">
        <f>'Small instances'!L44</f>
        <v>664</v>
      </c>
      <c r="H35" s="22">
        <f>'Small instances'!M44</f>
        <v>0.5</v>
      </c>
      <c r="I35" s="22">
        <f>'Small instances'!N44</f>
        <v>664</v>
      </c>
      <c r="J35" s="22">
        <f>'Small instances'!O44</f>
        <v>664</v>
      </c>
      <c r="K35" s="22">
        <f>'Small instances'!P44</f>
        <v>664</v>
      </c>
      <c r="L35" s="23">
        <f>'Small instances'!Q44</f>
        <v>3.0000000000000013E-2</v>
      </c>
      <c r="N35">
        <f t="shared" si="0"/>
        <v>0</v>
      </c>
      <c r="P35">
        <f t="shared" si="1"/>
        <v>0</v>
      </c>
      <c r="R35">
        <f t="shared" si="2"/>
        <v>1</v>
      </c>
      <c r="S35">
        <f t="shared" si="3"/>
        <v>0</v>
      </c>
    </row>
    <row r="36" spans="1:19" x14ac:dyDescent="0.3">
      <c r="A36" s="25"/>
      <c r="B36" s="25"/>
      <c r="C36" s="26"/>
      <c r="D36" s="21">
        <v>5</v>
      </c>
      <c r="E36" s="21">
        <f>'Small instances'!J56</f>
        <v>810</v>
      </c>
      <c r="F36" s="21">
        <f>'Small instances'!K56</f>
        <v>810</v>
      </c>
      <c r="G36" s="21">
        <f>'Small instances'!L56</f>
        <v>810</v>
      </c>
      <c r="H36" s="21">
        <f>'Small instances'!M56</f>
        <v>1.88</v>
      </c>
      <c r="I36" s="21">
        <f>'Small instances'!N56</f>
        <v>810</v>
      </c>
      <c r="J36" s="21">
        <f>'Small instances'!O56</f>
        <v>810</v>
      </c>
      <c r="K36" s="21">
        <f>'Small instances'!P56</f>
        <v>810</v>
      </c>
      <c r="L36" s="24">
        <f>'Small instances'!Q56</f>
        <v>0.11900000000000004</v>
      </c>
      <c r="N36">
        <f t="shared" si="0"/>
        <v>0</v>
      </c>
      <c r="P36">
        <f t="shared" si="1"/>
        <v>0</v>
      </c>
      <c r="R36">
        <f t="shared" si="2"/>
        <v>1</v>
      </c>
      <c r="S36">
        <f t="shared" si="3"/>
        <v>0</v>
      </c>
    </row>
    <row r="37" spans="1:19" x14ac:dyDescent="0.3">
      <c r="A37" s="25"/>
      <c r="B37" s="25"/>
      <c r="C37" s="25" t="s">
        <v>3</v>
      </c>
      <c r="D37" s="22">
        <v>1</v>
      </c>
      <c r="E37" s="22">
        <f>'Small instances'!J9</f>
        <v>973</v>
      </c>
      <c r="F37" s="22">
        <f>'Small instances'!K9</f>
        <v>973</v>
      </c>
      <c r="G37" s="22">
        <f>'Small instances'!L9</f>
        <v>973</v>
      </c>
      <c r="H37" s="22">
        <f>'Small instances'!M9</f>
        <v>0.91</v>
      </c>
      <c r="I37" s="22">
        <f>'Small instances'!N9</f>
        <v>973</v>
      </c>
      <c r="J37" s="22">
        <f>'Small instances'!O9</f>
        <v>973</v>
      </c>
      <c r="K37" s="22">
        <f>'Small instances'!P9</f>
        <v>973</v>
      </c>
      <c r="L37" s="23">
        <f>'Small instances'!Q9</f>
        <v>6.2000000000000041E-2</v>
      </c>
      <c r="N37">
        <f t="shared" si="0"/>
        <v>0</v>
      </c>
      <c r="P37">
        <f t="shared" si="1"/>
        <v>0</v>
      </c>
      <c r="R37">
        <f t="shared" si="2"/>
        <v>1</v>
      </c>
      <c r="S37">
        <f t="shared" si="3"/>
        <v>0</v>
      </c>
    </row>
    <row r="38" spans="1:19" x14ac:dyDescent="0.3">
      <c r="A38" s="25"/>
      <c r="B38" s="25"/>
      <c r="C38" s="25"/>
      <c r="D38" s="22">
        <v>2</v>
      </c>
      <c r="E38" s="22">
        <f>'Small instances'!J21</f>
        <v>682</v>
      </c>
      <c r="F38" s="22">
        <f>'Small instances'!K21</f>
        <v>682</v>
      </c>
      <c r="G38" s="22">
        <f>'Small instances'!L21</f>
        <v>682</v>
      </c>
      <c r="H38" s="22">
        <f>'Small instances'!M21</f>
        <v>0.61</v>
      </c>
      <c r="I38" s="22">
        <f>'Small instances'!N21</f>
        <v>682</v>
      </c>
      <c r="J38" s="22">
        <f>'Small instances'!O21</f>
        <v>682</v>
      </c>
      <c r="K38" s="22">
        <f>'Small instances'!P21</f>
        <v>682</v>
      </c>
      <c r="L38" s="23">
        <f>'Small instances'!Q21</f>
        <v>9.7000000000000058E-2</v>
      </c>
      <c r="N38">
        <f t="shared" si="0"/>
        <v>0</v>
      </c>
      <c r="P38">
        <f t="shared" si="1"/>
        <v>0</v>
      </c>
      <c r="R38">
        <f t="shared" si="2"/>
        <v>1</v>
      </c>
      <c r="S38">
        <f t="shared" si="3"/>
        <v>0</v>
      </c>
    </row>
    <row r="39" spans="1:19" x14ac:dyDescent="0.3">
      <c r="A39" s="25"/>
      <c r="B39" s="25"/>
      <c r="C39" s="25"/>
      <c r="D39" s="22">
        <v>3</v>
      </c>
      <c r="E39" s="22">
        <f>'Small instances'!J33</f>
        <v>952</v>
      </c>
      <c r="F39" s="22">
        <f>'Small instances'!K33</f>
        <v>952</v>
      </c>
      <c r="G39" s="22">
        <f>'Small instances'!L33</f>
        <v>952</v>
      </c>
      <c r="H39" s="22">
        <f>'Small instances'!M33</f>
        <v>2.2000000000000002</v>
      </c>
      <c r="I39" s="22">
        <f>'Small instances'!N33</f>
        <v>952</v>
      </c>
      <c r="J39" s="22">
        <f>'Small instances'!O33</f>
        <v>952</v>
      </c>
      <c r="K39" s="22">
        <f>'Small instances'!P33</f>
        <v>952</v>
      </c>
      <c r="L39" s="23">
        <f>'Small instances'!Q33</f>
        <v>4.8000000000000029E-2</v>
      </c>
      <c r="N39">
        <f t="shared" si="0"/>
        <v>0</v>
      </c>
      <c r="P39">
        <f t="shared" si="1"/>
        <v>0</v>
      </c>
      <c r="R39">
        <f t="shared" si="2"/>
        <v>1</v>
      </c>
      <c r="S39">
        <f t="shared" si="3"/>
        <v>0</v>
      </c>
    </row>
    <row r="40" spans="1:19" x14ac:dyDescent="0.3">
      <c r="A40" s="25"/>
      <c r="B40" s="25"/>
      <c r="C40" s="25"/>
      <c r="D40" s="22">
        <v>4</v>
      </c>
      <c r="E40" s="22">
        <f>'Small instances'!J45</f>
        <v>740</v>
      </c>
      <c r="F40" s="22">
        <f>'Small instances'!K45</f>
        <v>740</v>
      </c>
      <c r="G40" s="22">
        <f>'Small instances'!L45</f>
        <v>740</v>
      </c>
      <c r="H40" s="22">
        <f>'Small instances'!M45</f>
        <v>2.48</v>
      </c>
      <c r="I40" s="22">
        <f>'Small instances'!N45</f>
        <v>740</v>
      </c>
      <c r="J40" s="22">
        <f>'Small instances'!O45</f>
        <v>740</v>
      </c>
      <c r="K40" s="22">
        <f>'Small instances'!P45</f>
        <v>740</v>
      </c>
      <c r="L40" s="23">
        <f>'Small instances'!Q45</f>
        <v>8.3000000000000046E-2</v>
      </c>
      <c r="N40">
        <f t="shared" si="0"/>
        <v>0</v>
      </c>
      <c r="P40">
        <f t="shared" si="1"/>
        <v>0</v>
      </c>
      <c r="R40">
        <f t="shared" si="2"/>
        <v>1</v>
      </c>
      <c r="S40">
        <f t="shared" si="3"/>
        <v>0</v>
      </c>
    </row>
    <row r="41" spans="1:19" x14ac:dyDescent="0.3">
      <c r="A41" s="25"/>
      <c r="B41" s="26"/>
      <c r="C41" s="26"/>
      <c r="D41" s="21">
        <v>5</v>
      </c>
      <c r="E41" s="21">
        <f>'Small instances'!J57</f>
        <v>862</v>
      </c>
      <c r="F41" s="21">
        <f>'Small instances'!K57</f>
        <v>862</v>
      </c>
      <c r="G41" s="21">
        <f>'Small instances'!L57</f>
        <v>862</v>
      </c>
      <c r="H41" s="21">
        <f>'Small instances'!M57</f>
        <v>0.66</v>
      </c>
      <c r="I41" s="21">
        <f>'Small instances'!N57</f>
        <v>862</v>
      </c>
      <c r="J41" s="21">
        <f>'Small instances'!O57</f>
        <v>862</v>
      </c>
      <c r="K41" s="21">
        <f>'Small instances'!P57</f>
        <v>862</v>
      </c>
      <c r="L41" s="24">
        <f>'Small instances'!Q57</f>
        <v>4.5000000000000019E-2</v>
      </c>
      <c r="N41">
        <f t="shared" si="0"/>
        <v>0</v>
      </c>
      <c r="P41">
        <f t="shared" si="1"/>
        <v>0</v>
      </c>
      <c r="R41">
        <f t="shared" si="2"/>
        <v>1</v>
      </c>
      <c r="S41">
        <f t="shared" si="3"/>
        <v>0</v>
      </c>
    </row>
    <row r="42" spans="1:19" x14ac:dyDescent="0.3">
      <c r="A42" s="25"/>
      <c r="B42" s="27">
        <v>0.7</v>
      </c>
      <c r="C42" s="27" t="s">
        <v>2</v>
      </c>
      <c r="D42" s="28">
        <v>1</v>
      </c>
      <c r="E42" s="28">
        <f>'Small instances'!J10</f>
        <v>1067</v>
      </c>
      <c r="F42" s="28">
        <f>'Small instances'!K10</f>
        <v>1067</v>
      </c>
      <c r="G42" s="28">
        <f>'Small instances'!L10</f>
        <v>1067</v>
      </c>
      <c r="H42" s="28">
        <f>'Small instances'!M10</f>
        <v>9.92</v>
      </c>
      <c r="I42" s="28">
        <f>'Small instances'!N10</f>
        <v>1067</v>
      </c>
      <c r="J42" s="28">
        <f>'Small instances'!O10</f>
        <v>1067</v>
      </c>
      <c r="K42" s="28">
        <f>'Small instances'!P10</f>
        <v>1067</v>
      </c>
      <c r="L42" s="29">
        <f>'Small instances'!Q10</f>
        <v>0.20400000000000007</v>
      </c>
      <c r="N42">
        <f t="shared" si="0"/>
        <v>0</v>
      </c>
      <c r="P42">
        <f t="shared" si="1"/>
        <v>0</v>
      </c>
      <c r="R42">
        <f t="shared" si="2"/>
        <v>1</v>
      </c>
      <c r="S42">
        <f t="shared" si="3"/>
        <v>0</v>
      </c>
    </row>
    <row r="43" spans="1:19" x14ac:dyDescent="0.3">
      <c r="A43" s="25"/>
      <c r="B43" s="25"/>
      <c r="C43" s="25"/>
      <c r="D43" s="22">
        <v>2</v>
      </c>
      <c r="E43" s="22">
        <f>'Small instances'!J22</f>
        <v>1122</v>
      </c>
      <c r="F43" s="22">
        <f>'Small instances'!K22</f>
        <v>1122</v>
      </c>
      <c r="G43" s="22">
        <f>'Small instances'!L22</f>
        <v>1122</v>
      </c>
      <c r="H43" s="22">
        <f>'Small instances'!M22</f>
        <v>6.17</v>
      </c>
      <c r="I43" s="22">
        <f>'Small instances'!N22</f>
        <v>1122</v>
      </c>
      <c r="J43" s="22">
        <f>'Small instances'!O22</f>
        <v>1122</v>
      </c>
      <c r="K43" s="22">
        <f>'Small instances'!P22</f>
        <v>1122</v>
      </c>
      <c r="L43" s="23">
        <f>'Small instances'!Q22</f>
        <v>4.8000000000000022E-2</v>
      </c>
      <c r="N43">
        <f t="shared" si="0"/>
        <v>0</v>
      </c>
      <c r="P43">
        <f t="shared" si="1"/>
        <v>0</v>
      </c>
      <c r="R43">
        <f t="shared" si="2"/>
        <v>1</v>
      </c>
      <c r="S43">
        <f t="shared" si="3"/>
        <v>0</v>
      </c>
    </row>
    <row r="44" spans="1:19" x14ac:dyDescent="0.3">
      <c r="A44" s="25"/>
      <c r="B44" s="25"/>
      <c r="C44" s="25"/>
      <c r="D44" s="22">
        <v>3</v>
      </c>
      <c r="E44" s="22">
        <f>'Small instances'!J34</f>
        <v>1171</v>
      </c>
      <c r="F44" s="22">
        <f>'Small instances'!K34</f>
        <v>1171</v>
      </c>
      <c r="G44" s="22">
        <f>'Small instances'!L34</f>
        <v>1171</v>
      </c>
      <c r="H44" s="22">
        <f>'Small instances'!M34</f>
        <v>6.55</v>
      </c>
      <c r="I44" s="22">
        <f>'Small instances'!N34</f>
        <v>1171</v>
      </c>
      <c r="J44" s="22">
        <f>'Small instances'!O34</f>
        <v>1171</v>
      </c>
      <c r="K44" s="22">
        <f>'Small instances'!P34</f>
        <v>1171</v>
      </c>
      <c r="L44" s="23">
        <f>'Small instances'!Q34</f>
        <v>5.4000000000000034E-2</v>
      </c>
      <c r="N44">
        <f t="shared" si="0"/>
        <v>0</v>
      </c>
      <c r="P44">
        <f t="shared" si="1"/>
        <v>0</v>
      </c>
      <c r="R44">
        <f t="shared" si="2"/>
        <v>1</v>
      </c>
      <c r="S44">
        <f t="shared" si="3"/>
        <v>0</v>
      </c>
    </row>
    <row r="45" spans="1:19" x14ac:dyDescent="0.3">
      <c r="A45" s="25"/>
      <c r="B45" s="25"/>
      <c r="C45" s="25"/>
      <c r="D45" s="22">
        <v>4</v>
      </c>
      <c r="E45" s="22">
        <f>'Small instances'!J46</f>
        <v>1154</v>
      </c>
      <c r="F45" s="22">
        <f>'Small instances'!K46</f>
        <v>1154</v>
      </c>
      <c r="G45" s="22">
        <f>'Small instances'!L46</f>
        <v>1154</v>
      </c>
      <c r="H45" s="22">
        <f>'Small instances'!M46</f>
        <v>7.8</v>
      </c>
      <c r="I45" s="22">
        <f>'Small instances'!N46</f>
        <v>1154</v>
      </c>
      <c r="J45" s="22">
        <f>'Small instances'!O46</f>
        <v>1154</v>
      </c>
      <c r="K45" s="22">
        <f>'Small instances'!P46</f>
        <v>1154</v>
      </c>
      <c r="L45" s="23">
        <f>'Small instances'!Q46</f>
        <v>0.128</v>
      </c>
      <c r="N45">
        <f t="shared" si="0"/>
        <v>0</v>
      </c>
      <c r="P45">
        <f t="shared" si="1"/>
        <v>0</v>
      </c>
      <c r="R45">
        <f t="shared" si="2"/>
        <v>1</v>
      </c>
      <c r="S45">
        <f t="shared" si="3"/>
        <v>0</v>
      </c>
    </row>
    <row r="46" spans="1:19" x14ac:dyDescent="0.3">
      <c r="A46" s="25"/>
      <c r="B46" s="25"/>
      <c r="C46" s="26"/>
      <c r="D46" s="21">
        <v>5</v>
      </c>
      <c r="E46" s="21">
        <f>'Small instances'!J58</f>
        <v>1211</v>
      </c>
      <c r="F46" s="21">
        <f>'Small instances'!K58</f>
        <v>1211</v>
      </c>
      <c r="G46" s="21">
        <f>'Small instances'!L58</f>
        <v>1211</v>
      </c>
      <c r="H46" s="21">
        <f>'Small instances'!M58</f>
        <v>14.47</v>
      </c>
      <c r="I46" s="21">
        <f>'Small instances'!N58</f>
        <v>1211</v>
      </c>
      <c r="J46" s="21">
        <f>'Small instances'!O58</f>
        <v>1211</v>
      </c>
      <c r="K46" s="21">
        <f>'Small instances'!P58</f>
        <v>1211</v>
      </c>
      <c r="L46" s="24">
        <f>'Small instances'!Q58</f>
        <v>7.0000000000000021E-2</v>
      </c>
      <c r="N46">
        <f t="shared" si="0"/>
        <v>0</v>
      </c>
      <c r="P46">
        <f t="shared" si="1"/>
        <v>0</v>
      </c>
      <c r="R46">
        <f t="shared" si="2"/>
        <v>1</v>
      </c>
      <c r="S46">
        <f t="shared" si="3"/>
        <v>0</v>
      </c>
    </row>
    <row r="47" spans="1:19" x14ac:dyDescent="0.3">
      <c r="A47" s="25"/>
      <c r="B47" s="25"/>
      <c r="C47" s="25" t="s">
        <v>3</v>
      </c>
      <c r="D47" s="22">
        <v>1</v>
      </c>
      <c r="E47" s="22">
        <f>'Small instances'!J11</f>
        <v>800</v>
      </c>
      <c r="F47" s="22">
        <f>'Small instances'!K11</f>
        <v>800</v>
      </c>
      <c r="G47" s="22">
        <f>'Small instances'!L11</f>
        <v>800</v>
      </c>
      <c r="H47" s="22">
        <f>'Small instances'!M11</f>
        <v>2698.22</v>
      </c>
      <c r="I47" s="22">
        <f>'Small instances'!N11</f>
        <v>800</v>
      </c>
      <c r="J47" s="22">
        <f>'Small instances'!O11</f>
        <v>800</v>
      </c>
      <c r="K47" s="22">
        <f>'Small instances'!P11</f>
        <v>800</v>
      </c>
      <c r="L47" s="23">
        <f>'Small instances'!Q11</f>
        <v>0.3040000000000001</v>
      </c>
      <c r="N47">
        <f t="shared" si="0"/>
        <v>0</v>
      </c>
      <c r="P47">
        <f t="shared" si="1"/>
        <v>0</v>
      </c>
      <c r="R47">
        <f t="shared" si="2"/>
        <v>1</v>
      </c>
      <c r="S47">
        <f t="shared" si="3"/>
        <v>0</v>
      </c>
    </row>
    <row r="48" spans="1:19" x14ac:dyDescent="0.3">
      <c r="A48" s="25"/>
      <c r="B48" s="25"/>
      <c r="C48" s="25"/>
      <c r="D48" s="22">
        <v>2</v>
      </c>
      <c r="E48" s="22">
        <f>'Small instances'!J23</f>
        <v>1098</v>
      </c>
      <c r="F48" s="22">
        <f>'Small instances'!K23</f>
        <v>1098</v>
      </c>
      <c r="G48" s="22">
        <f>'Small instances'!L23</f>
        <v>1098</v>
      </c>
      <c r="H48" s="22">
        <f>'Small instances'!M23</f>
        <v>10.41</v>
      </c>
      <c r="I48" s="22">
        <f>'Small instances'!N23</f>
        <v>1098</v>
      </c>
      <c r="J48" s="22">
        <f>'Small instances'!O23</f>
        <v>1098</v>
      </c>
      <c r="K48" s="22">
        <f>'Small instances'!P23</f>
        <v>1098</v>
      </c>
      <c r="L48" s="23">
        <f>'Small instances'!Q23</f>
        <v>4.4000000000000025E-2</v>
      </c>
      <c r="N48">
        <f t="shared" si="0"/>
        <v>0</v>
      </c>
      <c r="P48">
        <f t="shared" si="1"/>
        <v>0</v>
      </c>
      <c r="R48">
        <f t="shared" si="2"/>
        <v>1</v>
      </c>
      <c r="S48">
        <f t="shared" si="3"/>
        <v>0</v>
      </c>
    </row>
    <row r="49" spans="1:19" x14ac:dyDescent="0.3">
      <c r="A49" s="25"/>
      <c r="B49" s="25"/>
      <c r="C49" s="25"/>
      <c r="D49" s="22">
        <v>3</v>
      </c>
      <c r="E49" s="22">
        <f>'Small instances'!J35</f>
        <v>826</v>
      </c>
      <c r="F49" s="22">
        <f>'Small instances'!K35</f>
        <v>826</v>
      </c>
      <c r="G49" s="22">
        <f>'Small instances'!L35</f>
        <v>826</v>
      </c>
      <c r="H49" s="22">
        <f>'Small instances'!M35</f>
        <v>32.979999999999997</v>
      </c>
      <c r="I49" s="22">
        <f>'Small instances'!N35</f>
        <v>826</v>
      </c>
      <c r="J49" s="22">
        <f>'Small instances'!O35</f>
        <v>826</v>
      </c>
      <c r="K49" s="22">
        <f>'Small instances'!P35</f>
        <v>826</v>
      </c>
      <c r="L49" s="23">
        <f>'Small instances'!Q35</f>
        <v>7.600000000000004E-2</v>
      </c>
      <c r="N49">
        <f t="shared" si="0"/>
        <v>0</v>
      </c>
      <c r="P49">
        <f t="shared" si="1"/>
        <v>0</v>
      </c>
      <c r="R49">
        <f t="shared" si="2"/>
        <v>1</v>
      </c>
      <c r="S49">
        <f t="shared" si="3"/>
        <v>0</v>
      </c>
    </row>
    <row r="50" spans="1:19" x14ac:dyDescent="0.3">
      <c r="A50" s="25"/>
      <c r="B50" s="25"/>
      <c r="C50" s="25"/>
      <c r="D50" s="22">
        <v>4</v>
      </c>
      <c r="E50" s="22">
        <f>'Small instances'!J47</f>
        <v>1027</v>
      </c>
      <c r="F50" s="22">
        <f>'Small instances'!K47</f>
        <v>1027</v>
      </c>
      <c r="G50" s="22">
        <f>'Small instances'!L47</f>
        <v>1027</v>
      </c>
      <c r="H50" s="22">
        <f>'Small instances'!M47</f>
        <v>27.67</v>
      </c>
      <c r="I50" s="22">
        <f>'Small instances'!N47</f>
        <v>1027</v>
      </c>
      <c r="J50" s="22">
        <f>'Small instances'!O47</f>
        <v>1027</v>
      </c>
      <c r="K50" s="22">
        <f>'Small instances'!P47</f>
        <v>1027</v>
      </c>
      <c r="L50" s="23">
        <f>'Small instances'!Q47</f>
        <v>0.30100000000000016</v>
      </c>
      <c r="N50">
        <f t="shared" si="0"/>
        <v>0</v>
      </c>
      <c r="P50">
        <f t="shared" si="1"/>
        <v>0</v>
      </c>
      <c r="R50">
        <f t="shared" si="2"/>
        <v>1</v>
      </c>
      <c r="S50">
        <f t="shared" si="3"/>
        <v>0</v>
      </c>
    </row>
    <row r="51" spans="1:19" x14ac:dyDescent="0.3">
      <c r="A51" s="25"/>
      <c r="B51" s="26"/>
      <c r="C51" s="26"/>
      <c r="D51" s="21">
        <v>5</v>
      </c>
      <c r="E51" s="21">
        <f>'Small instances'!J59</f>
        <v>1021</v>
      </c>
      <c r="F51" s="21">
        <f>'Small instances'!K59</f>
        <v>1021</v>
      </c>
      <c r="G51" s="21">
        <f>'Small instances'!L59</f>
        <v>1021</v>
      </c>
      <c r="H51" s="21">
        <f>'Small instances'!M59</f>
        <v>58.91</v>
      </c>
      <c r="I51" s="21">
        <f>'Small instances'!N59</f>
        <v>1021</v>
      </c>
      <c r="J51" s="21">
        <f>'Small instances'!O59</f>
        <v>1021</v>
      </c>
      <c r="K51" s="21">
        <f>'Small instances'!P59</f>
        <v>1021</v>
      </c>
      <c r="L51" s="24">
        <f>'Small instances'!Q59</f>
        <v>0.17300000000000007</v>
      </c>
      <c r="N51">
        <f t="shared" si="0"/>
        <v>0</v>
      </c>
      <c r="P51">
        <f t="shared" si="1"/>
        <v>0</v>
      </c>
      <c r="R51">
        <f t="shared" si="2"/>
        <v>1</v>
      </c>
      <c r="S51">
        <f t="shared" si="3"/>
        <v>0</v>
      </c>
    </row>
    <row r="52" spans="1:19" x14ac:dyDescent="0.3">
      <c r="A52" s="25"/>
      <c r="B52" s="25">
        <v>0.9</v>
      </c>
      <c r="C52" s="27" t="s">
        <v>2</v>
      </c>
      <c r="D52" s="28">
        <v>1</v>
      </c>
      <c r="E52" s="28">
        <f>'Small instances'!J12</f>
        <v>1429</v>
      </c>
      <c r="F52" s="28">
        <f>'Small instances'!K12</f>
        <v>1429</v>
      </c>
      <c r="G52" s="28">
        <f>'Small instances'!L12</f>
        <v>1014</v>
      </c>
      <c r="H52" s="28">
        <f>'Small instances'!M12</f>
        <v>3600</v>
      </c>
      <c r="I52" s="28">
        <f>'Small instances'!N12</f>
        <v>1429</v>
      </c>
      <c r="J52" s="28">
        <f>'Small instances'!O12</f>
        <v>1429</v>
      </c>
      <c r="K52" s="28">
        <f>'Small instances'!P12</f>
        <v>1429</v>
      </c>
      <c r="L52" s="29">
        <f>'Small instances'!Q12</f>
        <v>0.65600000000000025</v>
      </c>
      <c r="N52">
        <f t="shared" si="0"/>
        <v>0</v>
      </c>
      <c r="P52">
        <f t="shared" si="1"/>
        <v>1</v>
      </c>
      <c r="R52">
        <f t="shared" si="2"/>
        <v>0</v>
      </c>
      <c r="S52">
        <f t="shared" si="3"/>
        <v>0</v>
      </c>
    </row>
    <row r="53" spans="1:19" x14ac:dyDescent="0.3">
      <c r="A53" s="25"/>
      <c r="B53" s="25"/>
      <c r="C53" s="25"/>
      <c r="D53" s="22">
        <v>2</v>
      </c>
      <c r="E53" s="22">
        <f>'Small instances'!J24</f>
        <v>915</v>
      </c>
      <c r="F53" s="22">
        <f>'Small instances'!K24</f>
        <v>915</v>
      </c>
      <c r="G53" s="22">
        <f>'Small instances'!L24</f>
        <v>811</v>
      </c>
      <c r="H53" s="22">
        <f>'Small instances'!M24</f>
        <v>3600</v>
      </c>
      <c r="I53" s="22">
        <f>'Small instances'!N24</f>
        <v>915</v>
      </c>
      <c r="J53" s="22">
        <f>'Small instances'!O24</f>
        <v>915</v>
      </c>
      <c r="K53" s="22">
        <f>'Small instances'!P24</f>
        <v>915</v>
      </c>
      <c r="L53" s="23">
        <f>'Small instances'!Q24</f>
        <v>1.3000000000000003</v>
      </c>
      <c r="N53">
        <f t="shared" si="0"/>
        <v>0</v>
      </c>
      <c r="P53">
        <f t="shared" si="1"/>
        <v>1</v>
      </c>
      <c r="R53">
        <f t="shared" si="2"/>
        <v>0</v>
      </c>
      <c r="S53">
        <f t="shared" si="3"/>
        <v>0</v>
      </c>
    </row>
    <row r="54" spans="1:19" x14ac:dyDescent="0.3">
      <c r="A54" s="25"/>
      <c r="B54" s="25"/>
      <c r="C54" s="25"/>
      <c r="D54" s="22">
        <v>3</v>
      </c>
      <c r="E54" s="22">
        <f>'Small instances'!J36</f>
        <v>1061</v>
      </c>
      <c r="F54" s="22">
        <f>'Small instances'!K36</f>
        <v>1061</v>
      </c>
      <c r="G54" s="23">
        <f>'Small instances'!L36</f>
        <v>676.98239999999998</v>
      </c>
      <c r="H54" s="22">
        <f>'Small instances'!M36</f>
        <v>3600</v>
      </c>
      <c r="I54" s="22">
        <f>'Small instances'!N36</f>
        <v>1061</v>
      </c>
      <c r="J54" s="22">
        <f>'Small instances'!O36</f>
        <v>1061</v>
      </c>
      <c r="K54" s="22">
        <f>'Small instances'!P36</f>
        <v>1061</v>
      </c>
      <c r="L54" s="23">
        <f>'Small instances'!Q36</f>
        <v>2.9289999999999998</v>
      </c>
      <c r="N54">
        <f t="shared" si="0"/>
        <v>0</v>
      </c>
      <c r="P54">
        <f t="shared" si="1"/>
        <v>1</v>
      </c>
      <c r="R54">
        <f t="shared" si="2"/>
        <v>0</v>
      </c>
      <c r="S54">
        <f t="shared" si="3"/>
        <v>0</v>
      </c>
    </row>
    <row r="55" spans="1:19" x14ac:dyDescent="0.3">
      <c r="A55" s="25"/>
      <c r="B55" s="25"/>
      <c r="C55" s="25"/>
      <c r="D55" s="22">
        <v>4</v>
      </c>
      <c r="E55" s="22">
        <f>'Small instances'!J48</f>
        <v>1242</v>
      </c>
      <c r="F55" s="22">
        <f>'Small instances'!K48</f>
        <v>1242</v>
      </c>
      <c r="G55" s="22">
        <f>'Small instances'!L48</f>
        <v>1013</v>
      </c>
      <c r="H55" s="22">
        <f>'Small instances'!M48</f>
        <v>3600</v>
      </c>
      <c r="I55" s="22">
        <f>'Small instances'!N48</f>
        <v>1242</v>
      </c>
      <c r="J55" s="22">
        <f>'Small instances'!O48</f>
        <v>1242</v>
      </c>
      <c r="K55" s="22">
        <f>'Small instances'!P48</f>
        <v>1242</v>
      </c>
      <c r="L55" s="23">
        <f>'Small instances'!Q48</f>
        <v>0.24700000000000003</v>
      </c>
      <c r="N55">
        <f t="shared" si="0"/>
        <v>0</v>
      </c>
      <c r="P55">
        <f t="shared" si="1"/>
        <v>1</v>
      </c>
      <c r="R55">
        <f t="shared" si="2"/>
        <v>0</v>
      </c>
      <c r="S55">
        <f t="shared" si="3"/>
        <v>0</v>
      </c>
    </row>
    <row r="56" spans="1:19" x14ac:dyDescent="0.3">
      <c r="A56" s="25"/>
      <c r="B56" s="25"/>
      <c r="C56" s="26"/>
      <c r="D56" s="21">
        <v>5</v>
      </c>
      <c r="E56" s="21">
        <f>'Small instances'!J60</f>
        <v>1112</v>
      </c>
      <c r="F56" s="21">
        <f>'Small instances'!K60</f>
        <v>1112</v>
      </c>
      <c r="G56" s="21">
        <f>'Small instances'!L60</f>
        <v>878</v>
      </c>
      <c r="H56" s="21">
        <f>'Small instances'!M60</f>
        <v>3600</v>
      </c>
      <c r="I56" s="21">
        <f>'Small instances'!N60</f>
        <v>1112</v>
      </c>
      <c r="J56" s="21">
        <f>'Small instances'!O60</f>
        <v>1112</v>
      </c>
      <c r="K56" s="21">
        <f>'Small instances'!P60</f>
        <v>1112</v>
      </c>
      <c r="L56" s="24">
        <f>'Small instances'!Q60</f>
        <v>0.63400000000000012</v>
      </c>
      <c r="N56">
        <f t="shared" si="0"/>
        <v>0</v>
      </c>
      <c r="P56">
        <f t="shared" si="1"/>
        <v>1</v>
      </c>
      <c r="R56">
        <f t="shared" si="2"/>
        <v>0</v>
      </c>
      <c r="S56">
        <f t="shared" si="3"/>
        <v>0</v>
      </c>
    </row>
    <row r="57" spans="1:19" x14ac:dyDescent="0.3">
      <c r="A57" s="25"/>
      <c r="B57" s="25"/>
      <c r="C57" s="25" t="s">
        <v>3</v>
      </c>
      <c r="D57" s="22">
        <v>1</v>
      </c>
      <c r="E57" s="22">
        <f>'Small instances'!J13</f>
        <v>900</v>
      </c>
      <c r="F57" s="22">
        <f>'Small instances'!K13</f>
        <v>900</v>
      </c>
      <c r="G57" s="22">
        <f>'Small instances'!L13</f>
        <v>900</v>
      </c>
      <c r="H57" s="22">
        <f>'Small instances'!M13</f>
        <v>177.02</v>
      </c>
      <c r="I57" s="22">
        <f>'Small instances'!N13</f>
        <v>900</v>
      </c>
      <c r="J57" s="22">
        <f>'Small instances'!O13</f>
        <v>900</v>
      </c>
      <c r="K57" s="22">
        <f>'Small instances'!P13</f>
        <v>900</v>
      </c>
      <c r="L57" s="23">
        <f>'Small instances'!Q13</f>
        <v>1.0990000000000002</v>
      </c>
      <c r="N57">
        <f t="shared" si="0"/>
        <v>0</v>
      </c>
      <c r="P57">
        <f t="shared" si="1"/>
        <v>0</v>
      </c>
      <c r="R57">
        <f t="shared" si="2"/>
        <v>1</v>
      </c>
      <c r="S57">
        <f t="shared" si="3"/>
        <v>0</v>
      </c>
    </row>
    <row r="58" spans="1:19" x14ac:dyDescent="0.3">
      <c r="A58" s="25"/>
      <c r="B58" s="25"/>
      <c r="C58" s="25"/>
      <c r="D58" s="22">
        <v>2</v>
      </c>
      <c r="E58" s="22">
        <f>'Small instances'!J25</f>
        <v>1027</v>
      </c>
      <c r="F58" s="22">
        <f>'Small instances'!K25</f>
        <v>1027</v>
      </c>
      <c r="G58" s="22">
        <f>'Small instances'!L25</f>
        <v>1027</v>
      </c>
      <c r="H58" s="22">
        <f>'Small instances'!M25</f>
        <v>156.16999999999999</v>
      </c>
      <c r="I58" s="22">
        <f>'Small instances'!N25</f>
        <v>1027</v>
      </c>
      <c r="J58" s="22">
        <f>'Small instances'!O25</f>
        <v>1027</v>
      </c>
      <c r="K58" s="22">
        <f>'Small instances'!P25</f>
        <v>1027</v>
      </c>
      <c r="L58" s="23">
        <f>'Small instances'!Q25</f>
        <v>0.22700000000000012</v>
      </c>
      <c r="N58">
        <f t="shared" si="0"/>
        <v>0</v>
      </c>
      <c r="P58">
        <f t="shared" si="1"/>
        <v>0</v>
      </c>
      <c r="R58">
        <f t="shared" si="2"/>
        <v>1</v>
      </c>
      <c r="S58">
        <f t="shared" si="3"/>
        <v>0</v>
      </c>
    </row>
    <row r="59" spans="1:19" x14ac:dyDescent="0.3">
      <c r="A59" s="25"/>
      <c r="B59" s="25"/>
      <c r="C59" s="25"/>
      <c r="D59" s="22">
        <v>3</v>
      </c>
      <c r="E59" s="22">
        <f>'Small instances'!J37</f>
        <v>1256</v>
      </c>
      <c r="F59" s="22">
        <f>'Small instances'!K37</f>
        <v>1256</v>
      </c>
      <c r="G59" s="22">
        <f>'Small instances'!L37</f>
        <v>743</v>
      </c>
      <c r="H59" s="22">
        <f>'Small instances'!M37</f>
        <v>3600</v>
      </c>
      <c r="I59" s="22">
        <f>'Small instances'!N37</f>
        <v>1256</v>
      </c>
      <c r="J59" s="22">
        <f>'Small instances'!O37</f>
        <v>1256</v>
      </c>
      <c r="K59" s="22">
        <f>'Small instances'!P37</f>
        <v>1256</v>
      </c>
      <c r="L59" s="23">
        <f>'Small instances'!Q37</f>
        <v>0.19000000000000003</v>
      </c>
      <c r="N59">
        <f t="shared" si="0"/>
        <v>0</v>
      </c>
      <c r="P59">
        <f t="shared" si="1"/>
        <v>1</v>
      </c>
      <c r="R59">
        <f t="shared" si="2"/>
        <v>0</v>
      </c>
      <c r="S59">
        <f t="shared" si="3"/>
        <v>0</v>
      </c>
    </row>
    <row r="60" spans="1:19" x14ac:dyDescent="0.3">
      <c r="A60" s="25"/>
      <c r="B60" s="25"/>
      <c r="C60" s="25"/>
      <c r="D60" s="22">
        <v>4</v>
      </c>
      <c r="E60" s="22">
        <f>'Small instances'!J49</f>
        <v>927</v>
      </c>
      <c r="F60" s="22">
        <f>'Small instances'!K49</f>
        <v>927</v>
      </c>
      <c r="G60" s="22">
        <f>'Small instances'!L49</f>
        <v>927</v>
      </c>
      <c r="H60" s="22">
        <f>'Small instances'!M49</f>
        <v>23.11</v>
      </c>
      <c r="I60" s="22">
        <f>'Small instances'!N49</f>
        <v>927</v>
      </c>
      <c r="J60" s="22">
        <f>'Small instances'!O49</f>
        <v>927</v>
      </c>
      <c r="K60" s="22">
        <f>'Small instances'!P49</f>
        <v>927</v>
      </c>
      <c r="L60" s="23">
        <f>'Small instances'!Q49</f>
        <v>0.13400000000000004</v>
      </c>
      <c r="N60">
        <f t="shared" si="0"/>
        <v>0</v>
      </c>
      <c r="P60">
        <f t="shared" si="1"/>
        <v>0</v>
      </c>
      <c r="R60">
        <f t="shared" si="2"/>
        <v>1</v>
      </c>
      <c r="S60">
        <f t="shared" si="3"/>
        <v>0</v>
      </c>
    </row>
    <row r="61" spans="1:19" x14ac:dyDescent="0.3">
      <c r="A61" s="26"/>
      <c r="B61" s="26"/>
      <c r="C61" s="26"/>
      <c r="D61" s="21">
        <v>5</v>
      </c>
      <c r="E61" s="21">
        <f>'Small instances'!J61</f>
        <v>1291</v>
      </c>
      <c r="F61" s="21">
        <f>'Small instances'!K61</f>
        <v>1291</v>
      </c>
      <c r="G61" s="21">
        <f>'Small instances'!L61</f>
        <v>1291</v>
      </c>
      <c r="H61" s="21">
        <f>'Small instances'!M61</f>
        <v>35.409999999999997</v>
      </c>
      <c r="I61" s="21">
        <f>'Small instances'!N61</f>
        <v>1291</v>
      </c>
      <c r="J61" s="21">
        <f>'Small instances'!O61</f>
        <v>1291</v>
      </c>
      <c r="K61" s="21">
        <f>'Small instances'!P61</f>
        <v>1291</v>
      </c>
      <c r="L61" s="24">
        <f>'Small instances'!Q61</f>
        <v>0.24800000000000011</v>
      </c>
      <c r="N61">
        <f t="shared" si="0"/>
        <v>0</v>
      </c>
      <c r="P61">
        <f t="shared" si="1"/>
        <v>0</v>
      </c>
      <c r="R61">
        <f t="shared" si="2"/>
        <v>1</v>
      </c>
      <c r="S61">
        <f t="shared" si="3"/>
        <v>0</v>
      </c>
    </row>
    <row r="63" spans="1:19" x14ac:dyDescent="0.3">
      <c r="N63">
        <f>SUM(N2:N61)</f>
        <v>8</v>
      </c>
      <c r="P63">
        <f>SUM(P2:P61)</f>
        <v>21</v>
      </c>
      <c r="R63">
        <f>SUM(R2:R61)</f>
        <v>39</v>
      </c>
      <c r="S63">
        <f>SUM(S2:S61)/R63</f>
        <v>0.37362882404287068</v>
      </c>
    </row>
  </sheetData>
  <mergeCells count="20">
    <mergeCell ref="A2:A31"/>
    <mergeCell ref="A32:A61"/>
    <mergeCell ref="B2:B11"/>
    <mergeCell ref="B12:B21"/>
    <mergeCell ref="B22:B31"/>
    <mergeCell ref="B32:B41"/>
    <mergeCell ref="B42:B51"/>
    <mergeCell ref="B52:B61"/>
    <mergeCell ref="C57:C61"/>
    <mergeCell ref="C2:C6"/>
    <mergeCell ref="C7:C11"/>
    <mergeCell ref="C12:C16"/>
    <mergeCell ref="C17:C21"/>
    <mergeCell ref="C22:C26"/>
    <mergeCell ref="C27:C31"/>
    <mergeCell ref="C32:C36"/>
    <mergeCell ref="C37:C41"/>
    <mergeCell ref="C42:C46"/>
    <mergeCell ref="C47:C51"/>
    <mergeCell ref="C52:C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D496-DC27-4290-BCE7-2D8EC512E226}">
  <dimension ref="A1:N366"/>
  <sheetViews>
    <sheetView topLeftCell="A351" workbookViewId="0">
      <selection activeCell="C368" sqref="C368"/>
    </sheetView>
  </sheetViews>
  <sheetFormatPr defaultRowHeight="14.4" x14ac:dyDescent="0.3"/>
  <cols>
    <col min="4" max="6" width="10.33203125" customWidth="1"/>
  </cols>
  <sheetData>
    <row r="1" spans="1:14" x14ac:dyDescent="0.3">
      <c r="A1" t="s">
        <v>7</v>
      </c>
      <c r="B1" t="s">
        <v>8</v>
      </c>
      <c r="C1" t="s">
        <v>0</v>
      </c>
      <c r="D1" t="s">
        <v>33</v>
      </c>
      <c r="G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>
        <v>1.1494252873563218</v>
      </c>
      <c r="B2">
        <v>1.1494252873563224</v>
      </c>
      <c r="C2">
        <v>0.44420000000000009</v>
      </c>
      <c r="D2">
        <v>1.1494252873563218</v>
      </c>
      <c r="G2" t="s">
        <v>16</v>
      </c>
      <c r="I2">
        <v>1</v>
      </c>
      <c r="J2">
        <v>0.185</v>
      </c>
      <c r="K2">
        <v>0.185</v>
      </c>
      <c r="L2">
        <v>0.185</v>
      </c>
      <c r="M2">
        <v>0.09</v>
      </c>
      <c r="N2">
        <v>0.76500000000000001</v>
      </c>
    </row>
    <row r="3" spans="1:14" x14ac:dyDescent="0.3">
      <c r="A3">
        <v>0</v>
      </c>
      <c r="B3">
        <v>0</v>
      </c>
      <c r="C3">
        <v>6.666666666666667E-5</v>
      </c>
      <c r="D3">
        <v>0</v>
      </c>
      <c r="G3" t="s">
        <v>17</v>
      </c>
      <c r="I3">
        <v>2</v>
      </c>
      <c r="J3">
        <v>123.273</v>
      </c>
      <c r="K3">
        <v>123.273</v>
      </c>
      <c r="L3">
        <v>61.637</v>
      </c>
      <c r="M3">
        <v>29.89</v>
      </c>
      <c r="N3">
        <v>0</v>
      </c>
    </row>
    <row r="4" spans="1:14" x14ac:dyDescent="0.3">
      <c r="A4">
        <v>0.21186440677966101</v>
      </c>
      <c r="B4">
        <v>0.21186440677966092</v>
      </c>
      <c r="C4">
        <v>0.75183333333333346</v>
      </c>
      <c r="D4">
        <v>0.21186440677966101</v>
      </c>
      <c r="G4" t="s">
        <v>18</v>
      </c>
      <c r="I4">
        <v>1</v>
      </c>
      <c r="J4">
        <v>24.933</v>
      </c>
      <c r="K4">
        <v>24.933</v>
      </c>
      <c r="L4">
        <v>24.933</v>
      </c>
      <c r="M4">
        <v>12.09</v>
      </c>
      <c r="N4">
        <v>1E-3</v>
      </c>
    </row>
    <row r="5" spans="1:14" x14ac:dyDescent="0.3">
      <c r="A5">
        <v>6.192660550458716</v>
      </c>
      <c r="B5">
        <v>7.064220183486241</v>
      </c>
      <c r="C5">
        <v>1.0213333333333334</v>
      </c>
      <c r="D5">
        <v>8.2568807339449553</v>
      </c>
      <c r="G5" t="s">
        <v>19</v>
      </c>
      <c r="I5">
        <v>2</v>
      </c>
      <c r="J5">
        <v>76.138000000000005</v>
      </c>
      <c r="K5">
        <v>76.138000000000005</v>
      </c>
      <c r="L5">
        <v>38.069000000000003</v>
      </c>
      <c r="M5">
        <v>18.46</v>
      </c>
      <c r="N5">
        <v>0</v>
      </c>
    </row>
    <row r="6" spans="1:14" x14ac:dyDescent="0.3">
      <c r="A6">
        <v>0</v>
      </c>
      <c r="B6">
        <v>0</v>
      </c>
      <c r="C6">
        <v>2.2333333333333341E-3</v>
      </c>
      <c r="D6">
        <v>0</v>
      </c>
      <c r="G6" t="s">
        <v>20</v>
      </c>
      <c r="I6">
        <v>1</v>
      </c>
      <c r="J6">
        <v>84.947000000000003</v>
      </c>
      <c r="K6">
        <v>84.947000000000003</v>
      </c>
      <c r="L6">
        <v>84.947000000000003</v>
      </c>
      <c r="M6">
        <v>41.19</v>
      </c>
      <c r="N6">
        <v>0</v>
      </c>
    </row>
    <row r="7" spans="1:14" x14ac:dyDescent="0.3">
      <c r="A7">
        <v>2.1032504780114722</v>
      </c>
      <c r="B7">
        <v>2.1032504780114731</v>
      </c>
      <c r="C7">
        <v>1.5164666666666664</v>
      </c>
      <c r="D7">
        <v>2.1032504780114722</v>
      </c>
      <c r="G7" t="s">
        <v>21</v>
      </c>
      <c r="I7">
        <v>2</v>
      </c>
      <c r="J7">
        <v>6.343</v>
      </c>
      <c r="K7">
        <v>6.343</v>
      </c>
      <c r="L7">
        <v>3.1720000000000002</v>
      </c>
      <c r="M7">
        <v>1.54</v>
      </c>
      <c r="N7">
        <v>0.216</v>
      </c>
    </row>
    <row r="8" spans="1:14" x14ac:dyDescent="0.3">
      <c r="A8">
        <v>0</v>
      </c>
      <c r="B8">
        <v>0</v>
      </c>
      <c r="C8">
        <v>1.6000000000000007E-3</v>
      </c>
      <c r="D8">
        <v>0</v>
      </c>
      <c r="G8" t="s">
        <v>22</v>
      </c>
      <c r="I8">
        <v>1</v>
      </c>
      <c r="J8">
        <v>4.1879999999999997</v>
      </c>
      <c r="K8">
        <v>4.1879999999999997</v>
      </c>
      <c r="L8">
        <v>4.1879999999999997</v>
      </c>
      <c r="M8">
        <v>2.0299999999999998</v>
      </c>
      <c r="N8">
        <v>0.155</v>
      </c>
    </row>
    <row r="9" spans="1:14" x14ac:dyDescent="0.3">
      <c r="A9">
        <v>0</v>
      </c>
      <c r="B9">
        <v>0</v>
      </c>
      <c r="C9">
        <v>2.066666666666668E-3</v>
      </c>
      <c r="D9">
        <v>0</v>
      </c>
      <c r="G9" t="s">
        <v>23</v>
      </c>
      <c r="I9">
        <v>2</v>
      </c>
      <c r="J9">
        <v>2.37</v>
      </c>
      <c r="K9">
        <v>2.37</v>
      </c>
      <c r="L9">
        <v>1.1850000000000001</v>
      </c>
      <c r="M9">
        <v>0.56999999999999995</v>
      </c>
      <c r="N9">
        <v>0.56399999999999995</v>
      </c>
    </row>
    <row r="10" spans="1:14" x14ac:dyDescent="0.3">
      <c r="A10">
        <v>0</v>
      </c>
      <c r="B10">
        <v>0</v>
      </c>
      <c r="C10">
        <v>6.8000000000000022E-3</v>
      </c>
      <c r="D10">
        <v>0</v>
      </c>
      <c r="G10" t="s">
        <v>24</v>
      </c>
      <c r="I10">
        <v>1</v>
      </c>
      <c r="J10">
        <v>8.9280000000000008</v>
      </c>
      <c r="K10">
        <v>8.9280000000000008</v>
      </c>
      <c r="L10">
        <v>8.9280000000000008</v>
      </c>
      <c r="M10">
        <v>4.33</v>
      </c>
      <c r="N10">
        <v>3.7999999999999999E-2</v>
      </c>
    </row>
    <row r="11" spans="1:14" x14ac:dyDescent="0.3">
      <c r="A11">
        <v>0</v>
      </c>
      <c r="B11">
        <v>0</v>
      </c>
      <c r="C11">
        <v>1.0133333333333336E-2</v>
      </c>
      <c r="D11">
        <v>0</v>
      </c>
      <c r="G11" t="s">
        <v>25</v>
      </c>
      <c r="I11">
        <v>2</v>
      </c>
      <c r="J11">
        <v>170.804</v>
      </c>
      <c r="K11">
        <v>170.804</v>
      </c>
      <c r="L11">
        <v>85.402000000000001</v>
      </c>
      <c r="M11">
        <v>41.41</v>
      </c>
      <c r="N11">
        <v>0</v>
      </c>
    </row>
    <row r="12" spans="1:14" x14ac:dyDescent="0.3">
      <c r="A12">
        <v>0</v>
      </c>
      <c r="B12">
        <v>0</v>
      </c>
      <c r="C12">
        <v>2.1866666666666677E-2</v>
      </c>
      <c r="D12">
        <v>0</v>
      </c>
      <c r="G12" t="s">
        <v>26</v>
      </c>
      <c r="I12">
        <v>4</v>
      </c>
      <c r="J12">
        <v>54.174999999999997</v>
      </c>
      <c r="K12">
        <v>54.174999999999997</v>
      </c>
      <c r="L12">
        <v>13.544</v>
      </c>
      <c r="M12">
        <v>6.57</v>
      </c>
      <c r="N12">
        <v>0</v>
      </c>
    </row>
    <row r="13" spans="1:14" x14ac:dyDescent="0.3">
      <c r="A13">
        <v>0</v>
      </c>
      <c r="B13">
        <v>0</v>
      </c>
      <c r="C13">
        <v>3.6633333333333337E-2</v>
      </c>
      <c r="D13">
        <v>0</v>
      </c>
      <c r="G13" t="s">
        <v>27</v>
      </c>
      <c r="I13">
        <v>2</v>
      </c>
      <c r="J13">
        <v>44.295999999999999</v>
      </c>
      <c r="K13">
        <v>44.295999999999999</v>
      </c>
      <c r="L13">
        <v>22.148</v>
      </c>
      <c r="M13">
        <v>10.74</v>
      </c>
      <c r="N13">
        <v>0</v>
      </c>
    </row>
    <row r="14" spans="1:14" x14ac:dyDescent="0.3">
      <c r="A14">
        <v>1.4678899082568808</v>
      </c>
      <c r="B14">
        <v>1.4678899082568797</v>
      </c>
      <c r="C14">
        <v>0.72540000000000004</v>
      </c>
      <c r="D14">
        <v>1.4678899082568808</v>
      </c>
      <c r="G14" t="s">
        <v>28</v>
      </c>
      <c r="I14">
        <v>2</v>
      </c>
      <c r="J14">
        <v>113.003</v>
      </c>
      <c r="K14">
        <v>113.003</v>
      </c>
      <c r="L14">
        <v>56.500999999999998</v>
      </c>
      <c r="M14">
        <v>27.4</v>
      </c>
      <c r="N14">
        <v>0</v>
      </c>
    </row>
    <row r="15" spans="1:14" x14ac:dyDescent="0.3">
      <c r="A15">
        <v>1.0373443983402488</v>
      </c>
      <c r="B15">
        <v>1.0373443983402488</v>
      </c>
      <c r="C15">
        <v>0.82363333333333333</v>
      </c>
      <c r="D15">
        <v>1.0373443983402488</v>
      </c>
      <c r="G15" t="s">
        <v>29</v>
      </c>
      <c r="I15">
        <v>1</v>
      </c>
      <c r="J15">
        <v>31.93</v>
      </c>
      <c r="K15">
        <v>31.93</v>
      </c>
      <c r="L15">
        <v>31.93</v>
      </c>
      <c r="M15">
        <v>15.48</v>
      </c>
      <c r="N15">
        <v>0</v>
      </c>
    </row>
    <row r="16" spans="1:14" x14ac:dyDescent="0.3">
      <c r="A16">
        <v>1.364522417153996</v>
      </c>
      <c r="B16">
        <v>1.5886939571150096</v>
      </c>
      <c r="C16">
        <v>2.019566666666667</v>
      </c>
      <c r="D16">
        <v>1.6569200779727096</v>
      </c>
      <c r="G16" t="s">
        <v>30</v>
      </c>
      <c r="I16">
        <v>2</v>
      </c>
      <c r="J16">
        <v>12.598000000000001</v>
      </c>
      <c r="K16">
        <v>12.598000000000001</v>
      </c>
      <c r="L16">
        <v>6.2990000000000004</v>
      </c>
      <c r="M16">
        <v>3.05</v>
      </c>
      <c r="N16">
        <v>4.8000000000000001E-2</v>
      </c>
    </row>
    <row r="17" spans="1:12" x14ac:dyDescent="0.3">
      <c r="A17">
        <v>0</v>
      </c>
      <c r="B17">
        <v>0</v>
      </c>
      <c r="C17">
        <v>1.6666666666666666E-4</v>
      </c>
      <c r="D17">
        <v>0</v>
      </c>
      <c r="G17" t="s">
        <v>31</v>
      </c>
      <c r="I17">
        <v>333</v>
      </c>
      <c r="J17">
        <v>686.73099999999999</v>
      </c>
      <c r="K17">
        <v>686.73099999999999</v>
      </c>
      <c r="L17">
        <v>2.0619999999999998</v>
      </c>
    </row>
    <row r="18" spans="1:12" x14ac:dyDescent="0.3">
      <c r="A18">
        <v>0.38684719535783368</v>
      </c>
      <c r="B18">
        <v>0.5577047066408769</v>
      </c>
      <c r="C18">
        <v>3.1954666666666669</v>
      </c>
      <c r="D18">
        <v>0.77369439071566737</v>
      </c>
      <c r="G18" t="s">
        <v>32</v>
      </c>
      <c r="I18">
        <v>359</v>
      </c>
      <c r="J18">
        <v>1444.8420000000001</v>
      </c>
    </row>
    <row r="19" spans="1:12" x14ac:dyDescent="0.3">
      <c r="A19">
        <v>1.4705882352941175</v>
      </c>
      <c r="B19">
        <v>2.6168929110105572</v>
      </c>
      <c r="C19">
        <v>3.0774333333333339</v>
      </c>
      <c r="D19">
        <v>3.2805429864253397</v>
      </c>
    </row>
    <row r="20" spans="1:12" x14ac:dyDescent="0.3">
      <c r="A20">
        <v>0</v>
      </c>
      <c r="B20">
        <v>0</v>
      </c>
      <c r="C20">
        <v>1.5666666666666676E-3</v>
      </c>
      <c r="D20">
        <v>0</v>
      </c>
    </row>
    <row r="21" spans="1:12" x14ac:dyDescent="0.3">
      <c r="A21">
        <v>0</v>
      </c>
      <c r="B21">
        <v>0</v>
      </c>
      <c r="C21">
        <v>4.0666666666666681E-3</v>
      </c>
      <c r="D21">
        <v>0</v>
      </c>
    </row>
    <row r="22" spans="1:12" x14ac:dyDescent="0.3">
      <c r="A22">
        <v>0</v>
      </c>
      <c r="B22">
        <v>3.2206119162640902E-3</v>
      </c>
      <c r="C22">
        <v>0.73676666666666679</v>
      </c>
      <c r="D22">
        <v>9.6618357487922704E-2</v>
      </c>
    </row>
    <row r="23" spans="1:12" x14ac:dyDescent="0.3">
      <c r="A23">
        <v>2.7777777777777777</v>
      </c>
      <c r="B23">
        <v>3.2654320987654306</v>
      </c>
      <c r="C23">
        <v>2.6596000000000002</v>
      </c>
      <c r="D23">
        <v>3.7962962962962963</v>
      </c>
    </row>
    <row r="24" spans="1:12" x14ac:dyDescent="0.3">
      <c r="A24">
        <v>0.15503875968992248</v>
      </c>
      <c r="B24">
        <v>0.47028423772609834</v>
      </c>
      <c r="C24">
        <v>3.9162999999999997</v>
      </c>
      <c r="D24">
        <v>1.0077519379844961</v>
      </c>
    </row>
    <row r="25" spans="1:12" x14ac:dyDescent="0.3">
      <c r="A25">
        <v>7.5</v>
      </c>
      <c r="B25">
        <v>9.0471014492753632</v>
      </c>
      <c r="C25">
        <v>4.5644333333333327</v>
      </c>
      <c r="D25">
        <v>10.434782608695652</v>
      </c>
    </row>
    <row r="26" spans="1:12" x14ac:dyDescent="0.3">
      <c r="A26">
        <v>0.28490028490028491</v>
      </c>
      <c r="B26">
        <v>0.3038936372269706</v>
      </c>
      <c r="C26">
        <v>1.6217666666666664</v>
      </c>
      <c r="D26">
        <v>0.47483380816714149</v>
      </c>
    </row>
    <row r="27" spans="1:12" x14ac:dyDescent="0.3">
      <c r="A27">
        <v>0.66152149944873206</v>
      </c>
      <c r="B27">
        <v>0.66152149944873184</v>
      </c>
      <c r="C27">
        <v>2.9523333333333333</v>
      </c>
      <c r="D27">
        <v>0.66152149944873206</v>
      </c>
    </row>
    <row r="28" spans="1:12" x14ac:dyDescent="0.3">
      <c r="A28">
        <v>1.4655172413793103</v>
      </c>
      <c r="B28">
        <v>1.6925287356321845</v>
      </c>
      <c r="C28">
        <v>4.3157999999999994</v>
      </c>
      <c r="D28">
        <v>1.8103448275862071</v>
      </c>
    </row>
    <row r="29" spans="1:12" x14ac:dyDescent="0.3">
      <c r="A29">
        <v>0.37537537537537535</v>
      </c>
      <c r="B29">
        <v>0.92592592592592604</v>
      </c>
      <c r="C29">
        <v>3.8801333333333332</v>
      </c>
      <c r="D29">
        <v>1.2762762762762763</v>
      </c>
    </row>
    <row r="30" spans="1:12" x14ac:dyDescent="0.3">
      <c r="A30">
        <v>0.27262813522355506</v>
      </c>
      <c r="B30">
        <v>0.51254089422028359</v>
      </c>
      <c r="C30">
        <v>4.5806000000000013</v>
      </c>
      <c r="D30">
        <v>0.70883315158124316</v>
      </c>
    </row>
    <row r="31" spans="1:12" x14ac:dyDescent="0.3">
      <c r="A31">
        <v>0</v>
      </c>
      <c r="B31">
        <v>0</v>
      </c>
      <c r="C31">
        <v>6.3333333333333362E-4</v>
      </c>
      <c r="D31">
        <v>0</v>
      </c>
    </row>
    <row r="32" spans="1:12" x14ac:dyDescent="0.3">
      <c r="A32">
        <v>0.46511627906976744</v>
      </c>
      <c r="B32">
        <v>0.46511627906976777</v>
      </c>
      <c r="C32">
        <v>2.1527666666666665</v>
      </c>
      <c r="D32">
        <v>0.46511627906976744</v>
      </c>
    </row>
    <row r="33" spans="1:4" x14ac:dyDescent="0.3">
      <c r="A33">
        <v>3.9814814814814818</v>
      </c>
      <c r="B33">
        <v>3.9845679012345676</v>
      </c>
      <c r="C33">
        <v>2.2600000000000002</v>
      </c>
      <c r="D33">
        <v>4.0740740740740744</v>
      </c>
    </row>
    <row r="34" spans="1:4" x14ac:dyDescent="0.3">
      <c r="A34">
        <v>0.9289617486338797</v>
      </c>
      <c r="B34">
        <v>1.1384335154826957</v>
      </c>
      <c r="C34">
        <v>5.3846333333333352</v>
      </c>
      <c r="D34">
        <v>1.3114754098360655</v>
      </c>
    </row>
    <row r="35" spans="1:4" x14ac:dyDescent="0.3">
      <c r="A35">
        <v>2.859778597785978</v>
      </c>
      <c r="B35">
        <v>4.6309963099630984</v>
      </c>
      <c r="C35">
        <v>5.3822333333333328</v>
      </c>
      <c r="D35">
        <v>5.9963099630996313</v>
      </c>
    </row>
    <row r="36" spans="1:4" x14ac:dyDescent="0.3">
      <c r="A36">
        <v>0.54890219560878251</v>
      </c>
      <c r="B36">
        <v>0.62375249500997987</v>
      </c>
      <c r="C36">
        <v>5.9112333333333327</v>
      </c>
      <c r="D36">
        <v>0.79840319361277434</v>
      </c>
    </row>
    <row r="37" spans="1:4" x14ac:dyDescent="0.3">
      <c r="A37">
        <v>5.4471544715447155</v>
      </c>
      <c r="B37">
        <v>6.7967479674796758</v>
      </c>
      <c r="C37">
        <v>8.5953333333333326</v>
      </c>
      <c r="D37">
        <v>7.7235772357723578</v>
      </c>
    </row>
    <row r="38" spans="1:4" x14ac:dyDescent="0.3">
      <c r="A38">
        <v>0</v>
      </c>
      <c r="B38">
        <v>0</v>
      </c>
      <c r="C38">
        <v>1.4566666666666672E-2</v>
      </c>
      <c r="D38">
        <v>0</v>
      </c>
    </row>
    <row r="39" spans="1:4" x14ac:dyDescent="0.3">
      <c r="A39">
        <v>0</v>
      </c>
      <c r="B39">
        <v>0</v>
      </c>
      <c r="C39">
        <v>6.700000000000002E-3</v>
      </c>
      <c r="D39">
        <v>0</v>
      </c>
    </row>
    <row r="40" spans="1:4" x14ac:dyDescent="0.3">
      <c r="A40">
        <v>2.2263450834879404</v>
      </c>
      <c r="B40">
        <v>2.9529993815708098</v>
      </c>
      <c r="C40">
        <v>7.5721333333333325</v>
      </c>
      <c r="D40">
        <v>3.339517625231911</v>
      </c>
    </row>
    <row r="41" spans="1:4" x14ac:dyDescent="0.3">
      <c r="A41">
        <v>0</v>
      </c>
      <c r="B41">
        <v>0</v>
      </c>
      <c r="C41">
        <v>0.13746666666666665</v>
      </c>
      <c r="D41">
        <v>0</v>
      </c>
    </row>
    <row r="42" spans="1:4" x14ac:dyDescent="0.3">
      <c r="A42">
        <v>7.2992700729927001E-2</v>
      </c>
      <c r="B42">
        <v>0.30413625304136255</v>
      </c>
      <c r="C42">
        <v>8.3428000000000004</v>
      </c>
      <c r="D42">
        <v>0.43795620437956206</v>
      </c>
    </row>
    <row r="43" spans="1:4" x14ac:dyDescent="0.3">
      <c r="A43">
        <v>0</v>
      </c>
      <c r="B43">
        <v>0</v>
      </c>
      <c r="C43">
        <v>6.1966666666666656E-2</v>
      </c>
      <c r="D43">
        <v>0</v>
      </c>
    </row>
    <row r="44" spans="1:4" x14ac:dyDescent="0.3">
      <c r="A44">
        <v>0</v>
      </c>
      <c r="B44">
        <v>0</v>
      </c>
      <c r="C44">
        <v>5.6666666666666679E-3</v>
      </c>
      <c r="D44">
        <v>0</v>
      </c>
    </row>
    <row r="45" spans="1:4" x14ac:dyDescent="0.3">
      <c r="A45">
        <v>0</v>
      </c>
      <c r="B45">
        <v>0</v>
      </c>
      <c r="C45">
        <v>1.4633333333333338E-2</v>
      </c>
      <c r="D45">
        <v>0</v>
      </c>
    </row>
    <row r="46" spans="1:4" x14ac:dyDescent="0.3">
      <c r="A46">
        <v>0</v>
      </c>
      <c r="B46">
        <v>0</v>
      </c>
      <c r="C46">
        <v>4.4300000000000006E-2</v>
      </c>
      <c r="D46">
        <v>0</v>
      </c>
    </row>
    <row r="47" spans="1:4" x14ac:dyDescent="0.3">
      <c r="A47">
        <v>0</v>
      </c>
      <c r="B47">
        <v>0</v>
      </c>
      <c r="C47">
        <v>4.7866666666666662E-2</v>
      </c>
      <c r="D47">
        <v>0</v>
      </c>
    </row>
    <row r="48" spans="1:4" x14ac:dyDescent="0.3">
      <c r="A48">
        <v>0</v>
      </c>
      <c r="B48">
        <v>0</v>
      </c>
      <c r="C48">
        <v>2.449033333333333</v>
      </c>
      <c r="D48">
        <v>0</v>
      </c>
    </row>
    <row r="49" spans="1:4" x14ac:dyDescent="0.3">
      <c r="A49">
        <v>0</v>
      </c>
      <c r="B49">
        <v>0</v>
      </c>
      <c r="C49">
        <v>0.43166666666666675</v>
      </c>
      <c r="D49">
        <v>0</v>
      </c>
    </row>
    <row r="50" spans="1:4" x14ac:dyDescent="0.3">
      <c r="A50">
        <v>0</v>
      </c>
      <c r="B50">
        <v>0</v>
      </c>
      <c r="C50">
        <v>1.0666666666666667E-3</v>
      </c>
      <c r="D50">
        <v>0</v>
      </c>
    </row>
    <row r="51" spans="1:4" x14ac:dyDescent="0.3">
      <c r="A51">
        <v>0.1371742112482853</v>
      </c>
      <c r="B51">
        <v>0.84819387288523085</v>
      </c>
      <c r="C51">
        <v>7.9431333333333329</v>
      </c>
      <c r="D51">
        <v>1.440329218106996</v>
      </c>
    </row>
    <row r="52" spans="1:4" x14ac:dyDescent="0.3">
      <c r="A52">
        <v>2.2860492379835873</v>
      </c>
      <c r="B52">
        <v>2.6006252442360296</v>
      </c>
      <c r="C52">
        <v>21.663699999999995</v>
      </c>
      <c r="D52">
        <v>2.8722157092614302</v>
      </c>
    </row>
    <row r="53" spans="1:4" x14ac:dyDescent="0.3">
      <c r="A53">
        <v>0</v>
      </c>
      <c r="B53">
        <v>0</v>
      </c>
      <c r="C53">
        <v>2.8279666666666672</v>
      </c>
      <c r="D53">
        <v>0</v>
      </c>
    </row>
    <row r="54" spans="1:4" x14ac:dyDescent="0.3">
      <c r="A54">
        <v>1.5060240963855422</v>
      </c>
      <c r="B54">
        <v>1.9101405622489962</v>
      </c>
      <c r="C54">
        <v>25.343766666666671</v>
      </c>
      <c r="D54">
        <v>2.1460843373493974</v>
      </c>
    </row>
    <row r="55" spans="1:4" x14ac:dyDescent="0.3">
      <c r="A55">
        <v>1.979742173112339</v>
      </c>
      <c r="B55">
        <v>2.7056476365868645</v>
      </c>
      <c r="C55">
        <v>29.768600000000003</v>
      </c>
      <c r="D55">
        <v>3.3149171270718232</v>
      </c>
    </row>
    <row r="56" spans="1:4" x14ac:dyDescent="0.3">
      <c r="A56">
        <v>0</v>
      </c>
      <c r="B56">
        <v>0</v>
      </c>
      <c r="C56">
        <v>1.406666666666667E-2</v>
      </c>
      <c r="D56">
        <v>0</v>
      </c>
    </row>
    <row r="57" spans="1:4" x14ac:dyDescent="0.3">
      <c r="A57">
        <v>0</v>
      </c>
      <c r="B57">
        <v>0</v>
      </c>
      <c r="C57">
        <v>2.4933333333333342E-2</v>
      </c>
      <c r="D57">
        <v>0</v>
      </c>
    </row>
    <row r="58" spans="1:4" x14ac:dyDescent="0.3">
      <c r="A58">
        <v>0</v>
      </c>
      <c r="B58">
        <v>1.3248542660307366E-3</v>
      </c>
      <c r="C58">
        <v>8.7645999999999997</v>
      </c>
      <c r="D58">
        <v>3.9745627980922099E-2</v>
      </c>
    </row>
    <row r="59" spans="1:4" x14ac:dyDescent="0.3">
      <c r="A59">
        <v>0</v>
      </c>
      <c r="B59">
        <v>1.4720314033366044E-2</v>
      </c>
      <c r="C59">
        <v>15.54753333333333</v>
      </c>
      <c r="D59">
        <v>0.14720314033366044</v>
      </c>
    </row>
    <row r="60" spans="1:4" x14ac:dyDescent="0.3">
      <c r="A60">
        <v>2.8594442207007651</v>
      </c>
      <c r="B60">
        <v>4.020673915961873</v>
      </c>
      <c r="C60">
        <v>47.135700000000014</v>
      </c>
      <c r="D60">
        <v>4.5106725734997983</v>
      </c>
    </row>
    <row r="61" spans="1:4" x14ac:dyDescent="0.3">
      <c r="A61">
        <v>5.6054771074026535</v>
      </c>
      <c r="B61">
        <v>7.3855370132648686</v>
      </c>
      <c r="C61">
        <v>74.831199999999995</v>
      </c>
      <c r="D61">
        <v>8.9002995293110825</v>
      </c>
    </row>
    <row r="62" spans="1:4" x14ac:dyDescent="0.3">
      <c r="A62">
        <v>0.25526483726866628</v>
      </c>
      <c r="B62">
        <v>0.39140608381195491</v>
      </c>
      <c r="C62">
        <v>11.926333333333334</v>
      </c>
      <c r="D62">
        <v>0.63816209317166561</v>
      </c>
    </row>
    <row r="63" spans="1:4" x14ac:dyDescent="0.3">
      <c r="A63">
        <v>3.0334728033472804</v>
      </c>
      <c r="B63">
        <v>3.8894700139470002</v>
      </c>
      <c r="C63">
        <v>21.287166666666671</v>
      </c>
      <c r="D63">
        <v>5.1255230125523017</v>
      </c>
    </row>
    <row r="64" spans="1:4" x14ac:dyDescent="0.3">
      <c r="A64">
        <v>0</v>
      </c>
      <c r="B64">
        <v>0</v>
      </c>
      <c r="C64">
        <v>1.5333333333333334E-3</v>
      </c>
      <c r="D64">
        <v>0</v>
      </c>
    </row>
    <row r="65" spans="1:4" x14ac:dyDescent="0.3">
      <c r="A65">
        <v>3.4545454545454546</v>
      </c>
      <c r="B65">
        <v>3.9696969696969688</v>
      </c>
      <c r="C65">
        <v>43.521966666666671</v>
      </c>
      <c r="D65">
        <v>4.454545454545455</v>
      </c>
    </row>
    <row r="66" spans="1:4" x14ac:dyDescent="0.3">
      <c r="A66">
        <v>1.7409654444737535</v>
      </c>
      <c r="B66">
        <v>1.9625428646795038</v>
      </c>
      <c r="C66">
        <v>54.550633333333344</v>
      </c>
      <c r="D66">
        <v>2.110261144816671</v>
      </c>
    </row>
    <row r="67" spans="1:4" x14ac:dyDescent="0.3">
      <c r="A67">
        <v>1.0891963497203414</v>
      </c>
      <c r="B67">
        <v>1.7701893827887354</v>
      </c>
      <c r="C67">
        <v>55.260933333333341</v>
      </c>
      <c r="D67">
        <v>2.1783926994406828</v>
      </c>
    </row>
    <row r="68" spans="1:4" x14ac:dyDescent="0.3">
      <c r="A68">
        <v>1.4384920634920635</v>
      </c>
      <c r="B68">
        <v>1.9923941798941798</v>
      </c>
      <c r="C68">
        <v>27.787899999999993</v>
      </c>
      <c r="D68">
        <v>2.2321428571428572</v>
      </c>
    </row>
    <row r="69" spans="1:4" x14ac:dyDescent="0.3">
      <c r="A69">
        <v>0</v>
      </c>
      <c r="B69">
        <v>0</v>
      </c>
      <c r="C69">
        <v>6.0128333333333321</v>
      </c>
      <c r="D69">
        <v>0</v>
      </c>
    </row>
    <row r="70" spans="1:4" x14ac:dyDescent="0.3">
      <c r="A70">
        <v>2.0739064856711913</v>
      </c>
      <c r="B70">
        <v>2.3793363499245852</v>
      </c>
      <c r="C70">
        <v>56.496366666666674</v>
      </c>
      <c r="D70">
        <v>2.5263951734539969</v>
      </c>
    </row>
    <row r="71" spans="1:4" x14ac:dyDescent="0.3">
      <c r="A71">
        <v>4.2393026941362919</v>
      </c>
      <c r="B71">
        <v>5.4160063391442153</v>
      </c>
      <c r="C71">
        <v>55.036133333333346</v>
      </c>
      <c r="D71">
        <v>6.7353407290015852</v>
      </c>
    </row>
    <row r="72" spans="1:4" x14ac:dyDescent="0.3">
      <c r="A72">
        <v>2.3311416616855944</v>
      </c>
      <c r="B72">
        <v>2.5702331141661685</v>
      </c>
      <c r="C72">
        <v>79.678233333333324</v>
      </c>
      <c r="D72">
        <v>2.7794381350866706</v>
      </c>
    </row>
    <row r="73" spans="1:4" x14ac:dyDescent="0.3">
      <c r="A73">
        <v>4.8247136410968414</v>
      </c>
      <c r="B73">
        <v>5.9111419645956271</v>
      </c>
      <c r="C73">
        <v>77.619366666666664</v>
      </c>
      <c r="D73">
        <v>6.7337729954876773</v>
      </c>
    </row>
    <row r="74" spans="1:4" x14ac:dyDescent="0.3">
      <c r="A74">
        <v>1.3297872340425532</v>
      </c>
      <c r="B74">
        <v>1.3297872340425532</v>
      </c>
      <c r="C74">
        <v>0.12316666666666667</v>
      </c>
      <c r="D74">
        <v>1.3297872340425532</v>
      </c>
    </row>
    <row r="75" spans="1:4" x14ac:dyDescent="0.3">
      <c r="A75">
        <v>0</v>
      </c>
      <c r="B75">
        <v>0</v>
      </c>
      <c r="C75">
        <v>2.3333333333333333E-4</v>
      </c>
      <c r="D75">
        <v>0</v>
      </c>
    </row>
    <row r="76" spans="1:4" x14ac:dyDescent="0.3">
      <c r="A76">
        <v>1.2254901960784315</v>
      </c>
      <c r="B76">
        <v>1.2254901960784321</v>
      </c>
      <c r="C76">
        <v>0.68736666666666657</v>
      </c>
      <c r="D76">
        <v>1.2254901960784315</v>
      </c>
    </row>
    <row r="77" spans="1:4" x14ac:dyDescent="0.3">
      <c r="A77">
        <v>2.1226415094339623</v>
      </c>
      <c r="B77">
        <v>2.3427672955974845</v>
      </c>
      <c r="C77">
        <v>1.0079999999999998</v>
      </c>
      <c r="D77">
        <v>2.358490566037736</v>
      </c>
    </row>
    <row r="78" spans="1:4" x14ac:dyDescent="0.3">
      <c r="A78">
        <v>0</v>
      </c>
      <c r="B78">
        <v>0.25770308123249303</v>
      </c>
      <c r="C78">
        <v>0.99769999999999992</v>
      </c>
      <c r="D78">
        <v>0.50420168067226889</v>
      </c>
    </row>
    <row r="79" spans="1:4" x14ac:dyDescent="0.3">
      <c r="A79">
        <v>4.562043795620438</v>
      </c>
      <c r="B79">
        <v>4.5620437956204389</v>
      </c>
      <c r="C79">
        <v>1.0696333333333334</v>
      </c>
      <c r="D79">
        <v>4.562043795620438</v>
      </c>
    </row>
    <row r="80" spans="1:4" x14ac:dyDescent="0.3">
      <c r="A80">
        <v>0</v>
      </c>
      <c r="B80">
        <v>0</v>
      </c>
      <c r="C80">
        <v>2.4333333333333342E-3</v>
      </c>
      <c r="D80">
        <v>0</v>
      </c>
    </row>
    <row r="81" spans="1:4" x14ac:dyDescent="0.3">
      <c r="A81">
        <v>0</v>
      </c>
      <c r="B81">
        <v>0</v>
      </c>
      <c r="C81">
        <v>3.2333333333333355E-3</v>
      </c>
      <c r="D81">
        <v>0</v>
      </c>
    </row>
    <row r="82" spans="1:4" x14ac:dyDescent="0.3">
      <c r="A82">
        <v>0</v>
      </c>
      <c r="B82">
        <v>0</v>
      </c>
      <c r="C82">
        <v>1.6000000000000007E-3</v>
      </c>
      <c r="D82">
        <v>0</v>
      </c>
    </row>
    <row r="83" spans="1:4" x14ac:dyDescent="0.3">
      <c r="A83">
        <v>0</v>
      </c>
      <c r="B83">
        <v>0</v>
      </c>
      <c r="C83">
        <v>1.4666666666666676E-3</v>
      </c>
      <c r="D83">
        <v>0</v>
      </c>
    </row>
    <row r="84" spans="1:4" x14ac:dyDescent="0.3">
      <c r="A84">
        <v>0</v>
      </c>
      <c r="B84">
        <v>0</v>
      </c>
      <c r="C84">
        <v>4.3333333333333342E-2</v>
      </c>
      <c r="D84">
        <v>0</v>
      </c>
    </row>
    <row r="85" spans="1:4" x14ac:dyDescent="0.3">
      <c r="A85">
        <v>0</v>
      </c>
      <c r="B85">
        <v>0</v>
      </c>
      <c r="C85">
        <v>7.5666666666666703E-3</v>
      </c>
      <c r="D85">
        <v>0</v>
      </c>
    </row>
    <row r="86" spans="1:4" x14ac:dyDescent="0.3">
      <c r="A86">
        <v>0.76804915514592931</v>
      </c>
      <c r="B86">
        <v>0.79365079365079305</v>
      </c>
      <c r="C86">
        <v>0.94026666666666647</v>
      </c>
      <c r="D86">
        <v>0.92165898617511521</v>
      </c>
    </row>
    <row r="87" spans="1:4" x14ac:dyDescent="0.3">
      <c r="A87">
        <v>0</v>
      </c>
      <c r="B87">
        <v>0</v>
      </c>
      <c r="C87">
        <v>8.3333333333333371E-4</v>
      </c>
      <c r="D87">
        <v>0</v>
      </c>
    </row>
    <row r="88" spans="1:4" x14ac:dyDescent="0.3">
      <c r="A88">
        <v>2.3423423423423424</v>
      </c>
      <c r="B88">
        <v>2.4264264264264273</v>
      </c>
      <c r="C88">
        <v>1.8675999999999999</v>
      </c>
      <c r="D88">
        <v>2.5225225225225225</v>
      </c>
    </row>
    <row r="89" spans="1:4" x14ac:dyDescent="0.3">
      <c r="A89">
        <v>3.8502673796791447</v>
      </c>
      <c r="B89">
        <v>4.2352941176470571</v>
      </c>
      <c r="C89">
        <v>2.0285333333333333</v>
      </c>
      <c r="D89">
        <v>4.9197860962566846</v>
      </c>
    </row>
    <row r="90" spans="1:4" x14ac:dyDescent="0.3">
      <c r="A90">
        <v>0</v>
      </c>
      <c r="B90">
        <v>0</v>
      </c>
      <c r="C90">
        <v>2.6666666666666668E-4</v>
      </c>
      <c r="D90">
        <v>0</v>
      </c>
    </row>
    <row r="91" spans="1:4" x14ac:dyDescent="0.3">
      <c r="A91">
        <v>0</v>
      </c>
      <c r="B91">
        <v>0</v>
      </c>
      <c r="C91">
        <v>2.3333333333333333E-4</v>
      </c>
      <c r="D91">
        <v>0</v>
      </c>
    </row>
    <row r="92" spans="1:4" x14ac:dyDescent="0.3">
      <c r="A92">
        <v>0</v>
      </c>
      <c r="B92">
        <v>0</v>
      </c>
      <c r="C92">
        <v>3.4333333333333342E-3</v>
      </c>
      <c r="D92">
        <v>0</v>
      </c>
    </row>
    <row r="93" spans="1:4" x14ac:dyDescent="0.3">
      <c r="A93">
        <v>0</v>
      </c>
      <c r="B93">
        <v>0</v>
      </c>
      <c r="C93">
        <v>2.2566666666666672E-2</v>
      </c>
      <c r="D93">
        <v>0</v>
      </c>
    </row>
    <row r="94" spans="1:4" x14ac:dyDescent="0.3">
      <c r="A94">
        <v>0</v>
      </c>
      <c r="B94">
        <v>5.4200542005420044E-2</v>
      </c>
      <c r="C94">
        <v>2.8787666666666669</v>
      </c>
      <c r="D94">
        <v>0.27100271002710025</v>
      </c>
    </row>
    <row r="95" spans="1:4" x14ac:dyDescent="0.3">
      <c r="A95">
        <v>0</v>
      </c>
      <c r="B95">
        <v>0</v>
      </c>
      <c r="C95">
        <v>2.5666666666666671E-2</v>
      </c>
      <c r="D95">
        <v>0</v>
      </c>
    </row>
    <row r="96" spans="1:4" x14ac:dyDescent="0.3">
      <c r="A96">
        <v>1.8637992831541221</v>
      </c>
      <c r="B96">
        <v>2.172043010752688</v>
      </c>
      <c r="C96">
        <v>5.1419999999999995</v>
      </c>
      <c r="D96">
        <v>2.5089605734767026</v>
      </c>
    </row>
    <row r="97" spans="1:4" x14ac:dyDescent="0.3">
      <c r="A97">
        <v>4.655493482309125</v>
      </c>
      <c r="B97">
        <v>5.8597144630664193</v>
      </c>
      <c r="C97">
        <v>3.9703666666666675</v>
      </c>
      <c r="D97">
        <v>7.4487895716945998</v>
      </c>
    </row>
    <row r="98" spans="1:4" x14ac:dyDescent="0.3">
      <c r="A98">
        <v>0</v>
      </c>
      <c r="B98">
        <v>0</v>
      </c>
      <c r="C98">
        <v>1.3333333333333334E-4</v>
      </c>
      <c r="D98">
        <v>0</v>
      </c>
    </row>
    <row r="99" spans="1:4" x14ac:dyDescent="0.3">
      <c r="A99">
        <v>0</v>
      </c>
      <c r="B99">
        <v>0</v>
      </c>
      <c r="C99">
        <v>1.6666666666666666E-4</v>
      </c>
      <c r="D99">
        <v>0</v>
      </c>
    </row>
    <row r="100" spans="1:4" x14ac:dyDescent="0.3">
      <c r="A100">
        <v>0</v>
      </c>
      <c r="B100">
        <v>0</v>
      </c>
      <c r="C100">
        <v>3.6666666666666678E-4</v>
      </c>
      <c r="D100">
        <v>0</v>
      </c>
    </row>
    <row r="101" spans="1:4" x14ac:dyDescent="0.3">
      <c r="A101">
        <v>0</v>
      </c>
      <c r="B101">
        <v>0</v>
      </c>
      <c r="C101">
        <v>2.1066666666666668E-2</v>
      </c>
      <c r="D101">
        <v>0</v>
      </c>
    </row>
    <row r="102" spans="1:4" x14ac:dyDescent="0.3">
      <c r="A102">
        <v>0</v>
      </c>
      <c r="B102">
        <v>0</v>
      </c>
      <c r="C102">
        <v>3.6666666666666678E-4</v>
      </c>
      <c r="D102">
        <v>0</v>
      </c>
    </row>
    <row r="103" spans="1:4" x14ac:dyDescent="0.3">
      <c r="A103">
        <v>0</v>
      </c>
      <c r="B103">
        <v>0</v>
      </c>
      <c r="C103">
        <v>0.11113333333333332</v>
      </c>
      <c r="D103">
        <v>0</v>
      </c>
    </row>
    <row r="104" spans="1:4" x14ac:dyDescent="0.3">
      <c r="A104">
        <v>0</v>
      </c>
      <c r="B104">
        <v>0</v>
      </c>
      <c r="C104">
        <v>8.1000000000000013E-3</v>
      </c>
      <c r="D104">
        <v>0</v>
      </c>
    </row>
    <row r="105" spans="1:4" x14ac:dyDescent="0.3">
      <c r="A105">
        <v>0</v>
      </c>
      <c r="B105">
        <v>0</v>
      </c>
      <c r="C105">
        <v>2.7966666666666674E-2</v>
      </c>
      <c r="D105">
        <v>0</v>
      </c>
    </row>
    <row r="106" spans="1:4" x14ac:dyDescent="0.3">
      <c r="A106">
        <v>0.92592592592592582</v>
      </c>
      <c r="B106">
        <v>1.2078189300411526</v>
      </c>
      <c r="C106">
        <v>6.4470333333333327</v>
      </c>
      <c r="D106">
        <v>1.4814814814814816</v>
      </c>
    </row>
    <row r="107" spans="1:4" x14ac:dyDescent="0.3">
      <c r="A107">
        <v>3.0134813639968279</v>
      </c>
      <c r="B107">
        <v>4.9061591329632552</v>
      </c>
      <c r="C107">
        <v>7.2579999999999991</v>
      </c>
      <c r="D107">
        <v>5.8683584456780329</v>
      </c>
    </row>
    <row r="108" spans="1:4" x14ac:dyDescent="0.3">
      <c r="A108">
        <v>0.63218390804597702</v>
      </c>
      <c r="B108">
        <v>0.81992337164750995</v>
      </c>
      <c r="C108">
        <v>8.0878000000000014</v>
      </c>
      <c r="D108">
        <v>1.0344827586206897</v>
      </c>
    </row>
    <row r="109" spans="1:4" x14ac:dyDescent="0.3">
      <c r="A109">
        <v>5.7532172596517794</v>
      </c>
      <c r="B109">
        <v>7.7542265960131234</v>
      </c>
      <c r="C109">
        <v>8.4779</v>
      </c>
      <c r="D109">
        <v>8.6298258894776687</v>
      </c>
    </row>
    <row r="110" spans="1:4" x14ac:dyDescent="0.3">
      <c r="A110">
        <v>0</v>
      </c>
      <c r="B110">
        <v>0</v>
      </c>
      <c r="C110">
        <v>0.11040000000000001</v>
      </c>
      <c r="D110">
        <v>0</v>
      </c>
    </row>
    <row r="111" spans="1:4" x14ac:dyDescent="0.3">
      <c r="A111">
        <v>0.46875</v>
      </c>
      <c r="B111">
        <v>0.60416666666666663</v>
      </c>
      <c r="C111">
        <v>3.2565333333333339</v>
      </c>
      <c r="D111">
        <v>0.9375</v>
      </c>
    </row>
    <row r="112" spans="1:4" x14ac:dyDescent="0.3">
      <c r="A112">
        <v>0</v>
      </c>
      <c r="B112">
        <v>0</v>
      </c>
      <c r="C112">
        <v>1.1966666666666665E-2</v>
      </c>
      <c r="D112">
        <v>0</v>
      </c>
    </row>
    <row r="113" spans="1:4" x14ac:dyDescent="0.3">
      <c r="A113">
        <v>0</v>
      </c>
      <c r="B113">
        <v>0.57344372891750994</v>
      </c>
      <c r="C113">
        <v>8.2741333333333333</v>
      </c>
      <c r="D113">
        <v>1.2879484820607177</v>
      </c>
    </row>
    <row r="114" spans="1:4" x14ac:dyDescent="0.3">
      <c r="A114">
        <v>0</v>
      </c>
      <c r="B114">
        <v>0</v>
      </c>
      <c r="C114">
        <v>1.5333333333333334E-3</v>
      </c>
      <c r="D114">
        <v>0</v>
      </c>
    </row>
    <row r="115" spans="1:4" x14ac:dyDescent="0.3">
      <c r="A115">
        <v>1.1128775834658187</v>
      </c>
      <c r="B115">
        <v>2.5331213566507684</v>
      </c>
      <c r="C115">
        <v>10.049300000000001</v>
      </c>
      <c r="D115">
        <v>3.2591414944356121</v>
      </c>
    </row>
    <row r="116" spans="1:4" x14ac:dyDescent="0.3">
      <c r="A116">
        <v>0</v>
      </c>
      <c r="B116">
        <v>0</v>
      </c>
      <c r="C116">
        <v>4.7666666666666673E-3</v>
      </c>
      <c r="D116">
        <v>0</v>
      </c>
    </row>
    <row r="117" spans="1:4" x14ac:dyDescent="0.3">
      <c r="A117">
        <v>0</v>
      </c>
      <c r="B117">
        <v>0</v>
      </c>
      <c r="C117">
        <v>5.1666666666666675E-3</v>
      </c>
      <c r="D117">
        <v>0</v>
      </c>
    </row>
    <row r="118" spans="1:4" x14ac:dyDescent="0.3">
      <c r="A118">
        <v>0</v>
      </c>
      <c r="B118">
        <v>0</v>
      </c>
      <c r="C118">
        <v>3.1766666666666672E-2</v>
      </c>
      <c r="D118">
        <v>0</v>
      </c>
    </row>
    <row r="119" spans="1:4" x14ac:dyDescent="0.3">
      <c r="A119">
        <v>0</v>
      </c>
      <c r="B119">
        <v>0</v>
      </c>
      <c r="C119">
        <v>7.9100000000000004E-2</v>
      </c>
      <c r="D119">
        <v>0</v>
      </c>
    </row>
    <row r="120" spans="1:4" x14ac:dyDescent="0.3">
      <c r="A120">
        <v>0</v>
      </c>
      <c r="B120">
        <v>0</v>
      </c>
      <c r="C120">
        <v>0.68933333333333313</v>
      </c>
      <c r="D120">
        <v>0</v>
      </c>
    </row>
    <row r="121" spans="1:4" x14ac:dyDescent="0.3">
      <c r="A121">
        <v>0</v>
      </c>
      <c r="B121">
        <v>0</v>
      </c>
      <c r="C121">
        <v>0.26266666666666666</v>
      </c>
      <c r="D121">
        <v>0</v>
      </c>
    </row>
    <row r="122" spans="1:4" x14ac:dyDescent="0.3">
      <c r="A122">
        <v>0</v>
      </c>
      <c r="B122">
        <v>0</v>
      </c>
      <c r="C122">
        <v>0</v>
      </c>
      <c r="D122">
        <v>0</v>
      </c>
    </row>
    <row r="123" spans="1:4" x14ac:dyDescent="0.3">
      <c r="A123">
        <v>0</v>
      </c>
      <c r="B123">
        <v>0</v>
      </c>
      <c r="C123">
        <v>1.0666666666666667E-3</v>
      </c>
      <c r="D123">
        <v>0</v>
      </c>
    </row>
    <row r="124" spans="1:4" x14ac:dyDescent="0.3">
      <c r="A124">
        <v>1.3858093126385811</v>
      </c>
      <c r="B124">
        <v>1.5354767184035478</v>
      </c>
      <c r="C124">
        <v>21.835666666666668</v>
      </c>
      <c r="D124">
        <v>1.662971175166297</v>
      </c>
    </row>
    <row r="125" spans="1:4" x14ac:dyDescent="0.3">
      <c r="A125">
        <v>0.73855243722304276</v>
      </c>
      <c r="B125">
        <v>1.831610044313146</v>
      </c>
      <c r="C125">
        <v>15.629699999999996</v>
      </c>
      <c r="D125">
        <v>2.6095519448547511</v>
      </c>
    </row>
    <row r="126" spans="1:4" x14ac:dyDescent="0.3">
      <c r="A126">
        <v>0</v>
      </c>
      <c r="B126">
        <v>0</v>
      </c>
      <c r="C126">
        <v>2.0666666666666667E-3</v>
      </c>
      <c r="D126">
        <v>0</v>
      </c>
    </row>
    <row r="127" spans="1:4" x14ac:dyDescent="0.3">
      <c r="A127">
        <v>0</v>
      </c>
      <c r="B127">
        <v>0</v>
      </c>
      <c r="C127">
        <v>2.0666666666666667E-3</v>
      </c>
      <c r="D127">
        <v>0</v>
      </c>
    </row>
    <row r="128" spans="1:4" x14ac:dyDescent="0.3">
      <c r="A128">
        <v>0</v>
      </c>
      <c r="B128">
        <v>0</v>
      </c>
      <c r="C128">
        <v>2.1800000000000007E-2</v>
      </c>
      <c r="D128">
        <v>0</v>
      </c>
    </row>
    <row r="129" spans="1:4" x14ac:dyDescent="0.3">
      <c r="A129">
        <v>0</v>
      </c>
      <c r="B129">
        <v>0</v>
      </c>
      <c r="C129">
        <v>4.2133333333333335E-2</v>
      </c>
      <c r="D129">
        <v>0</v>
      </c>
    </row>
    <row r="130" spans="1:4" x14ac:dyDescent="0.3">
      <c r="A130">
        <v>0</v>
      </c>
      <c r="B130">
        <v>0.1213982740968261</v>
      </c>
      <c r="C130">
        <v>31.724233333333341</v>
      </c>
      <c r="D130">
        <v>0.30715225976305399</v>
      </c>
    </row>
    <row r="131" spans="1:4" x14ac:dyDescent="0.3">
      <c r="A131">
        <v>1.7299107142857144</v>
      </c>
      <c r="B131">
        <v>3.3296130952380949</v>
      </c>
      <c r="C131">
        <v>56.551799999999986</v>
      </c>
      <c r="D131">
        <v>4.4084821428571432</v>
      </c>
    </row>
    <row r="132" spans="1:4" x14ac:dyDescent="0.3">
      <c r="A132">
        <v>2.5185185185185186</v>
      </c>
      <c r="B132">
        <v>3.3777777777777778</v>
      </c>
      <c r="C132">
        <v>66.434400000000011</v>
      </c>
      <c r="D132">
        <v>4.1481481481481479</v>
      </c>
    </row>
    <row r="133" spans="1:4" x14ac:dyDescent="0.3">
      <c r="A133">
        <v>4.6232876712328768</v>
      </c>
      <c r="B133">
        <v>5.9560502283105023</v>
      </c>
      <c r="C133">
        <v>67.807366666666653</v>
      </c>
      <c r="D133">
        <v>7.7054794520547949</v>
      </c>
    </row>
    <row r="134" spans="1:4" x14ac:dyDescent="0.3">
      <c r="A134">
        <v>1.8556701030927836</v>
      </c>
      <c r="B134">
        <v>2.0824742268041234</v>
      </c>
      <c r="C134">
        <v>13.92863333333333</v>
      </c>
      <c r="D134">
        <v>2.336769759450172</v>
      </c>
    </row>
    <row r="135" spans="1:4" x14ac:dyDescent="0.3">
      <c r="A135">
        <v>0</v>
      </c>
      <c r="B135">
        <v>0</v>
      </c>
      <c r="C135">
        <v>0.21980000000000002</v>
      </c>
      <c r="D135">
        <v>0</v>
      </c>
    </row>
    <row r="136" spans="1:4" x14ac:dyDescent="0.3">
      <c r="A136">
        <v>2.2976680384087791</v>
      </c>
      <c r="B136">
        <v>2.9469593049839959</v>
      </c>
      <c r="C136">
        <v>44.973200000000006</v>
      </c>
      <c r="D136">
        <v>3.2235939643347047</v>
      </c>
    </row>
    <row r="137" spans="1:4" x14ac:dyDescent="0.3">
      <c r="A137">
        <v>1.4401772525849335</v>
      </c>
      <c r="B137">
        <v>2.1491875923190547</v>
      </c>
      <c r="C137">
        <v>33.798166666666667</v>
      </c>
      <c r="D137">
        <v>2.6957163958641064</v>
      </c>
    </row>
    <row r="138" spans="1:4" x14ac:dyDescent="0.3">
      <c r="A138">
        <v>1.5335801163405607</v>
      </c>
      <c r="B138">
        <v>1.7371760973030139</v>
      </c>
      <c r="C138">
        <v>53.017766666666667</v>
      </c>
      <c r="D138">
        <v>1.9301956636700159</v>
      </c>
    </row>
    <row r="139" spans="1:4" x14ac:dyDescent="0.3">
      <c r="A139">
        <v>0</v>
      </c>
      <c r="B139">
        <v>0.37752728573984601</v>
      </c>
      <c r="C139">
        <v>48.257133333333336</v>
      </c>
      <c r="D139">
        <v>0.85882984433709075</v>
      </c>
    </row>
    <row r="140" spans="1:4" x14ac:dyDescent="0.3">
      <c r="A140">
        <v>0.54347826086956519</v>
      </c>
      <c r="B140">
        <v>0.86201690821256072</v>
      </c>
      <c r="C140">
        <v>22.399466666666669</v>
      </c>
      <c r="D140">
        <v>1.2228260869565217</v>
      </c>
    </row>
    <row r="141" spans="1:4" x14ac:dyDescent="0.3">
      <c r="A141">
        <v>1.757944557133198</v>
      </c>
      <c r="B141">
        <v>3.5496957403651117</v>
      </c>
      <c r="C141">
        <v>28.567566666666675</v>
      </c>
      <c r="D141">
        <v>4.800540906017579</v>
      </c>
    </row>
    <row r="142" spans="1:4" x14ac:dyDescent="0.3">
      <c r="A142">
        <v>1.2574850299401197</v>
      </c>
      <c r="B142">
        <v>1.4730538922155687</v>
      </c>
      <c r="C142">
        <v>49.168233333333347</v>
      </c>
      <c r="D142">
        <v>1.6766467065868262</v>
      </c>
    </row>
    <row r="143" spans="1:4" x14ac:dyDescent="0.3">
      <c r="A143">
        <v>6.4757160647571599</v>
      </c>
      <c r="B143">
        <v>8.0711221807112228</v>
      </c>
      <c r="C143">
        <v>59.245899999999999</v>
      </c>
      <c r="D143">
        <v>9.2984640929846414</v>
      </c>
    </row>
    <row r="144" spans="1:4" x14ac:dyDescent="0.3">
      <c r="A144">
        <v>1.2433862433862435</v>
      </c>
      <c r="B144">
        <v>1.5811287477954143</v>
      </c>
      <c r="C144">
        <v>85.449699999999993</v>
      </c>
      <c r="D144">
        <v>1.7989417989417988</v>
      </c>
    </row>
    <row r="145" spans="1:4" x14ac:dyDescent="0.3">
      <c r="A145">
        <v>6.5883887801696019</v>
      </c>
      <c r="B145">
        <v>7.0504457490758847</v>
      </c>
      <c r="C145">
        <v>80.779766666666674</v>
      </c>
      <c r="D145">
        <v>7.5342465753424657</v>
      </c>
    </row>
    <row r="146" spans="1:4" x14ac:dyDescent="0.3">
      <c r="A146">
        <v>2.083333333333333</v>
      </c>
      <c r="B146">
        <v>2.0833333333333339</v>
      </c>
      <c r="C146">
        <v>0.21046666666666666</v>
      </c>
      <c r="D146">
        <v>2.083333333333333</v>
      </c>
    </row>
    <row r="147" spans="1:4" x14ac:dyDescent="0.3">
      <c r="A147">
        <v>0</v>
      </c>
      <c r="B147">
        <v>0</v>
      </c>
      <c r="C147">
        <v>1.0033333333333337E-2</v>
      </c>
      <c r="D147">
        <v>0</v>
      </c>
    </row>
    <row r="148" spans="1:4" x14ac:dyDescent="0.3">
      <c r="A148">
        <v>1.7391304347826086</v>
      </c>
      <c r="B148">
        <v>1.7391304347826091</v>
      </c>
      <c r="C148">
        <v>0.66216666666666657</v>
      </c>
      <c r="D148">
        <v>1.7391304347826086</v>
      </c>
    </row>
    <row r="149" spans="1:4" x14ac:dyDescent="0.3">
      <c r="A149">
        <v>0</v>
      </c>
      <c r="B149">
        <v>0</v>
      </c>
      <c r="C149">
        <v>3.2933333333333342E-2</v>
      </c>
      <c r="D149">
        <v>0</v>
      </c>
    </row>
    <row r="150" spans="1:4" x14ac:dyDescent="0.3">
      <c r="A150">
        <v>1.2658227848101267</v>
      </c>
      <c r="B150">
        <v>1.2658227848101264</v>
      </c>
      <c r="C150">
        <v>1.0676999999999999</v>
      </c>
      <c r="D150">
        <v>1.2658227848101267</v>
      </c>
    </row>
    <row r="151" spans="1:4" x14ac:dyDescent="0.3">
      <c r="A151">
        <v>1.0189228529839884</v>
      </c>
      <c r="B151">
        <v>1.3100436681222714</v>
      </c>
      <c r="C151">
        <v>1.2543</v>
      </c>
      <c r="D151">
        <v>1.8922852983988356</v>
      </c>
    </row>
    <row r="152" spans="1:4" x14ac:dyDescent="0.3">
      <c r="A152">
        <v>0</v>
      </c>
      <c r="B152">
        <v>0</v>
      </c>
      <c r="C152">
        <v>1.0000000000000005E-3</v>
      </c>
      <c r="D152">
        <v>0</v>
      </c>
    </row>
    <row r="153" spans="1:4" x14ac:dyDescent="0.3">
      <c r="A153">
        <v>0</v>
      </c>
      <c r="B153">
        <v>0</v>
      </c>
      <c r="C153">
        <v>1.6000000000000009E-3</v>
      </c>
      <c r="D153">
        <v>0</v>
      </c>
    </row>
    <row r="154" spans="1:4" x14ac:dyDescent="0.3">
      <c r="A154">
        <v>0</v>
      </c>
      <c r="B154">
        <v>0</v>
      </c>
      <c r="C154">
        <v>1.800000000000001E-3</v>
      </c>
      <c r="D154">
        <v>0</v>
      </c>
    </row>
    <row r="155" spans="1:4" x14ac:dyDescent="0.3">
      <c r="A155">
        <v>0</v>
      </c>
      <c r="B155">
        <v>0</v>
      </c>
      <c r="C155">
        <v>2.5333333333333345E-3</v>
      </c>
      <c r="D155">
        <v>0</v>
      </c>
    </row>
    <row r="156" spans="1:4" x14ac:dyDescent="0.3">
      <c r="A156">
        <v>0</v>
      </c>
      <c r="B156">
        <v>0</v>
      </c>
      <c r="C156">
        <v>9.7633333333333322E-2</v>
      </c>
      <c r="D156">
        <v>0</v>
      </c>
    </row>
    <row r="157" spans="1:4" x14ac:dyDescent="0.3">
      <c r="A157">
        <v>0</v>
      </c>
      <c r="B157">
        <v>0</v>
      </c>
      <c r="C157">
        <v>6.333333333333334E-3</v>
      </c>
      <c r="D157">
        <v>0</v>
      </c>
    </row>
    <row r="158" spans="1:4" x14ac:dyDescent="0.3">
      <c r="A158">
        <v>0</v>
      </c>
      <c r="B158">
        <v>0</v>
      </c>
      <c r="C158">
        <v>8.4466666666666676E-2</v>
      </c>
      <c r="D158">
        <v>0</v>
      </c>
    </row>
    <row r="159" spans="1:4" x14ac:dyDescent="0.3">
      <c r="A159">
        <v>3.070175438596491</v>
      </c>
      <c r="B159">
        <v>3.0701754385964923</v>
      </c>
      <c r="C159">
        <v>1.1016000000000001</v>
      </c>
      <c r="D159">
        <v>3.070175438596491</v>
      </c>
    </row>
    <row r="160" spans="1:4" x14ac:dyDescent="0.3">
      <c r="A160">
        <v>1.984126984126984</v>
      </c>
      <c r="B160">
        <v>2.0811287477954128</v>
      </c>
      <c r="C160">
        <v>1.9756999999999998</v>
      </c>
      <c r="D160">
        <v>2.2486772486772484</v>
      </c>
    </row>
    <row r="161" spans="1:4" x14ac:dyDescent="0.3">
      <c r="A161">
        <v>0</v>
      </c>
      <c r="B161">
        <v>0</v>
      </c>
      <c r="C161">
        <v>1.3333333333333334E-4</v>
      </c>
      <c r="D161">
        <v>0</v>
      </c>
    </row>
    <row r="162" spans="1:4" x14ac:dyDescent="0.3">
      <c r="A162">
        <v>1.3793103448275863</v>
      </c>
      <c r="B162">
        <v>1.6609195402298853</v>
      </c>
      <c r="C162">
        <v>3.0514000000000001</v>
      </c>
      <c r="D162">
        <v>1.8103448275862071</v>
      </c>
    </row>
    <row r="163" spans="1:4" x14ac:dyDescent="0.3">
      <c r="A163">
        <v>1.8621973929236499</v>
      </c>
      <c r="B163">
        <v>2.0949720670391052</v>
      </c>
      <c r="C163">
        <v>4.4057333333333339</v>
      </c>
      <c r="D163">
        <v>2.5139664804469275</v>
      </c>
    </row>
    <row r="164" spans="1:4" x14ac:dyDescent="0.3">
      <c r="A164">
        <v>0</v>
      </c>
      <c r="B164">
        <v>0</v>
      </c>
      <c r="C164">
        <v>8.4333333333333361E-3</v>
      </c>
      <c r="D164">
        <v>0</v>
      </c>
    </row>
    <row r="165" spans="1:4" x14ac:dyDescent="0.3">
      <c r="A165">
        <v>0</v>
      </c>
      <c r="B165">
        <v>0</v>
      </c>
      <c r="C165">
        <v>1.4833333333333339E-2</v>
      </c>
      <c r="D165">
        <v>0</v>
      </c>
    </row>
    <row r="166" spans="1:4" x14ac:dyDescent="0.3">
      <c r="A166">
        <v>0</v>
      </c>
      <c r="B166">
        <v>0</v>
      </c>
      <c r="C166">
        <v>0.36770000000000008</v>
      </c>
      <c r="D166">
        <v>0</v>
      </c>
    </row>
    <row r="167" spans="1:4" x14ac:dyDescent="0.3">
      <c r="A167">
        <v>0</v>
      </c>
      <c r="B167">
        <v>0</v>
      </c>
      <c r="C167">
        <v>6.3433333333333328E-2</v>
      </c>
      <c r="D167">
        <v>0</v>
      </c>
    </row>
    <row r="168" spans="1:4" x14ac:dyDescent="0.3">
      <c r="A168">
        <v>1.25</v>
      </c>
      <c r="B168">
        <v>1.7611111111111108</v>
      </c>
      <c r="C168">
        <v>5.7909666666666668</v>
      </c>
      <c r="D168">
        <v>2.083333333333333</v>
      </c>
    </row>
    <row r="169" spans="1:4" x14ac:dyDescent="0.3">
      <c r="A169">
        <v>1.8077239112571899</v>
      </c>
      <c r="B169">
        <v>2.7280197206244869</v>
      </c>
      <c r="C169">
        <v>4.0243000000000002</v>
      </c>
      <c r="D169">
        <v>3.6976170912078881</v>
      </c>
    </row>
    <row r="170" spans="1:4" x14ac:dyDescent="0.3">
      <c r="A170">
        <v>0</v>
      </c>
      <c r="B170">
        <v>0</v>
      </c>
      <c r="C170">
        <v>2.6666666666666668E-4</v>
      </c>
      <c r="D170">
        <v>0</v>
      </c>
    </row>
    <row r="171" spans="1:4" x14ac:dyDescent="0.3">
      <c r="A171">
        <v>5.0373134328358207</v>
      </c>
      <c r="B171">
        <v>5.0373134328358189</v>
      </c>
      <c r="C171">
        <v>1.8023999999999996</v>
      </c>
      <c r="D171">
        <v>5.0373134328358207</v>
      </c>
    </row>
    <row r="172" spans="1:4" x14ac:dyDescent="0.3">
      <c r="A172">
        <v>0</v>
      </c>
      <c r="B172">
        <v>0</v>
      </c>
      <c r="C172">
        <v>4.0000000000000013E-4</v>
      </c>
      <c r="D172">
        <v>0</v>
      </c>
    </row>
    <row r="173" spans="1:4" x14ac:dyDescent="0.3">
      <c r="A173">
        <v>0.30257186081694404</v>
      </c>
      <c r="B173">
        <v>0.82450832072617253</v>
      </c>
      <c r="C173">
        <v>4.6803999999999997</v>
      </c>
      <c r="D173">
        <v>1.3615733736762481</v>
      </c>
    </row>
    <row r="174" spans="1:4" x14ac:dyDescent="0.3">
      <c r="A174">
        <v>2.5568181818181821</v>
      </c>
      <c r="B174">
        <v>2.8560606060606064</v>
      </c>
      <c r="C174">
        <v>6.4528666666666661</v>
      </c>
      <c r="D174">
        <v>3.1818181818181817</v>
      </c>
    </row>
    <row r="175" spans="1:4" x14ac:dyDescent="0.3">
      <c r="A175">
        <v>0</v>
      </c>
      <c r="B175">
        <v>0</v>
      </c>
      <c r="C175">
        <v>0.73069999999999991</v>
      </c>
      <c r="D175">
        <v>0</v>
      </c>
    </row>
    <row r="176" spans="1:4" x14ac:dyDescent="0.3">
      <c r="A176">
        <v>1.3052208835341366</v>
      </c>
      <c r="B176">
        <v>1.6298527443105759</v>
      </c>
      <c r="C176">
        <v>1.6748666666666667</v>
      </c>
      <c r="D176">
        <v>1.8072289156626504</v>
      </c>
    </row>
    <row r="177" spans="1:4" x14ac:dyDescent="0.3">
      <c r="A177">
        <v>4.6814044213263983</v>
      </c>
      <c r="B177">
        <v>4.6814044213263948</v>
      </c>
      <c r="C177">
        <v>2.051533333333333</v>
      </c>
      <c r="D177">
        <v>4.6814044213263983</v>
      </c>
    </row>
    <row r="178" spans="1:4" x14ac:dyDescent="0.3">
      <c r="A178">
        <v>1.2213740458015268</v>
      </c>
      <c r="B178">
        <v>1.6437659033078882</v>
      </c>
      <c r="C178">
        <v>5.3247999999999998</v>
      </c>
      <c r="D178">
        <v>1.8320610687022902</v>
      </c>
    </row>
    <row r="179" spans="1:4" x14ac:dyDescent="0.3">
      <c r="A179">
        <v>4.8132780082987559</v>
      </c>
      <c r="B179">
        <v>5.3969571230982014</v>
      </c>
      <c r="C179">
        <v>4.5643000000000011</v>
      </c>
      <c r="D179">
        <v>5.8921161825726136</v>
      </c>
    </row>
    <row r="180" spans="1:4" x14ac:dyDescent="0.3">
      <c r="A180">
        <v>1.6352201257861636</v>
      </c>
      <c r="B180">
        <v>1.8574423480083859</v>
      </c>
      <c r="C180">
        <v>8.3562666666666665</v>
      </c>
      <c r="D180">
        <v>2.0754716981132075</v>
      </c>
    </row>
    <row r="181" spans="1:4" x14ac:dyDescent="0.3">
      <c r="A181">
        <v>7.2115384615384608</v>
      </c>
      <c r="B181">
        <v>8.1089743589743595</v>
      </c>
      <c r="C181">
        <v>8.3038999999999987</v>
      </c>
      <c r="D181">
        <v>9.0659340659340657</v>
      </c>
    </row>
    <row r="182" spans="1:4" x14ac:dyDescent="0.3">
      <c r="A182">
        <v>1.6304347826086956</v>
      </c>
      <c r="B182">
        <v>1.6304347826086956</v>
      </c>
      <c r="C182">
        <v>2.1349</v>
      </c>
      <c r="D182">
        <v>1.6304347826086956</v>
      </c>
    </row>
    <row r="183" spans="1:4" x14ac:dyDescent="0.3">
      <c r="A183">
        <v>0</v>
      </c>
      <c r="B183">
        <v>0</v>
      </c>
      <c r="C183">
        <v>3.5933333333333338E-2</v>
      </c>
      <c r="D183">
        <v>0</v>
      </c>
    </row>
    <row r="184" spans="1:4" x14ac:dyDescent="0.3">
      <c r="A184">
        <v>1.4899211218229622</v>
      </c>
      <c r="B184">
        <v>1.9135261466549804</v>
      </c>
      <c r="C184">
        <v>7.694533333333335</v>
      </c>
      <c r="D184">
        <v>2.2787028921998247</v>
      </c>
    </row>
    <row r="185" spans="1:4" x14ac:dyDescent="0.3">
      <c r="A185">
        <v>3.0878859857482186</v>
      </c>
      <c r="B185">
        <v>4.0063341250989701</v>
      </c>
      <c r="C185">
        <v>8.9672999999999998</v>
      </c>
      <c r="D185">
        <v>4.6318289786223277</v>
      </c>
    </row>
    <row r="186" spans="1:4" x14ac:dyDescent="0.3">
      <c r="A186">
        <v>0</v>
      </c>
      <c r="B186">
        <v>0</v>
      </c>
      <c r="C186">
        <v>5.3333333333333336E-4</v>
      </c>
      <c r="D186">
        <v>0</v>
      </c>
    </row>
    <row r="187" spans="1:4" x14ac:dyDescent="0.3">
      <c r="A187">
        <v>0</v>
      </c>
      <c r="B187">
        <v>0</v>
      </c>
      <c r="C187">
        <v>1.0584333333333333</v>
      </c>
      <c r="D187">
        <v>0</v>
      </c>
    </row>
    <row r="188" spans="1:4" x14ac:dyDescent="0.3">
      <c r="A188">
        <v>0</v>
      </c>
      <c r="B188">
        <v>0</v>
      </c>
      <c r="C188">
        <v>4.1999999999999997E-3</v>
      </c>
      <c r="D188">
        <v>0</v>
      </c>
    </row>
    <row r="189" spans="1:4" x14ac:dyDescent="0.3">
      <c r="A189">
        <v>0</v>
      </c>
      <c r="B189">
        <v>0</v>
      </c>
      <c r="C189">
        <v>1.7200000000000007E-2</v>
      </c>
      <c r="D189">
        <v>0</v>
      </c>
    </row>
    <row r="190" spans="1:4" x14ac:dyDescent="0.3">
      <c r="A190">
        <v>0</v>
      </c>
      <c r="B190">
        <v>0</v>
      </c>
      <c r="C190">
        <v>1.0900000000000003E-2</v>
      </c>
      <c r="D190">
        <v>0</v>
      </c>
    </row>
    <row r="191" spans="1:4" x14ac:dyDescent="0.3">
      <c r="A191">
        <v>0</v>
      </c>
      <c r="B191">
        <v>0</v>
      </c>
      <c r="C191">
        <v>2.5500000000000005E-2</v>
      </c>
      <c r="D191">
        <v>0</v>
      </c>
    </row>
    <row r="192" spans="1:4" x14ac:dyDescent="0.3">
      <c r="A192">
        <v>0</v>
      </c>
      <c r="B192">
        <v>0</v>
      </c>
      <c r="C192">
        <v>1.3481666666666665</v>
      </c>
      <c r="D192">
        <v>0</v>
      </c>
    </row>
    <row r="193" spans="1:4" x14ac:dyDescent="0.3">
      <c r="A193">
        <v>0</v>
      </c>
      <c r="B193">
        <v>0</v>
      </c>
      <c r="C193">
        <v>0.79886666666666672</v>
      </c>
      <c r="D193">
        <v>0</v>
      </c>
    </row>
    <row r="194" spans="1:4" x14ac:dyDescent="0.3">
      <c r="A194">
        <v>0.16722408026755853</v>
      </c>
      <c r="B194">
        <v>0.37068004459308818</v>
      </c>
      <c r="C194">
        <v>7.1061333333333332</v>
      </c>
      <c r="D194">
        <v>0.50167224080267558</v>
      </c>
    </row>
    <row r="195" spans="1:4" x14ac:dyDescent="0.3">
      <c r="A195">
        <v>2.6872964169381111</v>
      </c>
      <c r="B195">
        <v>3.3821932681867541</v>
      </c>
      <c r="C195">
        <v>8.2891666666666666</v>
      </c>
      <c r="D195">
        <v>4.315960912052117</v>
      </c>
    </row>
    <row r="196" spans="1:4" x14ac:dyDescent="0.3">
      <c r="A196">
        <v>1.8563751831949193</v>
      </c>
      <c r="B196">
        <v>2.2846441947565541</v>
      </c>
      <c r="C196">
        <v>25.29516666666667</v>
      </c>
      <c r="D196">
        <v>2.5891548607718611</v>
      </c>
    </row>
    <row r="197" spans="1:4" x14ac:dyDescent="0.3">
      <c r="A197">
        <v>1.7071908949818935</v>
      </c>
      <c r="B197">
        <v>2.2348680807035697</v>
      </c>
      <c r="C197">
        <v>22.135966666666665</v>
      </c>
      <c r="D197">
        <v>2.6901189860320742</v>
      </c>
    </row>
    <row r="198" spans="1:4" x14ac:dyDescent="0.3">
      <c r="A198">
        <v>0</v>
      </c>
      <c r="B198">
        <v>0</v>
      </c>
      <c r="C198">
        <v>2.0666666666666667E-3</v>
      </c>
      <c r="D198">
        <v>0</v>
      </c>
    </row>
    <row r="199" spans="1:4" x14ac:dyDescent="0.3">
      <c r="A199">
        <v>0</v>
      </c>
      <c r="B199">
        <v>0</v>
      </c>
      <c r="C199">
        <v>3.0999999999999999E-3</v>
      </c>
      <c r="D199">
        <v>0</v>
      </c>
    </row>
    <row r="200" spans="1:4" x14ac:dyDescent="0.3">
      <c r="A200">
        <v>0</v>
      </c>
      <c r="B200">
        <v>0</v>
      </c>
      <c r="C200">
        <v>1.2033333333333335E-2</v>
      </c>
      <c r="D200">
        <v>0</v>
      </c>
    </row>
    <row r="201" spans="1:4" x14ac:dyDescent="0.3">
      <c r="A201">
        <v>0</v>
      </c>
      <c r="B201">
        <v>0</v>
      </c>
      <c r="C201">
        <v>0.36503333333333338</v>
      </c>
      <c r="D201">
        <v>0</v>
      </c>
    </row>
    <row r="202" spans="1:4" x14ac:dyDescent="0.3">
      <c r="A202">
        <v>0.53691275167785235</v>
      </c>
      <c r="B202">
        <v>1.0529455630126769</v>
      </c>
      <c r="C202">
        <v>43.990233333333343</v>
      </c>
      <c r="D202">
        <v>1.4317673378076063</v>
      </c>
    </row>
    <row r="203" spans="1:4" x14ac:dyDescent="0.3">
      <c r="A203">
        <v>0</v>
      </c>
      <c r="B203">
        <v>1.6559032952475578E-3</v>
      </c>
      <c r="C203">
        <v>6.2668333333333335</v>
      </c>
      <c r="D203">
        <v>4.967709885742673E-2</v>
      </c>
    </row>
    <row r="204" spans="1:4" x14ac:dyDescent="0.3">
      <c r="A204">
        <v>4.4662309368191728</v>
      </c>
      <c r="B204">
        <v>5.5386105059307678</v>
      </c>
      <c r="C204">
        <v>56.500266666666668</v>
      </c>
      <c r="D204">
        <v>6.572258533042846</v>
      </c>
    </row>
    <row r="205" spans="1:4" x14ac:dyDescent="0.3">
      <c r="A205">
        <v>3.9722863741339496</v>
      </c>
      <c r="B205">
        <v>5.2101616628175513</v>
      </c>
      <c r="C205">
        <v>59.469000000000001</v>
      </c>
      <c r="D205">
        <v>6.5588914549653587</v>
      </c>
    </row>
    <row r="206" spans="1:4" x14ac:dyDescent="0.3">
      <c r="A206">
        <v>0</v>
      </c>
      <c r="B206">
        <v>0.15220700152207006</v>
      </c>
      <c r="C206">
        <v>11.915600000000001</v>
      </c>
      <c r="D206">
        <v>0.34246575342465752</v>
      </c>
    </row>
    <row r="207" spans="1:4" x14ac:dyDescent="0.3">
      <c r="A207">
        <v>0</v>
      </c>
      <c r="B207">
        <v>0</v>
      </c>
      <c r="C207">
        <v>5.0000000000000001E-4</v>
      </c>
      <c r="D207">
        <v>0</v>
      </c>
    </row>
    <row r="208" spans="1:4" x14ac:dyDescent="0.3">
      <c r="A208">
        <v>0</v>
      </c>
      <c r="B208">
        <v>0</v>
      </c>
      <c r="C208">
        <v>2.0666666666666667E-3</v>
      </c>
      <c r="D208">
        <v>0</v>
      </c>
    </row>
    <row r="209" spans="1:4" x14ac:dyDescent="0.3">
      <c r="A209">
        <v>0.73787772312016864</v>
      </c>
      <c r="B209">
        <v>1.4488170531740456</v>
      </c>
      <c r="C209">
        <v>35.284599999999998</v>
      </c>
      <c r="D209">
        <v>2.4244553759662684</v>
      </c>
    </row>
    <row r="210" spans="1:4" x14ac:dyDescent="0.3">
      <c r="A210">
        <v>0.97309673726388091</v>
      </c>
      <c r="B210">
        <v>1.4233924823506967</v>
      </c>
      <c r="C210">
        <v>51.882566666666662</v>
      </c>
      <c r="D210">
        <v>1.6886090440755581</v>
      </c>
    </row>
    <row r="211" spans="1:4" x14ac:dyDescent="0.3">
      <c r="A211">
        <v>0</v>
      </c>
      <c r="B211">
        <v>0</v>
      </c>
      <c r="C211">
        <v>4.2333333333333337E-3</v>
      </c>
      <c r="D211">
        <v>0</v>
      </c>
    </row>
    <row r="212" spans="1:4" x14ac:dyDescent="0.3">
      <c r="A212">
        <v>0.49751243781094528</v>
      </c>
      <c r="B212">
        <v>0.59038142620232192</v>
      </c>
      <c r="C212">
        <v>20.625833333333329</v>
      </c>
      <c r="D212">
        <v>0.79601990049751237</v>
      </c>
    </row>
    <row r="213" spans="1:4" x14ac:dyDescent="0.3">
      <c r="A213">
        <v>4.7016274864376131</v>
      </c>
      <c r="B213">
        <v>5.6439622262407081</v>
      </c>
      <c r="C213">
        <v>26.154666666666667</v>
      </c>
      <c r="D213">
        <v>6.570223025919228</v>
      </c>
    </row>
    <row r="214" spans="1:4" x14ac:dyDescent="0.3">
      <c r="A214">
        <v>1.2605042016806722</v>
      </c>
      <c r="B214">
        <v>1.6849816849816854</v>
      </c>
      <c r="C214">
        <v>49.168233333333347</v>
      </c>
      <c r="D214">
        <v>1.9392372333548804</v>
      </c>
    </row>
    <row r="215" spans="1:4" x14ac:dyDescent="0.3">
      <c r="A215">
        <v>4.5084996304508493</v>
      </c>
      <c r="B215">
        <v>5.5432372505543244</v>
      </c>
      <c r="C215">
        <v>54.386900000000004</v>
      </c>
      <c r="D215">
        <v>6.6149297856614924</v>
      </c>
    </row>
    <row r="216" spans="1:4" x14ac:dyDescent="0.3">
      <c r="A216">
        <v>0.83884087442806299</v>
      </c>
      <c r="B216">
        <v>1.240467717336045</v>
      </c>
      <c r="C216">
        <v>73.560199999999995</v>
      </c>
      <c r="D216">
        <v>1.4743263853584139</v>
      </c>
    </row>
    <row r="217" spans="1:4" x14ac:dyDescent="0.3">
      <c r="A217">
        <v>4.0342298288508553</v>
      </c>
      <c r="B217">
        <v>4.5904645476772625</v>
      </c>
      <c r="C217">
        <v>80.359833333333327</v>
      </c>
      <c r="D217">
        <v>5.2261613691931537</v>
      </c>
    </row>
    <row r="218" spans="1:4" x14ac:dyDescent="0.3">
      <c r="A218">
        <v>1.3953488372093024</v>
      </c>
      <c r="B218">
        <v>1.3953488372093026</v>
      </c>
      <c r="C218">
        <v>2.5366666666666683E-2</v>
      </c>
      <c r="D218">
        <v>1.3953488372093024</v>
      </c>
    </row>
    <row r="219" spans="1:4" x14ac:dyDescent="0.3">
      <c r="A219">
        <v>0.8875739644970414</v>
      </c>
      <c r="B219">
        <v>0.88757396449704096</v>
      </c>
      <c r="C219">
        <v>0.12796666666666667</v>
      </c>
      <c r="D219">
        <v>0.8875739644970414</v>
      </c>
    </row>
    <row r="220" spans="1:4" x14ac:dyDescent="0.3">
      <c r="A220">
        <v>1.7543859649122806</v>
      </c>
      <c r="B220">
        <v>1.7543859649122806</v>
      </c>
      <c r="C220">
        <v>0.85306666666666675</v>
      </c>
      <c r="D220">
        <v>1.7543859649122806</v>
      </c>
    </row>
    <row r="221" spans="1:4" x14ac:dyDescent="0.3">
      <c r="A221">
        <v>0</v>
      </c>
      <c r="B221">
        <v>0.39287906691221602</v>
      </c>
      <c r="C221">
        <v>0.75593333333333335</v>
      </c>
      <c r="D221">
        <v>1.4732965009208103</v>
      </c>
    </row>
    <row r="222" spans="1:4" x14ac:dyDescent="0.3">
      <c r="A222">
        <v>2.2865853658536586</v>
      </c>
      <c r="B222">
        <v>2.286585365853659</v>
      </c>
      <c r="C222">
        <v>0.97576666666666667</v>
      </c>
      <c r="D222">
        <v>2.2865853658536586</v>
      </c>
    </row>
    <row r="223" spans="1:4" x14ac:dyDescent="0.3">
      <c r="A223">
        <v>0</v>
      </c>
      <c r="B223">
        <v>0</v>
      </c>
      <c r="C223">
        <v>3.4666666666666678E-3</v>
      </c>
      <c r="D223">
        <v>0</v>
      </c>
    </row>
    <row r="224" spans="1:4" x14ac:dyDescent="0.3">
      <c r="A224">
        <v>0</v>
      </c>
      <c r="B224">
        <v>0</v>
      </c>
      <c r="C224">
        <v>1.0000000000000005E-3</v>
      </c>
      <c r="D224">
        <v>0</v>
      </c>
    </row>
    <row r="225" spans="1:4" x14ac:dyDescent="0.3">
      <c r="A225">
        <v>0</v>
      </c>
      <c r="B225">
        <v>0</v>
      </c>
      <c r="C225">
        <v>2.7666666666666681E-3</v>
      </c>
      <c r="D225">
        <v>0</v>
      </c>
    </row>
    <row r="226" spans="1:4" x14ac:dyDescent="0.3">
      <c r="A226">
        <v>0</v>
      </c>
      <c r="B226">
        <v>0</v>
      </c>
      <c r="C226">
        <v>4.2666666666666669E-3</v>
      </c>
      <c r="D226">
        <v>0</v>
      </c>
    </row>
    <row r="227" spans="1:4" x14ac:dyDescent="0.3">
      <c r="A227">
        <v>0</v>
      </c>
      <c r="B227">
        <v>0</v>
      </c>
      <c r="C227">
        <v>1.0033333333333339E-2</v>
      </c>
      <c r="D227">
        <v>0</v>
      </c>
    </row>
    <row r="228" spans="1:4" x14ac:dyDescent="0.3">
      <c r="A228">
        <v>0</v>
      </c>
      <c r="B228">
        <v>0</v>
      </c>
      <c r="C228">
        <v>8.2333333333333338E-3</v>
      </c>
      <c r="D228">
        <v>0</v>
      </c>
    </row>
    <row r="229" spans="1:4" x14ac:dyDescent="0.3">
      <c r="A229">
        <v>0</v>
      </c>
      <c r="B229">
        <v>0</v>
      </c>
      <c r="C229">
        <v>4.4666666666666683E-3</v>
      </c>
      <c r="D229">
        <v>0</v>
      </c>
    </row>
    <row r="230" spans="1:4" x14ac:dyDescent="0.3">
      <c r="A230">
        <v>0</v>
      </c>
      <c r="B230">
        <v>0</v>
      </c>
      <c r="C230">
        <v>1E-4</v>
      </c>
      <c r="D230">
        <v>0</v>
      </c>
    </row>
    <row r="231" spans="1:4" x14ac:dyDescent="0.3">
      <c r="A231">
        <v>2</v>
      </c>
      <c r="B231">
        <v>2</v>
      </c>
      <c r="C231">
        <v>1.0722333333333334</v>
      </c>
      <c r="D231">
        <v>2</v>
      </c>
    </row>
    <row r="232" spans="1:4" x14ac:dyDescent="0.3">
      <c r="A232">
        <v>2.147239263803681</v>
      </c>
      <c r="B232">
        <v>2.1472392638036819</v>
      </c>
      <c r="C232">
        <v>1.8268666666666666</v>
      </c>
      <c r="D232">
        <v>2.147239263803681</v>
      </c>
    </row>
    <row r="233" spans="1:4" x14ac:dyDescent="0.3">
      <c r="A233">
        <v>0</v>
      </c>
      <c r="B233">
        <v>0</v>
      </c>
      <c r="C233">
        <v>2.0000000000000001E-4</v>
      </c>
      <c r="D233">
        <v>0</v>
      </c>
    </row>
    <row r="234" spans="1:4" x14ac:dyDescent="0.3">
      <c r="A234">
        <v>0.28985507246376813</v>
      </c>
      <c r="B234">
        <v>0.50241545893719819</v>
      </c>
      <c r="C234">
        <v>2.7946999999999993</v>
      </c>
      <c r="D234">
        <v>0.86956521739130432</v>
      </c>
    </row>
    <row r="235" spans="1:4" x14ac:dyDescent="0.3">
      <c r="A235">
        <v>0</v>
      </c>
      <c r="B235">
        <v>0</v>
      </c>
      <c r="C235">
        <v>3.0000000000000003E-4</v>
      </c>
      <c r="D235">
        <v>0</v>
      </c>
    </row>
    <row r="236" spans="1:4" x14ac:dyDescent="0.3">
      <c r="A236">
        <v>0</v>
      </c>
      <c r="B236">
        <v>0</v>
      </c>
      <c r="C236">
        <v>4.8666666666666693E-3</v>
      </c>
      <c r="D236">
        <v>0</v>
      </c>
    </row>
    <row r="237" spans="1:4" x14ac:dyDescent="0.3">
      <c r="A237">
        <v>0</v>
      </c>
      <c r="B237">
        <v>0</v>
      </c>
      <c r="C237">
        <v>2.033333333333334E-3</v>
      </c>
      <c r="D237">
        <v>0</v>
      </c>
    </row>
    <row r="238" spans="1:4" x14ac:dyDescent="0.3">
      <c r="A238">
        <v>0</v>
      </c>
      <c r="B238">
        <v>0</v>
      </c>
      <c r="C238">
        <v>0.11039999999999997</v>
      </c>
      <c r="D238">
        <v>0</v>
      </c>
    </row>
    <row r="239" spans="1:4" x14ac:dyDescent="0.3">
      <c r="A239">
        <v>0.71856287425149701</v>
      </c>
      <c r="B239">
        <v>1.2455089820359282</v>
      </c>
      <c r="C239">
        <v>3.1530999999999998</v>
      </c>
      <c r="D239">
        <v>2.6347305389221556</v>
      </c>
    </row>
    <row r="240" spans="1:4" x14ac:dyDescent="0.3">
      <c r="A240">
        <v>1.5395894428152492</v>
      </c>
      <c r="B240">
        <v>2.1285434995112422</v>
      </c>
      <c r="C240">
        <v>4.8423333333333334</v>
      </c>
      <c r="D240">
        <v>2.7126099706744866</v>
      </c>
    </row>
    <row r="241" spans="1:4" x14ac:dyDescent="0.3">
      <c r="A241">
        <v>1.73992673992674</v>
      </c>
      <c r="B241">
        <v>3.2417582417582418</v>
      </c>
      <c r="C241">
        <v>5.0796000000000001</v>
      </c>
      <c r="D241">
        <v>4.2124542124542126</v>
      </c>
    </row>
    <row r="242" spans="1:4" x14ac:dyDescent="0.3">
      <c r="A242">
        <v>0</v>
      </c>
      <c r="B242">
        <v>0</v>
      </c>
      <c r="C242">
        <v>2.9333333333333347E-3</v>
      </c>
      <c r="D242">
        <v>0</v>
      </c>
    </row>
    <row r="243" spans="1:4" x14ac:dyDescent="0.3">
      <c r="A243">
        <v>3.5087719298245612</v>
      </c>
      <c r="B243">
        <v>3.6998050682261217</v>
      </c>
      <c r="C243">
        <v>3.5741333333333332</v>
      </c>
      <c r="D243">
        <v>3.8596491228070176</v>
      </c>
    </row>
    <row r="244" spans="1:4" x14ac:dyDescent="0.3">
      <c r="A244">
        <v>0.23603461841070023</v>
      </c>
      <c r="B244">
        <v>0.55861526357199054</v>
      </c>
      <c r="C244">
        <v>4.6554000000000011</v>
      </c>
      <c r="D244">
        <v>0.9441384736428009</v>
      </c>
    </row>
    <row r="245" spans="1:4" x14ac:dyDescent="0.3">
      <c r="A245">
        <v>1.8465909090909092</v>
      </c>
      <c r="B245">
        <v>2.4715909090909083</v>
      </c>
      <c r="C245">
        <v>4.322000000000001</v>
      </c>
      <c r="D245">
        <v>3.7642045454545454</v>
      </c>
    </row>
    <row r="246" spans="1:4" x14ac:dyDescent="0.3">
      <c r="A246">
        <v>0</v>
      </c>
      <c r="B246">
        <v>0</v>
      </c>
      <c r="C246">
        <v>5.0000000000000023E-4</v>
      </c>
      <c r="D246">
        <v>0</v>
      </c>
    </row>
    <row r="247" spans="1:4" x14ac:dyDescent="0.3">
      <c r="A247">
        <v>0</v>
      </c>
      <c r="B247">
        <v>0</v>
      </c>
      <c r="C247">
        <v>7.3333333333333378E-4</v>
      </c>
      <c r="D247">
        <v>0</v>
      </c>
    </row>
    <row r="248" spans="1:4" x14ac:dyDescent="0.3">
      <c r="A248">
        <v>0</v>
      </c>
      <c r="B248">
        <v>0</v>
      </c>
      <c r="C248">
        <v>1.3600000000000004E-2</v>
      </c>
      <c r="D248">
        <v>0</v>
      </c>
    </row>
    <row r="249" spans="1:4" x14ac:dyDescent="0.3">
      <c r="A249">
        <v>0</v>
      </c>
      <c r="B249">
        <v>0</v>
      </c>
      <c r="C249">
        <v>5.676666666666666E-2</v>
      </c>
      <c r="D249">
        <v>0</v>
      </c>
    </row>
    <row r="250" spans="1:4" x14ac:dyDescent="0.3">
      <c r="A250">
        <v>1.887905604719764</v>
      </c>
      <c r="B250">
        <v>2.1297935103244834</v>
      </c>
      <c r="C250">
        <v>6.1363000000000012</v>
      </c>
      <c r="D250">
        <v>2.3008849557522124</v>
      </c>
    </row>
    <row r="251" spans="1:4" x14ac:dyDescent="0.3">
      <c r="A251">
        <v>4.732690622261174</v>
      </c>
      <c r="B251">
        <v>7.4905054046158357</v>
      </c>
      <c r="C251">
        <v>5.4109333333333334</v>
      </c>
      <c r="D251">
        <v>9.7283085013146362</v>
      </c>
    </row>
    <row r="252" spans="1:4" x14ac:dyDescent="0.3">
      <c r="A252">
        <v>0.52083333333333326</v>
      </c>
      <c r="B252">
        <v>0.82368827160493852</v>
      </c>
      <c r="C252">
        <v>7.0794999999999986</v>
      </c>
      <c r="D252">
        <v>1.1574074074074074</v>
      </c>
    </row>
    <row r="253" spans="1:4" x14ac:dyDescent="0.3">
      <c r="A253">
        <v>8.4470435347628321</v>
      </c>
      <c r="B253">
        <v>9.6058046350443984</v>
      </c>
      <c r="C253">
        <v>8.9065333333333303</v>
      </c>
      <c r="D253">
        <v>10.78622482131254</v>
      </c>
    </row>
    <row r="254" spans="1:4" x14ac:dyDescent="0.3">
      <c r="A254">
        <v>0</v>
      </c>
      <c r="B254">
        <v>0</v>
      </c>
      <c r="C254">
        <v>2.9666666666666675E-2</v>
      </c>
      <c r="D254">
        <v>0</v>
      </c>
    </row>
    <row r="255" spans="1:4" x14ac:dyDescent="0.3">
      <c r="A255">
        <v>1.7825311942959003</v>
      </c>
      <c r="B255">
        <v>1.7825311942958995</v>
      </c>
      <c r="C255">
        <v>2.3702999999999999</v>
      </c>
      <c r="D255">
        <v>1.7825311942959003</v>
      </c>
    </row>
    <row r="256" spans="1:4" x14ac:dyDescent="0.3">
      <c r="A256">
        <v>2.2988505747126435</v>
      </c>
      <c r="B256">
        <v>2.6168582375478935</v>
      </c>
      <c r="C256">
        <v>7.3300666666666681</v>
      </c>
      <c r="D256">
        <v>2.8735632183908044</v>
      </c>
    </row>
    <row r="257" spans="1:4" x14ac:dyDescent="0.3">
      <c r="A257">
        <v>0</v>
      </c>
      <c r="B257">
        <v>7.7519379844961239E-3</v>
      </c>
      <c r="C257">
        <v>2.3479000000000001</v>
      </c>
      <c r="D257">
        <v>0.23255813953488372</v>
      </c>
    </row>
    <row r="258" spans="1:4" x14ac:dyDescent="0.3">
      <c r="A258">
        <v>7.9872204472843447E-2</v>
      </c>
      <c r="B258">
        <v>0.29818956336528224</v>
      </c>
      <c r="C258">
        <v>7.8286666666666642</v>
      </c>
      <c r="D258">
        <v>0.55910543130990409</v>
      </c>
    </row>
    <row r="259" spans="1:4" x14ac:dyDescent="0.3">
      <c r="A259">
        <v>0</v>
      </c>
      <c r="B259">
        <v>0</v>
      </c>
      <c r="C259">
        <v>0.12553333333333336</v>
      </c>
      <c r="D259">
        <v>0</v>
      </c>
    </row>
    <row r="260" spans="1:4" x14ac:dyDescent="0.3">
      <c r="A260">
        <v>0</v>
      </c>
      <c r="B260">
        <v>0</v>
      </c>
      <c r="C260">
        <v>4.7333333333333342E-3</v>
      </c>
      <c r="D260">
        <v>0</v>
      </c>
    </row>
    <row r="261" spans="1:4" x14ac:dyDescent="0.3">
      <c r="A261">
        <v>0</v>
      </c>
      <c r="B261">
        <v>0</v>
      </c>
      <c r="C261">
        <v>4.1666666666666666E-3</v>
      </c>
      <c r="D261">
        <v>0</v>
      </c>
    </row>
    <row r="262" spans="1:4" x14ac:dyDescent="0.3">
      <c r="A262">
        <v>0</v>
      </c>
      <c r="B262">
        <v>0</v>
      </c>
      <c r="C262">
        <v>3.2300000000000009E-2</v>
      </c>
      <c r="D262">
        <v>0</v>
      </c>
    </row>
    <row r="263" spans="1:4" x14ac:dyDescent="0.3">
      <c r="A263">
        <v>0</v>
      </c>
      <c r="B263">
        <v>0</v>
      </c>
      <c r="C263">
        <v>5.6699999999999993E-2</v>
      </c>
      <c r="D263">
        <v>0</v>
      </c>
    </row>
    <row r="264" spans="1:4" x14ac:dyDescent="0.3">
      <c r="A264">
        <v>0</v>
      </c>
      <c r="B264">
        <v>3.6321611358758464E-2</v>
      </c>
      <c r="C264">
        <v>7.5076999999999989</v>
      </c>
      <c r="D264">
        <v>0.24764735017335313</v>
      </c>
    </row>
    <row r="265" spans="1:4" x14ac:dyDescent="0.3">
      <c r="A265">
        <v>0</v>
      </c>
      <c r="B265">
        <v>0</v>
      </c>
      <c r="C265">
        <v>0.20953333333333329</v>
      </c>
      <c r="D265">
        <v>0</v>
      </c>
    </row>
    <row r="266" spans="1:4" x14ac:dyDescent="0.3">
      <c r="A266">
        <v>1.0416666666666665</v>
      </c>
      <c r="B266">
        <v>1.0850694444444449</v>
      </c>
      <c r="C266">
        <v>8.3193999999999981</v>
      </c>
      <c r="D266">
        <v>1.2152777777777779</v>
      </c>
    </row>
    <row r="267" spans="1:4" x14ac:dyDescent="0.3">
      <c r="A267">
        <v>0</v>
      </c>
      <c r="B267">
        <v>0</v>
      </c>
      <c r="C267">
        <v>5.0000000000000001E-4</v>
      </c>
      <c r="D267">
        <v>0</v>
      </c>
    </row>
    <row r="268" spans="1:4" x14ac:dyDescent="0.3">
      <c r="A268">
        <v>0</v>
      </c>
      <c r="B268">
        <v>0</v>
      </c>
      <c r="C268">
        <v>2.0666666666666667E-3</v>
      </c>
      <c r="D268">
        <v>0</v>
      </c>
    </row>
    <row r="269" spans="1:4" x14ac:dyDescent="0.3">
      <c r="A269">
        <v>0</v>
      </c>
      <c r="B269">
        <v>0</v>
      </c>
      <c r="C269">
        <v>1.5333333333333334E-3</v>
      </c>
      <c r="D269">
        <v>0</v>
      </c>
    </row>
    <row r="270" spans="1:4" x14ac:dyDescent="0.3">
      <c r="A270">
        <v>0</v>
      </c>
      <c r="B270">
        <v>0</v>
      </c>
      <c r="C270">
        <v>1.5666666666666667E-3</v>
      </c>
      <c r="D270">
        <v>0</v>
      </c>
    </row>
    <row r="271" spans="1:4" x14ac:dyDescent="0.3">
      <c r="A271">
        <v>0.13106159895150721</v>
      </c>
      <c r="B271">
        <v>0.73103247415174011</v>
      </c>
      <c r="C271">
        <v>26.360633333333336</v>
      </c>
      <c r="D271">
        <v>1.2232415902140672</v>
      </c>
    </row>
    <row r="272" spans="1:4" x14ac:dyDescent="0.3">
      <c r="A272">
        <v>0</v>
      </c>
      <c r="B272">
        <v>0</v>
      </c>
      <c r="C272">
        <v>4.5333333333333337E-2</v>
      </c>
      <c r="D272">
        <v>0</v>
      </c>
    </row>
    <row r="273" spans="1:4" x14ac:dyDescent="0.3">
      <c r="A273">
        <v>0</v>
      </c>
      <c r="B273">
        <v>0</v>
      </c>
      <c r="C273">
        <v>1.7666666666666674E-2</v>
      </c>
      <c r="D273">
        <v>0</v>
      </c>
    </row>
    <row r="274" spans="1:4" x14ac:dyDescent="0.3">
      <c r="A274">
        <v>0</v>
      </c>
      <c r="B274">
        <v>7.154213036565979E-2</v>
      </c>
      <c r="C274">
        <v>30.174433333333337</v>
      </c>
      <c r="D274">
        <v>0.19872813990461047</v>
      </c>
    </row>
    <row r="275" spans="1:4" x14ac:dyDescent="0.3">
      <c r="A275">
        <v>0.55951169888097652</v>
      </c>
      <c r="B275">
        <v>1.5785011868429975</v>
      </c>
      <c r="C275">
        <v>43.44936666666667</v>
      </c>
      <c r="D275">
        <v>2.5432349949135302</v>
      </c>
    </row>
    <row r="276" spans="1:4" x14ac:dyDescent="0.3">
      <c r="A276">
        <v>3.6294896030245742</v>
      </c>
      <c r="B276">
        <v>4.5469439193446757</v>
      </c>
      <c r="C276">
        <v>49.422733333333333</v>
      </c>
      <c r="D276">
        <v>5.2930056710775046</v>
      </c>
    </row>
    <row r="277" spans="1:4" x14ac:dyDescent="0.3">
      <c r="A277">
        <v>9.3001409112259275</v>
      </c>
      <c r="B277">
        <v>10.32409581963363</v>
      </c>
      <c r="C277">
        <v>46.724766666666675</v>
      </c>
      <c r="D277">
        <v>11.13198684828558</v>
      </c>
    </row>
    <row r="278" spans="1:4" x14ac:dyDescent="0.3">
      <c r="A278">
        <v>0</v>
      </c>
      <c r="B278">
        <v>0</v>
      </c>
      <c r="C278">
        <v>2.5999999999999999E-3</v>
      </c>
      <c r="D278">
        <v>0</v>
      </c>
    </row>
    <row r="279" spans="1:4" x14ac:dyDescent="0.3">
      <c r="A279">
        <v>2.9258777633289985</v>
      </c>
      <c r="B279">
        <v>3.6129172084958814</v>
      </c>
      <c r="C279">
        <v>20.574233333333328</v>
      </c>
      <c r="D279">
        <v>4.2912873862158651</v>
      </c>
    </row>
    <row r="280" spans="1:4" x14ac:dyDescent="0.3">
      <c r="A280">
        <v>0.40913740197749743</v>
      </c>
      <c r="B280">
        <v>0.60006818956699626</v>
      </c>
      <c r="C280">
        <v>31.145866666666667</v>
      </c>
      <c r="D280">
        <v>0.71599045346062051</v>
      </c>
    </row>
    <row r="281" spans="1:4" x14ac:dyDescent="0.3">
      <c r="A281">
        <v>0</v>
      </c>
      <c r="B281">
        <v>0</v>
      </c>
      <c r="C281">
        <v>2.5666666666666667E-3</v>
      </c>
      <c r="D281">
        <v>0</v>
      </c>
    </row>
    <row r="282" spans="1:4" x14ac:dyDescent="0.3">
      <c r="A282">
        <v>1.8956115294728644</v>
      </c>
      <c r="B282">
        <v>2.2150090885484288</v>
      </c>
      <c r="C282">
        <v>52.277266666666669</v>
      </c>
      <c r="D282">
        <v>2.4928589976629447</v>
      </c>
    </row>
    <row r="283" spans="1:4" x14ac:dyDescent="0.3">
      <c r="A283">
        <v>0</v>
      </c>
      <c r="B283">
        <v>4.8732943469785581E-3</v>
      </c>
      <c r="C283">
        <v>17.577966666666665</v>
      </c>
      <c r="D283">
        <v>5.8479532163742694E-2</v>
      </c>
    </row>
    <row r="284" spans="1:4" x14ac:dyDescent="0.3">
      <c r="A284">
        <v>0.74200913242009126</v>
      </c>
      <c r="B284">
        <v>1.0235920852359208</v>
      </c>
      <c r="C284">
        <v>29.4998</v>
      </c>
      <c r="D284">
        <v>1.2557077625570776</v>
      </c>
    </row>
    <row r="285" spans="1:4" x14ac:dyDescent="0.3">
      <c r="A285">
        <v>1.1834319526627219</v>
      </c>
      <c r="B285">
        <v>2.3887793118562346</v>
      </c>
      <c r="C285">
        <v>22.969966666666668</v>
      </c>
      <c r="D285">
        <v>3.8132807363576595</v>
      </c>
    </row>
    <row r="286" spans="1:4" x14ac:dyDescent="0.3">
      <c r="A286">
        <v>1.2024048096192386</v>
      </c>
      <c r="B286">
        <v>1.4451124471164554</v>
      </c>
      <c r="C286">
        <v>48.855000000000004</v>
      </c>
      <c r="D286">
        <v>1.6700066800267204</v>
      </c>
    </row>
    <row r="287" spans="1:4" x14ac:dyDescent="0.3">
      <c r="A287">
        <v>3.5553892215568865</v>
      </c>
      <c r="B287">
        <v>4.6818862275449105</v>
      </c>
      <c r="C287">
        <v>53.456600000000002</v>
      </c>
      <c r="D287">
        <v>5.6886227544910177</v>
      </c>
    </row>
    <row r="288" spans="1:4" x14ac:dyDescent="0.3">
      <c r="A288">
        <v>2.3029966703662597</v>
      </c>
      <c r="B288">
        <v>2.7413984461709209</v>
      </c>
      <c r="C288">
        <v>82.099233333333316</v>
      </c>
      <c r="D288">
        <v>2.9966703662597114</v>
      </c>
    </row>
    <row r="289" spans="1:4" x14ac:dyDescent="0.3">
      <c r="A289">
        <v>5.2495139338950096</v>
      </c>
      <c r="B289">
        <v>6.1600777705767991</v>
      </c>
      <c r="C289">
        <v>77.420300000000026</v>
      </c>
      <c r="D289">
        <v>6.9669475048606611</v>
      </c>
    </row>
    <row r="290" spans="1:4" x14ac:dyDescent="0.3">
      <c r="A290">
        <v>0</v>
      </c>
      <c r="B290">
        <v>0</v>
      </c>
      <c r="C290">
        <v>7.6666666666666691E-4</v>
      </c>
      <c r="D290">
        <v>0</v>
      </c>
    </row>
    <row r="291" spans="1:4" x14ac:dyDescent="0.3">
      <c r="A291">
        <v>5.1428571428571423</v>
      </c>
      <c r="B291">
        <v>5.1428571428571397</v>
      </c>
      <c r="C291">
        <v>0.51053333333333328</v>
      </c>
      <c r="D291">
        <v>5.1428571428571423</v>
      </c>
    </row>
    <row r="292" spans="1:4" x14ac:dyDescent="0.3">
      <c r="A292">
        <v>0</v>
      </c>
      <c r="B292">
        <v>0</v>
      </c>
      <c r="C292">
        <v>2.8466666666666675E-2</v>
      </c>
      <c r="D292">
        <v>0</v>
      </c>
    </row>
    <row r="293" spans="1:4" x14ac:dyDescent="0.3">
      <c r="A293">
        <v>3.1963470319634704</v>
      </c>
      <c r="B293">
        <v>4.3226788432267877</v>
      </c>
      <c r="C293">
        <v>0.78433333333333333</v>
      </c>
      <c r="D293">
        <v>5.93607305936073</v>
      </c>
    </row>
    <row r="294" spans="1:4" x14ac:dyDescent="0.3">
      <c r="A294">
        <v>0</v>
      </c>
      <c r="B294">
        <v>8.8757396449704165E-2</v>
      </c>
      <c r="C294">
        <v>1.2096000000000002</v>
      </c>
      <c r="D294">
        <v>0.14792899408284024</v>
      </c>
    </row>
    <row r="295" spans="1:4" x14ac:dyDescent="0.3">
      <c r="A295">
        <v>2.1812080536912752</v>
      </c>
      <c r="B295">
        <v>4.1778523489932882</v>
      </c>
      <c r="C295">
        <v>1.6392333333333335</v>
      </c>
      <c r="D295">
        <v>5.5369127516778525</v>
      </c>
    </row>
    <row r="296" spans="1:4" x14ac:dyDescent="0.3">
      <c r="A296">
        <v>0</v>
      </c>
      <c r="B296">
        <v>0</v>
      </c>
      <c r="C296">
        <v>3.9666666666666678E-3</v>
      </c>
      <c r="D296">
        <v>0</v>
      </c>
    </row>
    <row r="297" spans="1:4" x14ac:dyDescent="0.3">
      <c r="A297">
        <v>0</v>
      </c>
      <c r="B297">
        <v>0</v>
      </c>
      <c r="C297">
        <v>1.5000000000000007E-3</v>
      </c>
      <c r="D297">
        <v>0</v>
      </c>
    </row>
    <row r="298" spans="1:4" x14ac:dyDescent="0.3">
      <c r="A298">
        <v>0</v>
      </c>
      <c r="B298">
        <v>0</v>
      </c>
      <c r="C298">
        <v>2.333333333333334E-3</v>
      </c>
      <c r="D298">
        <v>0</v>
      </c>
    </row>
    <row r="299" spans="1:4" x14ac:dyDescent="0.3">
      <c r="A299">
        <v>0</v>
      </c>
      <c r="B299">
        <v>0</v>
      </c>
      <c r="C299">
        <v>5.7666666666666691E-3</v>
      </c>
      <c r="D299">
        <v>0</v>
      </c>
    </row>
    <row r="300" spans="1:4" x14ac:dyDescent="0.3">
      <c r="A300">
        <v>0</v>
      </c>
      <c r="B300">
        <v>0</v>
      </c>
      <c r="C300">
        <v>2.1133333333333337E-2</v>
      </c>
      <c r="D300">
        <v>0</v>
      </c>
    </row>
    <row r="301" spans="1:4" x14ac:dyDescent="0.3">
      <c r="A301">
        <v>0</v>
      </c>
      <c r="B301">
        <v>0</v>
      </c>
      <c r="C301">
        <v>8.2666666666666704E-3</v>
      </c>
      <c r="D301">
        <v>0</v>
      </c>
    </row>
    <row r="302" spans="1:4" x14ac:dyDescent="0.3">
      <c r="A302">
        <v>0</v>
      </c>
      <c r="B302">
        <v>0</v>
      </c>
      <c r="C302">
        <v>6.666666666666667E-5</v>
      </c>
      <c r="D302">
        <v>0</v>
      </c>
    </row>
    <row r="303" spans="1:4" x14ac:dyDescent="0.3">
      <c r="A303">
        <v>5.4545454545454541</v>
      </c>
      <c r="B303">
        <v>5.4545454545454568</v>
      </c>
      <c r="C303">
        <v>1.3448333333333331</v>
      </c>
      <c r="D303">
        <v>5.4545454545454541</v>
      </c>
    </row>
    <row r="304" spans="1:4" x14ac:dyDescent="0.3">
      <c r="A304">
        <v>0.25510204081632654</v>
      </c>
      <c r="B304">
        <v>0.25510204081632643</v>
      </c>
      <c r="C304">
        <v>1.4709333333333332</v>
      </c>
      <c r="D304">
        <v>0.25510204081632654</v>
      </c>
    </row>
    <row r="305" spans="1:4" x14ac:dyDescent="0.3">
      <c r="A305">
        <v>1.6797312430011198</v>
      </c>
      <c r="B305">
        <v>1.6946621873833518</v>
      </c>
      <c r="C305">
        <v>3.1032000000000006</v>
      </c>
      <c r="D305">
        <v>2.1276595744680851</v>
      </c>
    </row>
    <row r="306" spans="1:4" x14ac:dyDescent="0.3">
      <c r="A306">
        <v>0</v>
      </c>
      <c r="B306">
        <v>0</v>
      </c>
      <c r="C306">
        <v>1.6666666666666666E-4</v>
      </c>
      <c r="D306">
        <v>0</v>
      </c>
    </row>
    <row r="307" spans="1:4" x14ac:dyDescent="0.3">
      <c r="A307">
        <v>0</v>
      </c>
      <c r="B307">
        <v>0</v>
      </c>
      <c r="C307">
        <v>1.5000000000000005E-3</v>
      </c>
      <c r="D307">
        <v>0</v>
      </c>
    </row>
    <row r="308" spans="1:4" x14ac:dyDescent="0.3">
      <c r="A308">
        <v>0</v>
      </c>
      <c r="B308">
        <v>0</v>
      </c>
      <c r="C308">
        <v>1.8333333333333346E-3</v>
      </c>
      <c r="D308">
        <v>0</v>
      </c>
    </row>
    <row r="309" spans="1:4" x14ac:dyDescent="0.3">
      <c r="A309">
        <v>0</v>
      </c>
      <c r="B309">
        <v>0</v>
      </c>
      <c r="C309">
        <v>2.3000000000000013E-3</v>
      </c>
      <c r="D309">
        <v>0</v>
      </c>
    </row>
    <row r="310" spans="1:4" x14ac:dyDescent="0.3">
      <c r="A310">
        <v>0</v>
      </c>
      <c r="B310">
        <v>0</v>
      </c>
      <c r="C310">
        <v>9.1866666666666638E-2</v>
      </c>
      <c r="D310">
        <v>0</v>
      </c>
    </row>
    <row r="311" spans="1:4" x14ac:dyDescent="0.3">
      <c r="A311">
        <v>0</v>
      </c>
      <c r="B311">
        <v>0</v>
      </c>
      <c r="C311">
        <v>6.4966666666666673E-2</v>
      </c>
      <c r="D311">
        <v>0</v>
      </c>
    </row>
    <row r="312" spans="1:4" x14ac:dyDescent="0.3">
      <c r="A312">
        <v>1.9047619047619049</v>
      </c>
      <c r="B312">
        <v>2.2075702075702073</v>
      </c>
      <c r="C312">
        <v>5.2230333333333343</v>
      </c>
      <c r="D312">
        <v>2.4175824175824179</v>
      </c>
    </row>
    <row r="313" spans="1:4" x14ac:dyDescent="0.3">
      <c r="A313">
        <v>6.3034188034188032</v>
      </c>
      <c r="B313">
        <v>7.5284900284900296</v>
      </c>
      <c r="C313">
        <v>5.2402999999999986</v>
      </c>
      <c r="D313">
        <v>8.5470085470085468</v>
      </c>
    </row>
    <row r="314" spans="1:4" x14ac:dyDescent="0.3">
      <c r="A314">
        <v>2.4096385542168677</v>
      </c>
      <c r="B314">
        <v>2.4096385542168686</v>
      </c>
      <c r="C314">
        <v>1.7262333333333331</v>
      </c>
      <c r="D314">
        <v>2.4096385542168677</v>
      </c>
    </row>
    <row r="315" spans="1:4" x14ac:dyDescent="0.3">
      <c r="A315">
        <v>0</v>
      </c>
      <c r="B315">
        <v>0</v>
      </c>
      <c r="C315">
        <v>6.666666666666667E-5</v>
      </c>
      <c r="D315">
        <v>0</v>
      </c>
    </row>
    <row r="316" spans="1:4" x14ac:dyDescent="0.3">
      <c r="A316">
        <v>0.19607843137254902</v>
      </c>
      <c r="B316">
        <v>0.36165577342047944</v>
      </c>
      <c r="C316">
        <v>3.5565333333333338</v>
      </c>
      <c r="D316">
        <v>0.52287581699346397</v>
      </c>
    </row>
    <row r="317" spans="1:4" x14ac:dyDescent="0.3">
      <c r="A317">
        <v>0.25231286795626579</v>
      </c>
      <c r="B317">
        <v>0.67563779086066711</v>
      </c>
      <c r="C317">
        <v>4.0042000000000009</v>
      </c>
      <c r="D317">
        <v>1.0933557611438183</v>
      </c>
    </row>
    <row r="318" spans="1:4" x14ac:dyDescent="0.3">
      <c r="A318">
        <v>0</v>
      </c>
      <c r="B318">
        <v>0</v>
      </c>
      <c r="C318">
        <v>4.3333333333333348E-4</v>
      </c>
      <c r="D318">
        <v>0</v>
      </c>
    </row>
    <row r="319" spans="1:4" x14ac:dyDescent="0.3">
      <c r="A319">
        <v>0</v>
      </c>
      <c r="B319">
        <v>0</v>
      </c>
      <c r="C319">
        <v>1.5666666666666669E-3</v>
      </c>
      <c r="D319">
        <v>0</v>
      </c>
    </row>
    <row r="320" spans="1:4" x14ac:dyDescent="0.3">
      <c r="A320">
        <v>0</v>
      </c>
      <c r="B320">
        <v>0</v>
      </c>
      <c r="C320">
        <v>2.7000000000000014E-3</v>
      </c>
      <c r="D320">
        <v>0</v>
      </c>
    </row>
    <row r="321" spans="1:4" x14ac:dyDescent="0.3">
      <c r="A321">
        <v>2.7878787878787876</v>
      </c>
      <c r="B321">
        <v>2.7878787878787872</v>
      </c>
      <c r="C321">
        <v>2.0364333333333335</v>
      </c>
      <c r="D321">
        <v>2.7878787878787876</v>
      </c>
    </row>
    <row r="322" spans="1:4" x14ac:dyDescent="0.3">
      <c r="A322">
        <v>1.5957446808510638</v>
      </c>
      <c r="B322">
        <v>2.0136778115501519</v>
      </c>
      <c r="C322">
        <v>5.1549333333333331</v>
      </c>
      <c r="D322">
        <v>2.2796352583586628</v>
      </c>
    </row>
    <row r="323" spans="1:4" x14ac:dyDescent="0.3">
      <c r="A323">
        <v>3.306451612903226</v>
      </c>
      <c r="B323">
        <v>3.7016129032258078</v>
      </c>
      <c r="C323">
        <v>5.827799999999999</v>
      </c>
      <c r="D323">
        <v>4.838709677419355</v>
      </c>
    </row>
    <row r="324" spans="1:4" x14ac:dyDescent="0.3">
      <c r="A324">
        <v>1.6064257028112447</v>
      </c>
      <c r="B324">
        <v>1.7422069229298147</v>
      </c>
      <c r="C324">
        <v>7.7224666666666648</v>
      </c>
      <c r="D324">
        <v>1.8932874354561102</v>
      </c>
    </row>
    <row r="325" spans="1:4" x14ac:dyDescent="0.3">
      <c r="A325">
        <v>5.0030138637733579</v>
      </c>
      <c r="B325">
        <v>6.0719308820574662</v>
      </c>
      <c r="C325">
        <v>9.083499999999999</v>
      </c>
      <c r="D325">
        <v>7.0524412296564201</v>
      </c>
    </row>
    <row r="326" spans="1:4" x14ac:dyDescent="0.3">
      <c r="A326">
        <v>0</v>
      </c>
      <c r="B326">
        <v>0</v>
      </c>
      <c r="C326">
        <v>3.1233333333333342E-2</v>
      </c>
      <c r="D326">
        <v>0</v>
      </c>
    </row>
    <row r="327" spans="1:4" x14ac:dyDescent="0.3">
      <c r="A327">
        <v>0</v>
      </c>
      <c r="B327">
        <v>0</v>
      </c>
      <c r="C327">
        <v>1.2466666666666671E-2</v>
      </c>
      <c r="D327">
        <v>0</v>
      </c>
    </row>
    <row r="328" spans="1:4" x14ac:dyDescent="0.3">
      <c r="A328">
        <v>2.57201646090535</v>
      </c>
      <c r="B328">
        <v>3.0075445816186557</v>
      </c>
      <c r="C328">
        <v>7.5659333333333345</v>
      </c>
      <c r="D328">
        <v>3.3950617283950617</v>
      </c>
    </row>
    <row r="329" spans="1:4" x14ac:dyDescent="0.3">
      <c r="A329">
        <v>0</v>
      </c>
      <c r="B329">
        <v>0.19447287615148409</v>
      </c>
      <c r="C329">
        <v>5.6533333333333342</v>
      </c>
      <c r="D329">
        <v>0.51177072671443202</v>
      </c>
    </row>
    <row r="330" spans="1:4" x14ac:dyDescent="0.3">
      <c r="A330">
        <v>0.92905405405405406</v>
      </c>
      <c r="B330">
        <v>1.2162162162162162</v>
      </c>
      <c r="C330">
        <v>8.8286333333333324</v>
      </c>
      <c r="D330">
        <v>1.5202702702702704</v>
      </c>
    </row>
    <row r="331" spans="1:4" x14ac:dyDescent="0.3">
      <c r="A331">
        <v>1.8691588785046727</v>
      </c>
      <c r="B331">
        <v>3.8068535825545164</v>
      </c>
      <c r="C331">
        <v>9.8292333333333328</v>
      </c>
      <c r="D331">
        <v>4.9532710280373831</v>
      </c>
    </row>
    <row r="332" spans="1:4" x14ac:dyDescent="0.3">
      <c r="A332">
        <v>0</v>
      </c>
      <c r="B332">
        <v>0</v>
      </c>
      <c r="C332">
        <v>1.0933333333333335E-2</v>
      </c>
      <c r="D332">
        <v>0</v>
      </c>
    </row>
    <row r="333" spans="1:4" x14ac:dyDescent="0.3">
      <c r="A333">
        <v>0</v>
      </c>
      <c r="B333">
        <v>0</v>
      </c>
      <c r="C333">
        <v>9.4000000000000038E-3</v>
      </c>
      <c r="D333">
        <v>0</v>
      </c>
    </row>
    <row r="334" spans="1:4" x14ac:dyDescent="0.3">
      <c r="A334">
        <v>0</v>
      </c>
      <c r="B334">
        <v>0</v>
      </c>
      <c r="C334">
        <v>1.5066666666666671E-2</v>
      </c>
      <c r="D334">
        <v>0</v>
      </c>
    </row>
    <row r="335" spans="1:4" x14ac:dyDescent="0.3">
      <c r="A335">
        <v>0</v>
      </c>
      <c r="B335">
        <v>0</v>
      </c>
      <c r="C335">
        <v>1.8700000000000008E-2</v>
      </c>
      <c r="D335">
        <v>0</v>
      </c>
    </row>
    <row r="336" spans="1:4" x14ac:dyDescent="0.3">
      <c r="A336">
        <v>0</v>
      </c>
      <c r="B336">
        <v>0</v>
      </c>
      <c r="C336">
        <v>3.9655333333333336</v>
      </c>
      <c r="D336">
        <v>0</v>
      </c>
    </row>
    <row r="337" spans="1:4" x14ac:dyDescent="0.3">
      <c r="A337">
        <v>0</v>
      </c>
      <c r="B337">
        <v>0</v>
      </c>
      <c r="C337">
        <v>1.9948333333333328</v>
      </c>
      <c r="D337">
        <v>0</v>
      </c>
    </row>
    <row r="338" spans="1:4" x14ac:dyDescent="0.3">
      <c r="A338">
        <v>1.6858917480035491</v>
      </c>
      <c r="B338">
        <v>1.7420881396036669</v>
      </c>
      <c r="C338">
        <v>8.5616000000000003</v>
      </c>
      <c r="D338">
        <v>1.7746228926353149</v>
      </c>
    </row>
    <row r="339" spans="1:4" x14ac:dyDescent="0.3">
      <c r="A339">
        <v>0</v>
      </c>
      <c r="B339">
        <v>0</v>
      </c>
      <c r="C339">
        <v>1.0666666666666667E-3</v>
      </c>
      <c r="D339">
        <v>0</v>
      </c>
    </row>
    <row r="340" spans="1:4" x14ac:dyDescent="0.3">
      <c r="A340">
        <v>1.7501215362177931</v>
      </c>
      <c r="B340">
        <v>2.1017663263652566</v>
      </c>
      <c r="C340">
        <v>17.919266666666665</v>
      </c>
      <c r="D340">
        <v>2.4307243558580454</v>
      </c>
    </row>
    <row r="341" spans="1:4" x14ac:dyDescent="0.3">
      <c r="A341">
        <v>0</v>
      </c>
      <c r="B341">
        <v>0</v>
      </c>
      <c r="C341">
        <v>2.5999999999999999E-3</v>
      </c>
      <c r="D341">
        <v>0</v>
      </c>
    </row>
    <row r="342" spans="1:4" x14ac:dyDescent="0.3">
      <c r="A342">
        <v>0.46511627906976744</v>
      </c>
      <c r="B342">
        <v>0.95658914728682176</v>
      </c>
      <c r="C342">
        <v>28.582266666666669</v>
      </c>
      <c r="D342">
        <v>1.2093023255813953</v>
      </c>
    </row>
    <row r="343" spans="1:4" x14ac:dyDescent="0.3">
      <c r="A343">
        <v>0</v>
      </c>
      <c r="B343">
        <v>0</v>
      </c>
      <c r="C343">
        <v>2.5999999999999999E-3</v>
      </c>
      <c r="D343">
        <v>0</v>
      </c>
    </row>
    <row r="344" spans="1:4" x14ac:dyDescent="0.3">
      <c r="A344">
        <v>0</v>
      </c>
      <c r="B344">
        <v>0</v>
      </c>
      <c r="C344">
        <v>1.1433333333333335E-2</v>
      </c>
      <c r="D344">
        <v>0</v>
      </c>
    </row>
    <row r="345" spans="1:4" x14ac:dyDescent="0.3">
      <c r="A345">
        <v>0</v>
      </c>
      <c r="B345">
        <v>0</v>
      </c>
      <c r="C345">
        <v>6.7666666666666681E-2</v>
      </c>
      <c r="D345">
        <v>0</v>
      </c>
    </row>
    <row r="346" spans="1:4" x14ac:dyDescent="0.3">
      <c r="A346">
        <v>1.4912280701754386</v>
      </c>
      <c r="B346">
        <v>1.8040935672514622</v>
      </c>
      <c r="C346">
        <v>34.626300000000001</v>
      </c>
      <c r="D346">
        <v>2.0175438596491229</v>
      </c>
    </row>
    <row r="347" spans="1:4" x14ac:dyDescent="0.3">
      <c r="A347">
        <v>0</v>
      </c>
      <c r="B347">
        <v>0</v>
      </c>
      <c r="C347">
        <v>0.26186666666666664</v>
      </c>
      <c r="D347">
        <v>0</v>
      </c>
    </row>
    <row r="348" spans="1:4" x14ac:dyDescent="0.3">
      <c r="A348">
        <v>3.6946812829882254</v>
      </c>
      <c r="B348">
        <v>4.7922587630261209</v>
      </c>
      <c r="C348">
        <v>52.365066666666685</v>
      </c>
      <c r="D348">
        <v>5.6029232643118148</v>
      </c>
    </row>
    <row r="349" spans="1:4" x14ac:dyDescent="0.3">
      <c r="A349">
        <v>2.7407987470634301</v>
      </c>
      <c r="B349">
        <v>3.2732967893500393</v>
      </c>
      <c r="C349">
        <v>60.372333333333337</v>
      </c>
      <c r="D349">
        <v>4.032889584964761</v>
      </c>
    </row>
    <row r="350" spans="1:4" x14ac:dyDescent="0.3">
      <c r="A350">
        <v>1.3303769401330376</v>
      </c>
      <c r="B350">
        <v>1.5576496674057652</v>
      </c>
      <c r="C350">
        <v>17.005933333333335</v>
      </c>
      <c r="D350">
        <v>1.8292682926829267</v>
      </c>
    </row>
    <row r="351" spans="1:4" x14ac:dyDescent="0.3">
      <c r="A351">
        <v>0</v>
      </c>
      <c r="B351">
        <v>0</v>
      </c>
      <c r="C351">
        <v>9.3666666666666672E-3</v>
      </c>
      <c r="D351">
        <v>0</v>
      </c>
    </row>
    <row r="352" spans="1:4" x14ac:dyDescent="0.3">
      <c r="A352">
        <v>0.4327563249001331</v>
      </c>
      <c r="B352">
        <v>0.63027075011096312</v>
      </c>
      <c r="C352">
        <v>33.131966666666663</v>
      </c>
      <c r="D352">
        <v>0.73235685752330226</v>
      </c>
    </row>
    <row r="353" spans="1:4" x14ac:dyDescent="0.3">
      <c r="A353">
        <v>3.0780780780780779</v>
      </c>
      <c r="B353">
        <v>3.7487487487487487</v>
      </c>
      <c r="C353">
        <v>39.571733333333334</v>
      </c>
      <c r="D353">
        <v>4.3543543543543537</v>
      </c>
    </row>
    <row r="354" spans="1:4" x14ac:dyDescent="0.3">
      <c r="A354">
        <v>0</v>
      </c>
      <c r="B354">
        <v>0</v>
      </c>
      <c r="C354">
        <v>4.7000000000000002E-3</v>
      </c>
      <c r="D354">
        <v>0</v>
      </c>
    </row>
    <row r="355" spans="1:4" x14ac:dyDescent="0.3">
      <c r="A355">
        <v>0</v>
      </c>
      <c r="B355">
        <v>0</v>
      </c>
      <c r="C355">
        <v>3.1333333333333335E-3</v>
      </c>
      <c r="D355">
        <v>0</v>
      </c>
    </row>
    <row r="356" spans="1:4" x14ac:dyDescent="0.3">
      <c r="A356">
        <v>1.0279001468428781</v>
      </c>
      <c r="B356">
        <v>1.2661119269048779</v>
      </c>
      <c r="C356">
        <v>19.164199999999997</v>
      </c>
      <c r="D356">
        <v>1.4684287812041115</v>
      </c>
    </row>
    <row r="357" spans="1:4" x14ac:dyDescent="0.3">
      <c r="A357">
        <v>0</v>
      </c>
      <c r="B357">
        <v>0</v>
      </c>
      <c r="C357">
        <v>1.5382</v>
      </c>
      <c r="D357">
        <v>0</v>
      </c>
    </row>
    <row r="358" spans="1:4" x14ac:dyDescent="0.3">
      <c r="A358">
        <v>1.7216642754662841</v>
      </c>
      <c r="B358">
        <v>2.1425155428024865</v>
      </c>
      <c r="C358">
        <v>52.871099999999977</v>
      </c>
      <c r="D358">
        <v>2.3314203730272598</v>
      </c>
    </row>
    <row r="359" spans="1:4" x14ac:dyDescent="0.3">
      <c r="A359">
        <v>3.6080516521078616</v>
      </c>
      <c r="B359">
        <v>4.5739967084441071</v>
      </c>
      <c r="C359">
        <v>50.181933333333333</v>
      </c>
      <c r="D359">
        <v>5.5829851879984806</v>
      </c>
    </row>
    <row r="360" spans="1:4" x14ac:dyDescent="0.3">
      <c r="A360">
        <v>1.5096304008328996</v>
      </c>
      <c r="B360">
        <v>1.7039736248481694</v>
      </c>
      <c r="C360">
        <v>87.899266666666648</v>
      </c>
      <c r="D360">
        <v>1.9521082769390943</v>
      </c>
    </row>
    <row r="361" spans="1:4" x14ac:dyDescent="0.3">
      <c r="A361">
        <v>5.6242274412855373</v>
      </c>
      <c r="B361">
        <v>6.5090646889163581</v>
      </c>
      <c r="C361">
        <v>82.709900000000033</v>
      </c>
      <c r="D361">
        <v>7.354758961681088</v>
      </c>
    </row>
    <row r="363" spans="1:4" x14ac:dyDescent="0.3">
      <c r="A363">
        <f>COUNTIF(A2:A361,"=0")</f>
        <v>185</v>
      </c>
      <c r="B363">
        <f t="shared" ref="B363:D363" si="0">COUNTIF(B2:B361,"=0")</f>
        <v>168</v>
      </c>
      <c r="C363">
        <f t="shared" si="0"/>
        <v>1</v>
      </c>
      <c r="D363">
        <f t="shared" si="0"/>
        <v>168</v>
      </c>
    </row>
    <row r="364" spans="1:4" x14ac:dyDescent="0.3">
      <c r="A364">
        <f>COUNTIF(A2:A361,"&gt;5")</f>
        <v>17</v>
      </c>
      <c r="B364">
        <f t="shared" ref="B364:D364" si="1">COUNTIF(B2:B361,"&gt;5")</f>
        <v>27</v>
      </c>
      <c r="C364">
        <f>MAX(C2:C361)</f>
        <v>87.899266666666648</v>
      </c>
      <c r="D364">
        <f t="shared" si="1"/>
        <v>37</v>
      </c>
    </row>
    <row r="365" spans="1:4" x14ac:dyDescent="0.3">
      <c r="A365">
        <f>AVERAGE(A2:A361)</f>
        <v>1.0924801508267812</v>
      </c>
      <c r="B365">
        <f t="shared" ref="B365:D365" si="2">AVERAGE(B2:B361)</f>
        <v>1.3532228402843844</v>
      </c>
      <c r="C365">
        <f t="shared" si="2"/>
        <v>10.57348444444445</v>
      </c>
      <c r="D365">
        <f t="shared" si="2"/>
        <v>1.594045471550974</v>
      </c>
    </row>
    <row r="366" spans="1:4" x14ac:dyDescent="0.3">
      <c r="A366">
        <f>_xlfn.STDEV.S(A2:A361)</f>
        <v>1.6824139884099432</v>
      </c>
      <c r="B366">
        <f t="shared" ref="B366:D366" si="3">_xlfn.STDEV.S(B2:B361)</f>
        <v>2.0061478879629431</v>
      </c>
      <c r="C366">
        <f t="shared" si="3"/>
        <v>19.768728332011086</v>
      </c>
      <c r="D366">
        <f t="shared" si="3"/>
        <v>2.3209410306489939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MOSP results</vt:lpstr>
      <vt:lpstr>Small instances</vt:lpstr>
      <vt:lpstr>CPLEXTable1</vt:lpstr>
      <vt:lpstr>Sice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Abdelmaguid</dc:creator>
  <cp:lastModifiedBy>Tamer Abdelmaguid</cp:lastModifiedBy>
  <dcterms:created xsi:type="dcterms:W3CDTF">2019-11-14T09:47:11Z</dcterms:created>
  <dcterms:modified xsi:type="dcterms:W3CDTF">2020-02-15T06:27:26Z</dcterms:modified>
</cp:coreProperties>
</file>